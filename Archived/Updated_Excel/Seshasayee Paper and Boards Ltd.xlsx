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6980046-3087-4302-8539-B5886F0BAD4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F98" i="2"/>
  <c r="AC84" i="2"/>
  <c r="AF72" i="2"/>
  <c r="AF88" i="2"/>
  <c r="AF108" i="2"/>
  <c r="AC66" i="2"/>
  <c r="AF107" i="2"/>
  <c r="AC45" i="2"/>
  <c r="AD11" i="2"/>
  <c r="AF74" i="2"/>
  <c r="AC60" i="2"/>
  <c r="AC78" i="2"/>
  <c r="AE63" i="2"/>
  <c r="AE27" i="2"/>
  <c r="AB16" i="2"/>
  <c r="AC47" i="2"/>
  <c r="AC76" i="2"/>
  <c r="AC82" i="2"/>
  <c r="AB35" i="2"/>
  <c r="AC21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C51" i="2"/>
  <c r="AC20" i="2"/>
  <c r="AC90" i="2"/>
  <c r="AF95" i="2"/>
  <c r="AE88" i="2"/>
  <c r="AE77" i="2"/>
  <c r="AF110" i="2"/>
  <c r="AC106" i="2"/>
  <c r="AE99" i="2"/>
  <c r="AE109" i="2"/>
  <c r="AC79" i="2"/>
  <c r="AB92" i="2"/>
  <c r="AC104" i="2"/>
  <c r="AC43" i="2"/>
  <c r="AB11" i="2"/>
  <c r="AE80" i="2"/>
  <c r="AE19" i="2"/>
  <c r="AF68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1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E69" i="2"/>
  <c r="AE93" i="2"/>
  <c r="AF87" i="2"/>
  <c r="AF26" i="2"/>
  <c r="AE64" i="2"/>
  <c r="AB43" i="2"/>
  <c r="AB72" i="2"/>
  <c r="AB78" i="2"/>
  <c r="AB60" i="2"/>
  <c r="AE48" i="2"/>
  <c r="AC72" i="2"/>
  <c r="AF80" i="2"/>
  <c r="AE75" i="2"/>
  <c r="AD97" i="2"/>
  <c r="AC91" i="2"/>
  <c r="AB46" i="2"/>
  <c r="AD74" i="2"/>
  <c r="AC53" i="2"/>
  <c r="AE50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C70" i="2"/>
  <c r="AC94" i="2"/>
  <c r="AD35" i="2"/>
  <c r="AD65" i="2"/>
  <c r="AF70" i="2"/>
  <c r="AF86" i="2"/>
  <c r="AF106" i="2"/>
  <c r="AF76" i="2"/>
  <c r="AE97" i="2"/>
  <c r="AD71" i="2"/>
  <c r="AC92" i="2"/>
  <c r="AD77" i="2"/>
  <c r="AC8" i="2"/>
  <c r="AC98" i="2"/>
  <c r="AC44" i="2"/>
  <c r="AD17" i="2"/>
  <c r="AD52" i="2"/>
  <c r="AE104" i="2"/>
  <c r="AC18" i="2"/>
  <c r="AE76" i="2"/>
  <c r="AB8" i="2"/>
  <c r="AB88" i="2"/>
  <c r="AE71" i="2"/>
  <c r="AE58" i="2"/>
  <c r="AB94" i="2"/>
  <c r="AC65" i="2"/>
  <c r="AC77" i="2"/>
  <c r="AD4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E86" i="2"/>
  <c r="AC107" i="2"/>
  <c r="AE67" i="2"/>
  <c r="AE91" i="2"/>
  <c r="AE42" i="2"/>
  <c r="AF92" i="2"/>
  <c r="AE73" i="2"/>
  <c r="AF41" i="2"/>
  <c r="AD87" i="2"/>
  <c r="AC68" i="2"/>
  <c r="AC55" i="2"/>
  <c r="AD93" i="2"/>
  <c r="AC74" i="2"/>
  <c r="AC29" i="2"/>
  <c r="AD59" i="2"/>
  <c r="AE15" i="2"/>
  <c r="AB108" i="2"/>
  <c r="AE95" i="2"/>
  <c r="AE11" i="2"/>
  <c r="AE21" i="2"/>
  <c r="AC89" i="2"/>
  <c r="AC28" i="2"/>
  <c r="AC24" i="2"/>
  <c r="AC16" i="2"/>
  <c r="AB82" i="2"/>
  <c r="AC110" i="2"/>
  <c r="AB19" i="2"/>
  <c r="AC9" i="2"/>
  <c r="AC33" i="2"/>
  <c r="AB6" i="2"/>
  <c r="AB57" i="2"/>
  <c r="AD66" i="2"/>
  <c r="AD82" i="2"/>
  <c r="AD110" i="2"/>
  <c r="AB64" i="2"/>
  <c r="AE92" i="2"/>
  <c r="AF78" i="2"/>
  <c r="AE79" i="2"/>
  <c r="AE46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C12" i="2"/>
  <c r="AD107" i="2"/>
  <c r="AC56" i="2"/>
  <c r="AD33" i="2"/>
  <c r="AF63" i="2"/>
  <c r="AF71" i="2"/>
  <c r="AF79" i="2"/>
  <c r="AE105" i="2"/>
  <c r="AF90" i="2"/>
  <c r="AC96" i="2"/>
  <c r="AF96" i="2"/>
  <c r="AD91" i="2"/>
  <c r="AD81" i="2"/>
  <c r="AE81" i="2"/>
  <c r="AB51" i="2"/>
  <c r="AB76" i="2"/>
  <c r="AB98" i="2"/>
  <c r="AD8" i="2"/>
  <c r="AD16" i="2"/>
  <c r="AD24" i="2"/>
  <c r="AD32" i="2"/>
  <c r="AD43" i="2"/>
  <c r="AD51" i="2"/>
  <c r="AC5" i="2"/>
  <c r="AC17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B2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B54" i="2"/>
  <c r="AC48" i="2"/>
  <c r="AB41" i="2"/>
  <c r="AD90" i="2"/>
  <c r="AF6" i="2"/>
  <c r="AC26" i="2"/>
  <c r="AD19" i="2"/>
  <c r="AF94" i="2"/>
  <c r="AF84" i="2"/>
  <c r="AE85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E52" i="2"/>
  <c r="AC67" i="2"/>
  <c r="AB66" i="2"/>
  <c r="AB27" i="2"/>
  <c r="AB22" i="2"/>
  <c r="AD98" i="2"/>
  <c r="AB36" i="2"/>
  <c r="AE68" i="2"/>
  <c r="AD54" i="2"/>
  <c r="AE107" i="2"/>
  <c r="AF104" i="2"/>
  <c r="AF111" i="2"/>
  <c r="AD111" i="2"/>
  <c r="AD113" i="2"/>
  <c r="AB111" i="2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161" i="1"/>
  <c r="AA194" i="1"/>
  <c r="AA173" i="1"/>
  <c r="AA179" i="1"/>
  <c r="AA168" i="1"/>
  <c r="AA109" i="1" s="1"/>
  <c r="AA154" i="1"/>
  <c r="AA156" i="1" s="1"/>
  <c r="AA134" i="1"/>
  <c r="AA138" i="1" s="1"/>
  <c r="AA120" i="1"/>
  <c r="AA37" i="1"/>
  <c r="AA26" i="1"/>
  <c r="AA10" i="1"/>
  <c r="B1" i="9"/>
  <c r="AD112" i="2"/>
  <c r="AC111" i="2"/>
  <c r="AF112" i="2"/>
  <c r="AB112" i="2"/>
  <c r="AA73" i="1" s="1"/>
  <c r="A1" i="9"/>
  <c r="AC113" i="2"/>
  <c r="AE112" i="2"/>
  <c r="AE113" i="2"/>
  <c r="L1" i="9"/>
  <c r="AE111" i="2"/>
  <c r="AC112" i="2"/>
  <c r="AA183" i="1" l="1"/>
  <c r="AA180" i="1"/>
  <c r="AA252" i="1"/>
  <c r="AA231" i="1"/>
  <c r="AA182" i="1"/>
  <c r="AA246" i="1"/>
  <c r="AA248" i="1"/>
  <c r="AA181" i="1"/>
  <c r="AA185" i="1"/>
  <c r="AA184" i="1" s="1"/>
  <c r="AA16" i="1"/>
  <c r="AA98" i="1"/>
  <c r="AA244" i="1"/>
  <c r="AA129" i="1"/>
  <c r="AA33" i="1"/>
  <c r="AA27" i="1"/>
  <c r="AA175" i="1"/>
  <c r="AA157" i="1"/>
  <c r="AA165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6" i="1" l="1"/>
  <c r="AA17" i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I33" i="3"/>
  <c r="BN9" i="3"/>
  <c r="BH26" i="3"/>
  <c r="BF45" i="3"/>
  <c r="CL63" i="1" s="1"/>
  <c r="CL65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F8" i="3"/>
  <c r="BF16" i="3"/>
  <c r="CL20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EX5" i="4" a="1"/>
  <c r="FD6" i="4" a="1"/>
  <c r="FE14" i="4" a="1"/>
  <c r="FF8" i="4" a="1"/>
  <c r="EX14" i="4" a="1"/>
  <c r="FB15" i="4" a="1"/>
  <c r="FC13" i="4" a="1"/>
  <c r="FF7" i="4" a="1"/>
  <c r="BA23" i="3"/>
  <c r="Y18" i="2"/>
  <c r="AA45" i="2"/>
  <c r="EY11" i="4" a="1"/>
  <c r="FD5" i="4" a="1"/>
  <c r="BQ14" i="3"/>
  <c r="BQ26" i="3"/>
  <c r="BQ32" i="3"/>
  <c r="BF10" i="3"/>
  <c r="CL13" i="1" s="1"/>
  <c r="BV26" i="3"/>
  <c r="BV38" i="3"/>
  <c r="BS1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AA49" i="2"/>
  <c r="EY13" i="4" a="1"/>
  <c r="FB13" i="4" a="1"/>
  <c r="EY12" i="4" a="1"/>
  <c r="EX6" i="4" a="1"/>
  <c r="FE11" i="4" a="1"/>
  <c r="BQ8" i="3"/>
  <c r="BQ38" i="3"/>
  <c r="BQ46" i="3"/>
  <c r="BR9" i="3"/>
  <c r="BT29" i="3"/>
  <c r="BN41" i="3"/>
  <c r="BI24" i="3"/>
  <c r="BV14" i="3"/>
  <c r="BV20" i="3"/>
  <c r="BV32" i="3"/>
  <c r="BV46" i="3"/>
  <c r="BS10" i="3"/>
  <c r="BS28" i="3"/>
  <c r="BS34" i="3"/>
  <c r="BT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7" i="3" s="1"/>
  <c r="BP22" i="3"/>
  <c r="BM37" i="3"/>
  <c r="BN19" i="3"/>
  <c r="BN45" i="3"/>
  <c r="BM22" i="3"/>
  <c r="BH5" i="3"/>
  <c r="BH62" i="3" s="1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D17" i="3"/>
  <c r="BB23" i="3"/>
  <c r="Z82" i="2"/>
  <c r="Z42" i="2"/>
  <c r="FF15" i="4" a="1"/>
  <c r="BQ20" i="3"/>
  <c r="BS37" i="3"/>
  <c r="BP38" i="3"/>
  <c r="BK42" i="3"/>
  <c r="BL22" i="3"/>
  <c r="BS22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L33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H11" i="3"/>
  <c r="BT1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N12" i="3"/>
  <c r="BM46" i="3"/>
  <c r="BJ30" i="3"/>
  <c r="BT30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H19" i="3"/>
  <c r="BG79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U10" i="3"/>
  <c r="BU16" i="3"/>
  <c r="BU22" i="3"/>
  <c r="BU28" i="3"/>
  <c r="BU34" i="3"/>
  <c r="BU40" i="3"/>
  <c r="BV5" i="3"/>
  <c r="BV11" i="3"/>
  <c r="BS42" i="3"/>
  <c r="BT14" i="3"/>
  <c r="BM31" i="3"/>
  <c r="BO13" i="3"/>
  <c r="BL46" i="3"/>
  <c r="BE7" i="3"/>
  <c r="BN29" i="3"/>
  <c r="BJ46" i="3"/>
  <c r="BF17" i="3"/>
  <c r="CL21" i="1" s="1"/>
  <c r="Y12" i="2"/>
  <c r="Y6" i="2"/>
  <c r="Z77" i="2"/>
  <c r="BA6" i="3"/>
  <c r="Z73" i="2"/>
  <c r="AA12" i="2"/>
  <c r="Z99" i="2"/>
  <c r="BA33" i="3"/>
  <c r="BB31" i="3"/>
  <c r="Z28" i="2"/>
  <c r="AA75" i="2"/>
  <c r="Y63" i="2"/>
  <c r="FF13" i="4" a="1"/>
  <c r="FE12" i="4" a="1"/>
  <c r="FF9" i="4" a="1"/>
  <c r="FA9" i="4" a="1"/>
  <c r="FC11" i="4" a="1"/>
  <c r="Z60" i="2"/>
  <c r="EZ9" i="4" a="1"/>
  <c r="FF14" i="4" a="1"/>
  <c r="FF12" i="4" a="1"/>
  <c r="FD9" i="4" a="1"/>
  <c r="Z36" i="2"/>
  <c r="AA23" i="2"/>
  <c r="Z51" i="2"/>
  <c r="FD12" i="4" a="1"/>
  <c r="FC15" i="4" a="1"/>
  <c r="AA107" i="2"/>
  <c r="BC21" i="3"/>
  <c r="BL10" i="3"/>
  <c r="BO19" i="3"/>
  <c r="BI12" i="3"/>
  <c r="BE9" i="3"/>
  <c r="BN37" i="3"/>
  <c r="BL25" i="3"/>
  <c r="BN23" i="3"/>
  <c r="AA93" i="2"/>
  <c r="Z47" i="2"/>
  <c r="Y91" i="2"/>
  <c r="BD10" i="3"/>
  <c r="AA56" i="2"/>
  <c r="Y55" i="2"/>
  <c r="AA52" i="2"/>
  <c r="BC23" i="3"/>
  <c r="BA13" i="3"/>
  <c r="Y27" i="2"/>
  <c r="Z78" i="2"/>
  <c r="Z69" i="2"/>
  <c r="FE5" i="4" a="1"/>
  <c r="EZ14" i="4" a="1"/>
  <c r="FA16" i="4" a="1"/>
  <c r="EY15" i="4" a="1"/>
  <c r="EZ13" i="4" a="1"/>
  <c r="AA16" i="2"/>
  <c r="Z33" i="2"/>
  <c r="FC14" i="4" a="1"/>
  <c r="EY5" i="4" a="1"/>
  <c r="FD16" i="4" a="1"/>
  <c r="BB5" i="3"/>
  <c r="Z65" i="2"/>
  <c r="Y105" i="2"/>
  <c r="FA6" i="4" a="1"/>
  <c r="FA14" i="4" a="1"/>
  <c r="Z16" i="2"/>
  <c r="BI42" i="3"/>
  <c r="BD35" i="3"/>
  <c r="Y77" i="2"/>
  <c r="BA7" i="3"/>
  <c r="BC26" i="3"/>
  <c r="EY7" i="4" a="1"/>
  <c r="BC46" i="3"/>
  <c r="FD8" i="4" a="1"/>
  <c r="BN26" i="3"/>
  <c r="BG40" i="3"/>
  <c r="Z22" i="2"/>
  <c r="BD19" i="3"/>
  <c r="BH30" i="3"/>
  <c r="BO25" i="3"/>
  <c r="BE24" i="3"/>
  <c r="BM11" i="3"/>
  <c r="BE10" i="3"/>
  <c r="BH27" i="3"/>
  <c r="BN33" i="3"/>
  <c r="Y85" i="2"/>
  <c r="BC38" i="3"/>
  <c r="Y20" i="2"/>
  <c r="AA6" i="2"/>
  <c r="BD11" i="3"/>
  <c r="AA71" i="2"/>
  <c r="Z105" i="2"/>
  <c r="Y48" i="2"/>
  <c r="BB35" i="3"/>
  <c r="AA59" i="2"/>
  <c r="FD15" i="4" a="1"/>
  <c r="BB29" i="3"/>
  <c r="FE9" i="4" a="1"/>
  <c r="BA8" i="3"/>
  <c r="Y53" i="2"/>
  <c r="FA13" i="4" a="1"/>
  <c r="BP27" i="3"/>
  <c r="AA41" i="2"/>
  <c r="BD16" i="3"/>
  <c r="BB36" i="3"/>
  <c r="BB11" i="3"/>
  <c r="FA11" i="4" a="1"/>
  <c r="BE12" i="3"/>
  <c r="BO31" i="3"/>
  <c r="BI32" i="3"/>
  <c r="BM13" i="3"/>
  <c r="BI18" i="3"/>
  <c r="BL17" i="3"/>
  <c r="BL40" i="3"/>
  <c r="AA55" i="2"/>
  <c r="BD32" i="3"/>
  <c r="Z110" i="2"/>
  <c r="Y98" i="2"/>
  <c r="BC14" i="3"/>
  <c r="AA108" i="2"/>
  <c r="AA84" i="2"/>
  <c r="Y74" i="2"/>
  <c r="AA27" i="2"/>
  <c r="BD38" i="3"/>
  <c r="Y95" i="2"/>
  <c r="BA30" i="3"/>
  <c r="Y110" i="2"/>
  <c r="FD7" i="4" a="1"/>
  <c r="FC8" i="4" a="1"/>
  <c r="FB9" i="4" a="1"/>
  <c r="FB11" i="4" a="1"/>
  <c r="FF5" i="4" a="1"/>
  <c r="EY14" i="4" a="1"/>
  <c r="EX13" i="4" a="1"/>
  <c r="EZ16" i="4" a="1"/>
  <c r="FB5" i="4" a="1"/>
  <c r="BM16" i="3"/>
  <c r="BA31" i="3"/>
  <c r="BA12" i="3"/>
  <c r="AA25" i="2"/>
  <c r="FD13" i="4" a="1"/>
  <c r="Z24" i="2"/>
  <c r="BP50" i="3"/>
  <c r="BD37" i="3"/>
  <c r="Z29" i="2"/>
  <c r="FF6" i="4" a="1"/>
  <c r="BA46" i="3"/>
  <c r="FA7" i="4" a="1"/>
  <c r="BH10" i="3"/>
  <c r="Z53" i="2"/>
  <c r="BM32" i="3"/>
  <c r="BS39" i="3"/>
  <c r="BL11" i="3"/>
  <c r="BK16" i="3"/>
  <c r="BE30" i="3"/>
  <c r="BH35" i="3"/>
  <c r="BM10" i="3"/>
  <c r="Z67" i="2"/>
  <c r="BA20" i="3"/>
  <c r="Y42" i="2"/>
  <c r="Z95" i="2"/>
  <c r="BC39" i="3"/>
  <c r="Y109" i="2"/>
  <c r="AA46" i="2"/>
  <c r="BB13" i="3"/>
  <c r="AA31" i="2"/>
  <c r="BA34" i="3"/>
  <c r="AA83" i="2"/>
  <c r="BC35" i="3"/>
  <c r="BD20" i="3"/>
  <c r="FE15" i="4" a="1"/>
  <c r="AA24" i="2"/>
  <c r="Y58" i="2"/>
  <c r="Z31" i="2"/>
  <c r="Z63" i="2"/>
  <c r="FC5" i="4" a="1"/>
  <c r="FD11" i="4" a="1"/>
  <c r="FC6" i="4" a="1"/>
  <c r="FE16" i="4" a="1"/>
  <c r="BJ21" i="3"/>
  <c r="Y34" i="2"/>
  <c r="BF46" i="3"/>
  <c r="CL64" i="1" s="1"/>
  <c r="BT39" i="3"/>
  <c r="BN46" i="3"/>
  <c r="BK18" i="3"/>
  <c r="BM38" i="3"/>
  <c r="BP6" i="3"/>
  <c r="Z80" i="2"/>
  <c r="Y57" i="2"/>
  <c r="BD12" i="3"/>
  <c r="BD15" i="3"/>
  <c r="FF16" i="4" a="1"/>
  <c r="BA22" i="3"/>
  <c r="BR17" i="3"/>
  <c r="BP32" i="3"/>
  <c r="BI46" i="3"/>
  <c r="BI21" i="3"/>
  <c r="BF34" i="3"/>
  <c r="CL45" i="1" s="1"/>
  <c r="BT45" i="3"/>
  <c r="BI26" i="3"/>
  <c r="Y36" i="2"/>
  <c r="BC16" i="3"/>
  <c r="Y49" i="2"/>
  <c r="Y50" i="2"/>
  <c r="BA37" i="3"/>
  <c r="AA5" i="2"/>
  <c r="Z45" i="2"/>
  <c r="BC31" i="3"/>
  <c r="Z58" i="2"/>
  <c r="Y59" i="2"/>
  <c r="Y79" i="2"/>
  <c r="Y54" i="2"/>
  <c r="AA57" i="2"/>
  <c r="FC9" i="4" a="1"/>
  <c r="FF11" i="4" a="1"/>
  <c r="EX9" i="4" a="1"/>
  <c r="EY9" i="4" a="1"/>
  <c r="EZ6" i="4" a="1"/>
  <c r="BA9" i="3"/>
  <c r="AA36" i="2"/>
  <c r="Y15" i="2"/>
  <c r="BA40" i="3"/>
  <c r="Z18" i="2"/>
  <c r="Z98" i="2"/>
  <c r="BR23" i="3"/>
  <c r="BM27" i="3"/>
  <c r="BT24" i="3"/>
  <c r="BI23" i="3"/>
  <c r="BL29" i="3"/>
  <c r="BP8" i="3"/>
  <c r="BG33" i="3"/>
  <c r="AA72" i="2"/>
  <c r="Z85" i="2"/>
  <c r="BR41" i="3"/>
  <c r="BR29" i="3"/>
  <c r="BI39" i="3"/>
  <c r="BP17" i="3"/>
  <c r="BK28" i="3"/>
  <c r="BL7" i="3"/>
  <c r="Z49" i="2"/>
  <c r="Z27" i="2"/>
  <c r="Y87" i="2"/>
  <c r="FB16" i="4" a="1"/>
  <c r="Z10" i="2"/>
  <c r="EY16" i="4" a="1"/>
  <c r="BR35" i="3"/>
  <c r="BJ9" i="3"/>
  <c r="BP37" i="3"/>
  <c r="BM39" i="3"/>
  <c r="BL15" i="3"/>
  <c r="BE31" i="3"/>
  <c r="BH29" i="3"/>
  <c r="Y68" i="2"/>
  <c r="BA19" i="3"/>
  <c r="Z11" i="2"/>
  <c r="Z86" i="2"/>
  <c r="BB21" i="3"/>
  <c r="Y92" i="2"/>
  <c r="Y90" i="2"/>
  <c r="BB27" i="3"/>
  <c r="Z87" i="2"/>
  <c r="BD24" i="3"/>
  <c r="BA18" i="3"/>
  <c r="Z7" i="2"/>
  <c r="EZ15" i="4" a="1"/>
  <c r="BO7" i="3"/>
  <c r="BF33" i="3"/>
  <c r="BP7" i="3"/>
  <c r="BH18" i="3"/>
  <c r="BN34" i="3"/>
  <c r="BF7" i="3"/>
  <c r="BK84" i="3"/>
  <c r="Z109" i="2"/>
  <c r="BC15" i="3"/>
  <c r="Z96" i="2"/>
  <c r="Z68" i="2"/>
  <c r="BD45" i="3"/>
  <c r="Y11" i="2"/>
  <c r="Y30" i="2"/>
  <c r="BB12" i="3"/>
  <c r="BA11" i="3"/>
  <c r="AA67" i="2"/>
  <c r="BC40" i="3"/>
  <c r="Y41" i="2"/>
  <c r="BB34" i="3"/>
  <c r="FC7" i="4" a="1"/>
  <c r="FC16" i="4" a="1"/>
  <c r="EX15" i="4" a="1"/>
  <c r="EX8" i="4" a="1"/>
  <c r="BH23" i="3"/>
  <c r="EX16" i="4" a="1"/>
  <c r="BP60" i="3"/>
  <c r="BG66" i="3"/>
  <c r="AA52" i="1" l="1"/>
  <c r="AA54" i="1"/>
  <c r="AA193" i="1"/>
  <c r="AA195" i="1" s="1"/>
  <c r="BQ56" i="3"/>
  <c r="BQ62" i="3"/>
  <c r="CL252" i="1"/>
  <c r="CL231" i="1"/>
  <c r="CL10" i="1"/>
  <c r="CL253" i="1"/>
  <c r="CL194" i="1"/>
  <c r="CL26" i="1"/>
  <c r="CL27" i="1" s="1"/>
  <c r="CK14" i="1"/>
  <c r="CK13" i="1"/>
  <c r="CK35" i="1"/>
  <c r="CK39" i="1"/>
  <c r="CK46" i="1"/>
  <c r="CK63" i="1"/>
  <c r="CK32" i="1"/>
  <c r="CK21" i="1"/>
  <c r="CK47" i="1"/>
  <c r="CK22" i="1"/>
  <c r="CK8" i="1"/>
  <c r="CK15" i="1"/>
  <c r="CK36" i="1"/>
  <c r="CK64" i="1"/>
  <c r="CK24" i="1"/>
  <c r="CK51" i="1"/>
  <c r="CK20" i="1"/>
  <c r="CK25" i="1"/>
  <c r="CK9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59" i="1"/>
  <c r="CH161" i="1" s="1"/>
  <c r="JP9" i="4" s="1"/>
  <c r="JP16" i="4" s="1"/>
  <c r="JO16" i="4" s="1"/>
  <c r="JO9" i="4" s="1"/>
  <c r="JN9" i="4" s="1"/>
  <c r="JN16" i="4" s="1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P9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BV4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GV13" i="4" a="1"/>
  <c r="BT4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G59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BU5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BR62" i="3"/>
  <c r="BR88" i="3"/>
  <c r="BP90" i="3"/>
  <c r="BE65" i="3"/>
  <c r="BJ66" i="3"/>
  <c r="BK59" i="3"/>
  <c r="BK79" i="3"/>
  <c r="FO8" i="4" a="1"/>
  <c r="HE8" i="4" a="1"/>
  <c r="GE7" i="4" a="1"/>
  <c r="HB9" i="4" a="1"/>
  <c r="GF6" i="4" a="1"/>
  <c r="FJ9" i="4" a="1"/>
  <c r="GF5" i="4" a="1"/>
  <c r="HC6" i="4" a="1"/>
  <c r="FI9" i="4" a="1"/>
  <c r="GI8" i="4" a="1"/>
  <c r="HC11" i="4" a="1"/>
  <c r="FU6" i="4" a="1"/>
  <c r="GM9" i="4" a="1"/>
  <c r="FN13" i="4" a="1"/>
  <c r="GA11" i="4" a="1"/>
  <c r="GP12" i="4" a="1"/>
  <c r="GZ13" i="4" a="1"/>
  <c r="HB11" i="4" a="1"/>
  <c r="FO13" i="4" a="1"/>
  <c r="FY14" i="4" a="1"/>
  <c r="FQ9" i="4" a="1"/>
  <c r="FO14" i="4" a="1"/>
  <c r="GR15" i="4" a="1"/>
  <c r="FR16" i="4" a="1"/>
  <c r="GT16" i="4" a="1"/>
  <c r="GY14" i="4" a="1"/>
  <c r="GI12" i="4" a="1"/>
  <c r="FI15" i="4" a="1"/>
  <c r="HF6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48" i="3"/>
  <c r="FM14" i="4" a="1"/>
  <c r="GX12" i="4" a="1"/>
  <c r="FN7" i="4" a="1"/>
  <c r="FP12" i="4" a="1"/>
  <c r="FW13" i="4" a="1"/>
  <c r="FX15" i="4" a="1"/>
  <c r="GU9" i="4" a="1"/>
  <c r="FR14" i="4" a="1"/>
  <c r="GE16" i="4" a="1"/>
  <c r="HC16" i="4" a="1"/>
  <c r="BC54" i="3"/>
  <c r="BC83" i="3"/>
  <c r="BC74" i="3"/>
  <c r="BD72" i="3"/>
  <c r="BD90" i="3"/>
  <c r="BC78" i="3"/>
  <c r="BD60" i="3"/>
  <c r="BA65" i="3"/>
  <c r="GL8" i="4" a="1"/>
  <c r="FH9" i="4" a="1"/>
  <c r="GA8" i="4" a="1"/>
  <c r="FH11" i="4" a="1"/>
  <c r="GW9" i="4" a="1"/>
  <c r="FJ12" i="4" a="1"/>
  <c r="GA9" i="4" a="1"/>
  <c r="GP13" i="4" a="1"/>
  <c r="HE14" i="4" a="1"/>
  <c r="GD16" i="4" a="1"/>
  <c r="FV14" i="4" a="1"/>
  <c r="GX14" i="4" a="1"/>
  <c r="BV64" i="3"/>
  <c r="BR75" i="3"/>
  <c r="BF48" i="3"/>
  <c r="BE73" i="3"/>
  <c r="BJ76" i="3"/>
  <c r="BK67" i="3"/>
  <c r="BK93" i="3"/>
  <c r="GK8" i="4" a="1"/>
  <c r="GX11" i="4" a="1"/>
  <c r="GW5" i="4" a="1"/>
  <c r="GB11" i="4" a="1"/>
  <c r="FW7" i="4" a="1"/>
  <c r="GZ9" i="4" a="1"/>
  <c r="FP6" i="4" a="1"/>
  <c r="GF8" i="4" a="1"/>
  <c r="FQ5" i="4" a="1"/>
  <c r="GW8" i="4" a="1"/>
  <c r="FY12" i="4" a="1"/>
  <c r="GS6" i="4" a="1"/>
  <c r="FL7" i="4" a="1"/>
  <c r="GL13" i="4" a="1"/>
  <c r="GE11" i="4" a="1"/>
  <c r="GU12" i="4" a="1"/>
  <c r="HE6" i="4" a="1"/>
  <c r="HG11" i="4" a="1"/>
  <c r="FR13" i="4" a="1"/>
  <c r="GB14" i="4" a="1"/>
  <c r="GL9" i="4" a="1"/>
  <c r="GP14" i="4" a="1"/>
  <c r="GT15" i="4" a="1"/>
  <c r="FT16" i="4" a="1"/>
  <c r="GV16" i="4" a="1"/>
  <c r="FV15" i="4" a="1"/>
  <c r="GT12" i="4" a="1"/>
  <c r="FM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Y113" i="2"/>
  <c r="GS11" i="4" a="1"/>
  <c r="GG14" i="4" a="1"/>
  <c r="HC9" i="4" a="1"/>
  <c r="GU14" i="4" a="1"/>
  <c r="GV15" i="4" a="1"/>
  <c r="FV16" i="4" a="1"/>
  <c r="GX16" i="4" a="1"/>
  <c r="GP6" i="4" a="1"/>
  <c r="FM13" i="4" a="1"/>
  <c r="GK15" i="4" a="1"/>
  <c r="FG16" i="4" a="1"/>
  <c r="BD67" i="3"/>
  <c r="BB93" i="3"/>
  <c r="BC87" i="3"/>
  <c r="BD63" i="3"/>
  <c r="BC91" i="3"/>
  <c r="GZ5" i="4" a="1"/>
  <c r="GQ12" i="4" a="1"/>
  <c r="HD15" i="4" a="1"/>
  <c r="HE7" i="4" a="1"/>
  <c r="HH11" i="4" a="1"/>
  <c r="BC67" i="3"/>
  <c r="BD79" i="3"/>
  <c r="BV85" i="3"/>
  <c r="BR94" i="3"/>
  <c r="AA111" i="2"/>
  <c r="BI71" i="3"/>
  <c r="BJ89" i="3"/>
  <c r="BK48" i="3"/>
  <c r="GT14" i="4" a="1"/>
  <c r="HH6" i="4" a="1"/>
  <c r="GQ13" i="4" a="1"/>
  <c r="HA7" i="4" a="1"/>
  <c r="FQ12" i="4" a="1"/>
  <c r="HB6" i="4" a="1"/>
  <c r="FH8" i="4" a="1"/>
  <c r="HE5" i="4" a="1"/>
  <c r="FZ9" i="4" a="1"/>
  <c r="GE5" i="4" a="1"/>
  <c r="GL7" i="4" a="1"/>
  <c r="FV13" i="4" a="1"/>
  <c r="HH5" i="4" a="1"/>
  <c r="FK8" i="4" a="1"/>
  <c r="BD87" i="3"/>
  <c r="FU8" i="4" a="1"/>
  <c r="FQ13" i="4" a="1"/>
  <c r="GK12" i="4" a="1"/>
  <c r="FS15" i="4" a="1"/>
  <c r="GQ9" i="4" a="1"/>
  <c r="GS15" i="4" a="1"/>
  <c r="BD59" i="3"/>
  <c r="BT90" i="3"/>
  <c r="BV57" i="3"/>
  <c r="BO56" i="3"/>
  <c r="BI79" i="3"/>
  <c r="BJ87" i="3"/>
  <c r="BK80" i="3"/>
  <c r="GC5" i="4" a="1"/>
  <c r="GQ7" i="4" a="1"/>
  <c r="FH14" i="4" a="1"/>
  <c r="FS8" i="4" a="1"/>
  <c r="GO12" i="4" a="1"/>
  <c r="FX7" i="4" a="1"/>
  <c r="GH11" i="4" a="1"/>
  <c r="GD6" i="4" a="1"/>
  <c r="GT9" i="4" a="1"/>
  <c r="FZ5" i="4" a="1"/>
  <c r="FO9" i="4" a="1"/>
  <c r="GT13" i="4" a="1"/>
  <c r="GA6" i="4" a="1"/>
  <c r="HG8" i="4" a="1"/>
  <c r="GK14" i="4" a="1"/>
  <c r="GV11" i="4" a="1"/>
  <c r="HF12" i="4" a="1"/>
  <c r="GI7" i="4" a="1"/>
  <c r="FU12" i="4" a="1"/>
  <c r="GE13" i="4" a="1"/>
  <c r="GJ14" i="4" a="1"/>
  <c r="GR11" i="4" a="1"/>
  <c r="HF14" i="4" a="1"/>
  <c r="GX15" i="4" a="1"/>
  <c r="FX16" i="4" a="1"/>
  <c r="GZ16" i="4" a="1"/>
  <c r="GJ7" i="4" a="1"/>
  <c r="GS13" i="4" a="1"/>
  <c r="GA15" i="4" a="1"/>
  <c r="FI11" i="4" a="1"/>
  <c r="FW14" i="4" a="1"/>
  <c r="GM15" i="4" a="1"/>
  <c r="FI16" i="4" a="1"/>
  <c r="GG16" i="4" a="1"/>
  <c r="HE16" i="4" a="1"/>
  <c r="BC96" i="3"/>
  <c r="BC81" i="3"/>
  <c r="GV8" i="4" a="1"/>
  <c r="GM16" i="4" a="1"/>
  <c r="BC68" i="3"/>
  <c r="BO66" i="3"/>
  <c r="BV58" i="3"/>
  <c r="BO61" i="3"/>
  <c r="BI91" i="3"/>
  <c r="BJ55" i="3"/>
  <c r="BK60" i="3"/>
  <c r="FL5" i="4" a="1"/>
  <c r="FG9" i="4" a="1"/>
  <c r="GF14" i="4" a="1"/>
  <c r="GE8" i="4" a="1"/>
  <c r="FK13" i="4" a="1"/>
  <c r="GV7" i="4" a="1"/>
  <c r="HF11" i="4" a="1"/>
  <c r="FH7" i="4" a="1"/>
  <c r="HD5" i="4" a="1"/>
  <c r="FM6" i="4" a="1"/>
  <c r="FJ6" i="4" a="1"/>
  <c r="FP14" i="4" a="1"/>
  <c r="FP7" i="4" a="1"/>
  <c r="GC9" i="4" a="1"/>
  <c r="FG15" i="4" a="1"/>
  <c r="HA11" i="4" a="1"/>
  <c r="FI13" i="4" a="1"/>
  <c r="GT7" i="4" a="1"/>
  <c r="FX12" i="4" a="1"/>
  <c r="GH13" i="4" a="1"/>
  <c r="GO14" i="4" a="1"/>
  <c r="FK12" i="4" a="1"/>
  <c r="FL15" i="4" a="1"/>
  <c r="GZ15" i="4" a="1"/>
  <c r="FZ16" i="4" a="1"/>
  <c r="HB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Z112" i="2"/>
  <c r="FK14" i="4" a="1"/>
  <c r="FM11" i="4" a="1"/>
  <c r="GW11" i="4" a="1"/>
  <c r="GM14" i="4" a="1"/>
  <c r="GQ15" i="4" a="1"/>
  <c r="FM16" i="4" a="1"/>
  <c r="GK16" i="4" a="1"/>
  <c r="BC70" i="3"/>
  <c r="BD71" i="3"/>
  <c r="GD9" i="4" a="1"/>
  <c r="GD12" i="4" a="1"/>
  <c r="FO16" i="4" a="1"/>
  <c r="GG9" i="4" a="1"/>
  <c r="BC77" i="3"/>
  <c r="BO57" i="3"/>
  <c r="BV70" i="3"/>
  <c r="BS66" i="3"/>
  <c r="BM47" i="3"/>
  <c r="BJ50" i="3"/>
  <c r="BK90" i="3"/>
  <c r="GB5" i="4" a="1"/>
  <c r="GE9" i="4" a="1"/>
  <c r="HA14" i="4" a="1"/>
  <c r="GQ8" i="4" a="1"/>
  <c r="GI13" i="4" a="1"/>
  <c r="FQ8" i="4" a="1"/>
  <c r="GB12" i="4" a="1"/>
  <c r="GK7" i="4" a="1"/>
  <c r="GU6" i="4" a="1"/>
  <c r="GK6" i="4" a="1"/>
  <c r="GG7" i="4" a="1"/>
  <c r="GN14" i="4" a="1"/>
  <c r="GN7" i="4" a="1"/>
  <c r="GV9" i="4" a="1"/>
  <c r="FN9" i="4" a="1"/>
  <c r="HD11" i="4" a="1"/>
  <c r="FL13" i="4" a="1"/>
  <c r="FP9" i="4" a="1"/>
  <c r="GC12" i="4" a="1"/>
  <c r="GM13" i="4" a="1"/>
  <c r="GZ14" i="4" a="1"/>
  <c r="FV12" i="4" a="1"/>
  <c r="FP15" i="4" a="1"/>
  <c r="HB15" i="4" a="1"/>
  <c r="GB16" i="4" a="1"/>
  <c r="HH16" i="4" a="1"/>
  <c r="FV9" i="4" a="1"/>
  <c r="BO90" i="3"/>
  <c r="BT72" i="3"/>
  <c r="BS74" i="3"/>
  <c r="BM87" i="3"/>
  <c r="BJ63" i="3"/>
  <c r="BK57" i="3"/>
  <c r="HG5" i="4" a="1"/>
  <c r="FQ7" i="4" a="1"/>
  <c r="FT7" i="4" a="1"/>
  <c r="HC5" i="4" a="1"/>
  <c r="GC14" i="4" a="1"/>
  <c r="GM8" i="4" a="1"/>
  <c r="FS13" i="4" a="1"/>
  <c r="BS68" i="3"/>
  <c r="BT79" i="3"/>
  <c r="BS58" i="3"/>
  <c r="BM89" i="3"/>
  <c r="BJ71" i="3"/>
  <c r="BK94" i="3"/>
  <c r="GN6" i="4" a="1"/>
  <c r="GB8" i="4" a="1"/>
  <c r="FY9" i="4" a="1"/>
  <c r="GG6" i="4" a="1"/>
  <c r="FW15" i="4" a="1"/>
  <c r="GX5" i="4" a="1"/>
  <c r="FU14" i="4" a="1"/>
  <c r="GS8" i="4" a="1"/>
  <c r="GM11" i="4" a="1"/>
  <c r="FV6" i="4" a="1"/>
  <c r="FU9" i="4" a="1"/>
  <c r="FK5" i="4" a="1"/>
  <c r="GO8" i="4" a="1"/>
  <c r="FT11" i="4" a="1"/>
  <c r="HE9" i="4" a="1"/>
  <c r="FO12" i="4" a="1"/>
  <c r="FT13" i="4" a="1"/>
  <c r="GF9" i="4" a="1"/>
  <c r="GN12" i="4" a="1"/>
  <c r="GU13" i="4" a="1"/>
  <c r="HH14" i="4" a="1"/>
  <c r="HB12" i="4" a="1"/>
  <c r="GC15" i="4" a="1"/>
  <c r="HF15" i="4" a="1"/>
  <c r="GJ16" i="4" a="1"/>
  <c r="GO11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FS16" i="4" a="1"/>
  <c r="BC59" i="3"/>
  <c r="BD56" i="3"/>
  <c r="BD77" i="3"/>
  <c r="FL16" i="4" a="1"/>
  <c r="GJ11" i="4" a="1"/>
  <c r="HG12" i="4" a="1"/>
  <c r="GY15" i="4" a="1"/>
  <c r="GS16" i="4" a="1"/>
  <c r="BC75" i="3"/>
  <c r="BD65" i="3"/>
  <c r="BD80" i="3"/>
  <c r="HC15" i="4" a="1"/>
  <c r="BC63" i="3"/>
  <c r="BD68" i="3"/>
  <c r="BS96" i="3"/>
  <c r="BT48" i="3"/>
  <c r="BP65" i="3"/>
  <c r="BF64" i="3"/>
  <c r="CL149" i="1" s="1"/>
  <c r="BJ81" i="3"/>
  <c r="BK95" i="3"/>
  <c r="FN6" i="4" a="1"/>
  <c r="HH9" i="4" a="1"/>
  <c r="FV5" i="4" a="1"/>
  <c r="GR7" i="4" a="1"/>
  <c r="FU5" i="4" a="1"/>
  <c r="GB9" i="4" a="1"/>
  <c r="GO9" i="4" a="1"/>
  <c r="GP5" i="4" a="1"/>
  <c r="GG12" i="4" a="1"/>
  <c r="GT6" i="4" a="1"/>
  <c r="GR9" i="4" a="1"/>
  <c r="FW5" i="4" a="1"/>
  <c r="HA8" i="4" a="1"/>
  <c r="FS7" i="4" a="1"/>
  <c r="FG11" i="4" a="1"/>
  <c r="FR12" i="4" a="1"/>
  <c r="GG13" i="4" a="1"/>
  <c r="GI11" i="4" a="1"/>
  <c r="GS12" i="4" a="1"/>
  <c r="HF13" i="4" a="1"/>
  <c r="FO6" i="4" a="1"/>
  <c r="FU13" i="4" a="1"/>
  <c r="GF15" i="4" a="1"/>
  <c r="HH15" i="4" a="1"/>
  <c r="GL16" i="4" a="1"/>
  <c r="FS12" i="4" a="1"/>
  <c r="FU11" i="4" a="1"/>
  <c r="GL14" i="4" a="1"/>
  <c r="HE13" i="4" a="1"/>
  <c r="GL12" i="4" a="1"/>
  <c r="FN15" i="4" a="1"/>
  <c r="GW15" i="4" a="1"/>
  <c r="GQ16" i="4" a="1"/>
  <c r="GC11" i="4" a="1"/>
  <c r="BC92" i="3"/>
  <c r="BC97" i="3"/>
  <c r="GN16" i="4" a="1"/>
  <c r="FH13" i="4" a="1"/>
  <c r="GQ14" i="4" a="1"/>
  <c r="GI14" i="4" a="1"/>
  <c r="FQ15" i="4" a="1"/>
  <c r="FU16" i="4" a="1"/>
  <c r="GZ11" i="4" a="1"/>
  <c r="BC66" i="3"/>
  <c r="BC62" i="3"/>
  <c r="GK13" i="4" a="1"/>
  <c r="GN13" i="4" a="1"/>
  <c r="BD91" i="3"/>
  <c r="BS50" i="3"/>
  <c r="BN59" i="3"/>
  <c r="BH93" i="3"/>
  <c r="BF96" i="3"/>
  <c r="CL163" i="1" s="1"/>
  <c r="BK73" i="3"/>
  <c r="BK54" i="3"/>
  <c r="GL6" i="4" a="1"/>
  <c r="FR11" i="4" a="1"/>
  <c r="GH5" i="4" a="1"/>
  <c r="FT8" i="4" a="1"/>
  <c r="GG5" i="4" a="1"/>
  <c r="GM6" i="4" a="1"/>
  <c r="FI5" i="4" a="1"/>
  <c r="HG7" i="4" a="1"/>
  <c r="GD13" i="4" a="1"/>
  <c r="FM7" i="4" a="1"/>
  <c r="HD9" i="4" a="1"/>
  <c r="FJ5" i="4" a="1"/>
  <c r="HF5" i="4" a="1"/>
  <c r="FS9" i="4" a="1"/>
  <c r="FO11" i="4" a="1"/>
  <c r="FW12" i="4" a="1"/>
  <c r="GJ13" i="4" a="1"/>
  <c r="GQ11" i="4" a="1"/>
  <c r="GV12" i="4" a="1"/>
  <c r="FI14" i="4" a="1"/>
  <c r="FY7" i="4" a="1"/>
  <c r="GF13" i="4" a="1"/>
  <c r="GH15" i="4" a="1"/>
  <c r="BU69" i="3"/>
  <c r="BN60" i="3"/>
  <c r="BL54" i="3"/>
  <c r="BF50" i="3"/>
  <c r="CL74" i="1" s="1"/>
  <c r="BK69" i="3"/>
  <c r="BK96" i="3"/>
  <c r="GY6" i="4" a="1"/>
  <c r="FZ11" i="4" a="1"/>
  <c r="HB5" i="4" a="1"/>
  <c r="GR8" i="4" a="1"/>
  <c r="FX5" i="4" a="1"/>
  <c r="GB7" i="4" a="1"/>
  <c r="FY5" i="4" a="1"/>
  <c r="FW9" i="4" a="1"/>
  <c r="HB13" i="4" a="1"/>
  <c r="FG8" i="4" a="1"/>
  <c r="GY7" i="4" a="1"/>
  <c r="GD5" i="4" a="1"/>
  <c r="GN5" i="4" a="1"/>
  <c r="GP11" i="4" a="1"/>
  <c r="FS11" i="4" a="1"/>
  <c r="FZ12" i="4" a="1"/>
  <c r="GO13" i="4" a="1"/>
  <c r="GT11" i="4" a="1"/>
  <c r="HA12" i="4" a="1"/>
  <c r="FL14" i="4" a="1"/>
  <c r="FN8" i="4" a="1"/>
  <c r="HA13" i="4" a="1"/>
  <c r="GJ15" i="4" a="1"/>
  <c r="FN16" i="4" a="1"/>
  <c r="GP16" i="4" a="1"/>
  <c r="FN14" i="4" a="1"/>
  <c r="HE11" i="4" a="1"/>
  <c r="HB14" i="4" a="1"/>
  <c r="FH15" i="4" a="1"/>
  <c r="FP13" i="4" a="1"/>
  <c r="FU15" i="4" a="1"/>
  <c r="HA15" i="4" a="1"/>
  <c r="FW16" i="4" a="1"/>
  <c r="GU16" i="4" a="1"/>
  <c r="GY12" i="4" a="1"/>
  <c r="BC73" i="3"/>
  <c r="BC89" i="3"/>
  <c r="BC80" i="3"/>
  <c r="BD64" i="3"/>
  <c r="BD69" i="3"/>
  <c r="FQ14" i="4" a="1"/>
  <c r="FJ14" i="4" a="1"/>
  <c r="FP16" i="4" a="1"/>
  <c r="GD14" i="4" a="1"/>
  <c r="FN12" i="4" a="1"/>
  <c r="FY15" i="4" a="1"/>
  <c r="GB15" i="4" a="1"/>
  <c r="FY16" i="4" a="1"/>
  <c r="BC86" i="3"/>
  <c r="BQ69" i="3"/>
  <c r="BU92" i="3"/>
  <c r="BN63" i="3"/>
  <c r="BE89" i="3"/>
  <c r="BJ47" i="3"/>
  <c r="BK77" i="3"/>
  <c r="BK63" i="3"/>
  <c r="FU7" i="4" a="1"/>
  <c r="FW6" i="4" a="1"/>
  <c r="GC6" i="4" a="1"/>
  <c r="FM9" i="4" a="1"/>
  <c r="GL5" i="4" a="1"/>
  <c r="FP8" i="4" a="1"/>
  <c r="GI5" i="4" a="1"/>
  <c r="HA5" i="4" a="1"/>
  <c r="GZ7" i="4" a="1"/>
  <c r="FW8" i="4" a="1"/>
  <c r="GN9" i="4" a="1"/>
  <c r="GY5" i="4" a="1"/>
  <c r="FT9" i="4" a="1"/>
  <c r="FL12" i="4" a="1"/>
  <c r="FW11" i="4" a="1"/>
  <c r="GM12" i="4" a="1"/>
  <c r="GR13" i="4" a="1"/>
  <c r="GY11" i="4" a="1"/>
  <c r="FJ13" i="4" a="1"/>
  <c r="GT8" i="4" a="1"/>
  <c r="GP15" i="4" a="1"/>
  <c r="GR16" i="4" a="1"/>
  <c r="HG14" i="4" a="1"/>
  <c r="GW16" i="4" a="1"/>
  <c r="BD47" i="3"/>
  <c r="CH140" i="1" l="1"/>
  <c r="CI140" i="1" s="1"/>
  <c r="AA202" i="1"/>
  <c r="CL98" i="1"/>
  <c r="CL99" i="1" s="1"/>
  <c r="CL148" i="1"/>
  <c r="CL16" i="1"/>
  <c r="CK10" i="1"/>
  <c r="CL161" i="1"/>
  <c r="CL168" i="1"/>
  <c r="CL109" i="1" s="1"/>
  <c r="CL182" i="1"/>
  <c r="CL156" i="1"/>
  <c r="CL120" i="1"/>
  <c r="CL129" i="1" s="1"/>
  <c r="CL138" i="1"/>
  <c r="CO20" i="1"/>
  <c r="CS20" i="1" s="1"/>
  <c r="X179" i="1"/>
  <c r="CK26" i="1"/>
  <c r="Z154" i="1"/>
  <c r="CH154" i="1" s="1"/>
  <c r="CH156" i="1" s="1"/>
  <c r="CH185" i="1" s="1"/>
  <c r="Z161" i="1"/>
  <c r="AA209" i="1" s="1"/>
  <c r="CJ149" i="1"/>
  <c r="KB16" i="4" s="1"/>
  <c r="CJ154" i="1"/>
  <c r="JU16" i="4" s="1"/>
  <c r="KH9" i="4" s="1"/>
  <c r="CJ134" i="1"/>
  <c r="CK33" i="1" s="1"/>
  <c r="CJ159" i="1"/>
  <c r="CJ150" i="1"/>
  <c r="KC16" i="4" s="1"/>
  <c r="JR16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J151" i="1"/>
  <c r="KE9" i="4" s="1"/>
  <c r="JZ16" i="4" s="1"/>
  <c r="KG9" i="4" s="1"/>
  <c r="JU9" i="4" s="1"/>
  <c r="JU21" i="4" s="1"/>
  <c r="KH16" i="4" s="1"/>
  <c r="KD9" i="4" s="1"/>
  <c r="JY9" i="4" s="1"/>
  <c r="JS16" i="4" s="1"/>
  <c r="JX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F16" i="4" s="1"/>
  <c r="KA16" i="4" s="1"/>
  <c r="KG16" i="4" s="1"/>
  <c r="CJ152" i="1"/>
  <c r="CJ143" i="1"/>
  <c r="CJ125" i="1"/>
  <c r="CK125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D16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T16" i="4" s="1"/>
  <c r="Z74" i="1"/>
  <c r="CJ153" i="1"/>
  <c r="CJ183" i="1" s="1"/>
  <c r="CK183" i="1" s="1"/>
  <c r="CJ147" i="1"/>
  <c r="Y74" i="1"/>
  <c r="CI74" i="1"/>
  <c r="Z73" i="1"/>
  <c r="CJ160" i="1"/>
  <c r="CK74" i="1"/>
  <c r="CJ142" i="1"/>
  <c r="CH73" i="1"/>
  <c r="CJ74" i="1"/>
  <c r="JT8" i="4" s="1"/>
  <c r="CJ155" i="1"/>
  <c r="CJ124" i="1"/>
  <c r="CK124" i="1" s="1"/>
  <c r="CM124" i="1" s="1"/>
  <c r="CG73" i="1"/>
  <c r="KC9" i="4" s="1"/>
  <c r="JV9" i="4" s="1"/>
  <c r="JZ9" i="4" s="1"/>
  <c r="CJ73" i="1"/>
  <c r="CG74" i="1"/>
  <c r="JQ7" i="4" s="1"/>
  <c r="JR9" i="4" s="1"/>
  <c r="JT9" i="4" s="1"/>
  <c r="JZ7" i="4" s="1"/>
  <c r="CJ133" i="1"/>
  <c r="CK133" i="1" s="1"/>
  <c r="CI73" i="1"/>
  <c r="KD7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X73" i="1"/>
  <c r="CK65" i="1"/>
  <c r="CK98" i="1"/>
  <c r="X183" i="1"/>
  <c r="Y173" i="1"/>
  <c r="X252" i="1"/>
  <c r="Z252" i="1"/>
  <c r="X10" i="1"/>
  <c r="Y148" i="1"/>
  <c r="Y182" i="1" s="1"/>
  <c r="Y134" i="1"/>
  <c r="Y26" i="1"/>
  <c r="Y179" i="1"/>
  <c r="X173" i="1"/>
  <c r="X194" i="1"/>
  <c r="X253" i="1"/>
  <c r="Y194" i="1"/>
  <c r="Y253" i="1"/>
  <c r="Z253" i="1"/>
  <c r="Z194" i="1"/>
  <c r="X148" i="1"/>
  <c r="X180" i="1"/>
  <c r="CH143" i="1"/>
  <c r="Z148" i="1"/>
  <c r="AA196" i="1" s="1"/>
  <c r="Y252" i="1"/>
  <c r="Y10" i="1"/>
  <c r="Y231" i="1"/>
  <c r="Y183" i="1"/>
  <c r="CH117" i="1"/>
  <c r="Z120" i="1"/>
  <c r="AA207" i="1" s="1"/>
  <c r="CH144" i="1"/>
  <c r="CH179" i="1" s="1"/>
  <c r="CI179" i="1" s="1"/>
  <c r="Z179" i="1"/>
  <c r="Z231" i="1"/>
  <c r="Z180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JT7" i="4"/>
  <c r="KB7" i="4"/>
  <c r="JU7" i="4"/>
  <c r="JQ14" i="4"/>
  <c r="JX7" i="4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KA8" i="4"/>
  <c r="KA7" i="4"/>
  <c r="JT14" i="4"/>
  <c r="JR15" i="4"/>
  <c r="KA14" i="4"/>
  <c r="KD15" i="4"/>
  <c r="KF15" i="4"/>
  <c r="KE15" i="4"/>
  <c r="KG15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Z156" i="1"/>
  <c r="AA197" i="1" s="1"/>
  <c r="Z209" i="1"/>
  <c r="CI209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C21" i="4" l="1"/>
  <c r="KG21" i="4"/>
  <c r="JY16" i="4" s="1"/>
  <c r="JY21" i="4" s="1"/>
  <c r="JQ16" i="4" s="1"/>
  <c r="KD21" i="4"/>
  <c r="JX16" i="4" s="1"/>
  <c r="JW9" i="4" s="1"/>
  <c r="JW21" i="4" s="1"/>
  <c r="JT21" i="4"/>
  <c r="JS14" i="4" s="1"/>
  <c r="KA9" i="4" s="1"/>
  <c r="JQ9" i="4" s="1"/>
  <c r="KF9" i="4" s="1"/>
  <c r="KF21" i="4" s="1"/>
  <c r="KG7" i="4" s="1"/>
  <c r="KB8" i="4" s="1"/>
  <c r="KB9" i="4" s="1"/>
  <c r="KB21" i="4" s="1"/>
  <c r="KG8" i="4" s="1"/>
  <c r="KC7" i="4" s="1"/>
  <c r="CK99" i="1"/>
  <c r="CK27" i="1"/>
  <c r="JR21" i="4"/>
  <c r="CL77" i="1" s="1"/>
  <c r="AA11" i="1"/>
  <c r="AA188" i="1"/>
  <c r="AA206" i="1"/>
  <c r="AA205" i="1" s="1"/>
  <c r="AA249" i="1"/>
  <c r="AA198" i="1"/>
  <c r="AA199" i="1" s="1"/>
  <c r="CJ202" i="1"/>
  <c r="CK140" i="1"/>
  <c r="CL202" i="1" s="1"/>
  <c r="CL188" i="1"/>
  <c r="JW8" i="4"/>
  <c r="CL28" i="1"/>
  <c r="CL17" i="1"/>
  <c r="CL12" i="1"/>
  <c r="CK16" i="1"/>
  <c r="CL248" i="1"/>
  <c r="CL246" i="1"/>
  <c r="CL181" i="1"/>
  <c r="CL92" i="1"/>
  <c r="CL94" i="1" s="1"/>
  <c r="KD8" i="4"/>
  <c r="KD20" i="4" s="1"/>
  <c r="KF7" i="4"/>
  <c r="JZ15" i="4"/>
  <c r="JR14" i="4"/>
  <c r="JZ14" i="4"/>
  <c r="JZ19" i="4" s="1"/>
  <c r="KC14" i="4"/>
  <c r="KC19" i="4" s="1"/>
  <c r="KH21" i="4"/>
  <c r="CJ161" i="1"/>
  <c r="CJ156" i="1"/>
  <c r="CJ185" i="1" s="1"/>
  <c r="CJ184" i="1" s="1"/>
  <c r="CK184" i="1" s="1"/>
  <c r="JZ21" i="4"/>
  <c r="JX15" i="4"/>
  <c r="JX8" i="4"/>
  <c r="JT15" i="4"/>
  <c r="JT20" i="4" s="1"/>
  <c r="JX21" i="4"/>
  <c r="KB14" i="4"/>
  <c r="KB19" i="4" s="1"/>
  <c r="KA21" i="4"/>
  <c r="JU14" i="4"/>
  <c r="JU19" i="4" s="1"/>
  <c r="KB15" i="4"/>
  <c r="KB20" i="4" s="1"/>
  <c r="KE14" i="4"/>
  <c r="KH8" i="4"/>
  <c r="KA15" i="4"/>
  <c r="KA20" i="4" s="1"/>
  <c r="JS8" i="4"/>
  <c r="JW7" i="4"/>
  <c r="JV14" i="4"/>
  <c r="KH7" i="4"/>
  <c r="CL185" i="1"/>
  <c r="CL157" i="1"/>
  <c r="CL165" i="1" s="1"/>
  <c r="CL166" i="1" s="1"/>
  <c r="CI16" i="1"/>
  <c r="CL244" i="1"/>
  <c r="CL225" i="1"/>
  <c r="CJ148" i="1"/>
  <c r="CJ128" i="1"/>
  <c r="KD14" i="4"/>
  <c r="KD19" i="4" s="1"/>
  <c r="CJ120" i="1"/>
  <c r="KC15" i="4"/>
  <c r="KG14" i="4"/>
  <c r="KG19" i="4" s="1"/>
  <c r="JR8" i="4"/>
  <c r="JR20" i="4" s="1"/>
  <c r="CL79" i="1" s="1"/>
  <c r="JY8" i="4"/>
  <c r="KC8" i="4"/>
  <c r="JS7" i="4"/>
  <c r="JS19" i="4" s="1"/>
  <c r="KE7" i="4"/>
  <c r="JR7" i="4"/>
  <c r="JY7" i="4"/>
  <c r="JX14" i="4"/>
  <c r="JX19" i="4" s="1"/>
  <c r="KF8" i="4"/>
  <c r="KF20" i="4" s="1"/>
  <c r="JV15" i="4"/>
  <c r="JQ8" i="4"/>
  <c r="JY15" i="4"/>
  <c r="JV7" i="4"/>
  <c r="JW14" i="4"/>
  <c r="CM133" i="1"/>
  <c r="CN133" i="1" s="1"/>
  <c r="CO133" i="1" s="1"/>
  <c r="CP133" i="1" s="1"/>
  <c r="AB133" i="1" s="1"/>
  <c r="JZ8" i="4"/>
  <c r="JS15" i="4"/>
  <c r="JW15" i="4"/>
  <c r="KE8" i="4"/>
  <c r="KE21" i="4"/>
  <c r="JY14" i="4"/>
  <c r="JV8" i="4"/>
  <c r="CJ138" i="1"/>
  <c r="KH15" i="4"/>
  <c r="JU8" i="4"/>
  <c r="JQ15" i="4"/>
  <c r="KF14" i="4"/>
  <c r="CJ131" i="1"/>
  <c r="CK131" i="1" s="1"/>
  <c r="KG20" i="4"/>
  <c r="Z134" i="1"/>
  <c r="CH131" i="1"/>
  <c r="CH148" i="1"/>
  <c r="X157" i="1"/>
  <c r="X27" i="1"/>
  <c r="X16" i="1"/>
  <c r="X98" i="1"/>
  <c r="Y33" i="1"/>
  <c r="Y138" i="1"/>
  <c r="Z27" i="1"/>
  <c r="Y196" i="1"/>
  <c r="X182" i="1"/>
  <c r="X181" i="1" s="1"/>
  <c r="Z182" i="1"/>
  <c r="Z181" i="1" s="1"/>
  <c r="Z196" i="1"/>
  <c r="Y188" i="1"/>
  <c r="Y16" i="1"/>
  <c r="Y98" i="1"/>
  <c r="Y27" i="1"/>
  <c r="Y11" i="1"/>
  <c r="CI117" i="1"/>
  <c r="CH120" i="1"/>
  <c r="Z175" i="1"/>
  <c r="Z248" i="1"/>
  <c r="JT19" i="4"/>
  <c r="CG27" i="1"/>
  <c r="CG16" i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I206" i="1"/>
  <c r="X185" i="1"/>
  <c r="Y197" i="1"/>
  <c r="Y249" i="1"/>
  <c r="Y206" i="1"/>
  <c r="Y168" i="1"/>
  <c r="Y109" i="1" s="1"/>
  <c r="CK128" i="1"/>
  <c r="KA19" i="4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Z185" i="1"/>
  <c r="Z157" i="1"/>
  <c r="Z197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L102" i="1" l="1"/>
  <c r="KE19" i="4"/>
  <c r="KE20" i="4"/>
  <c r="CH92" i="1"/>
  <c r="CH94" i="1" s="1"/>
  <c r="CK202" i="1"/>
  <c r="JQ21" i="4"/>
  <c r="CK77" i="1" s="1"/>
  <c r="CK102" i="1" s="1"/>
  <c r="JV16" i="4"/>
  <c r="CK209" i="1"/>
  <c r="JV19" i="4"/>
  <c r="JX20" i="4"/>
  <c r="JR19" i="4"/>
  <c r="CL78" i="1" s="1"/>
  <c r="JY19" i="4"/>
  <c r="JV20" i="4"/>
  <c r="JQ20" i="4"/>
  <c r="CK79" i="1" s="1"/>
  <c r="JY20" i="4"/>
  <c r="JW19" i="4"/>
  <c r="JZ20" i="4"/>
  <c r="JS20" i="4"/>
  <c r="JW20" i="4"/>
  <c r="CL184" i="1"/>
  <c r="CL186" i="1"/>
  <c r="CI17" i="1"/>
  <c r="CI28" i="1"/>
  <c r="CJ157" i="1"/>
  <c r="CJ165" i="1" s="1"/>
  <c r="CJ182" i="1"/>
  <c r="CJ249" i="1"/>
  <c r="CJ206" i="1"/>
  <c r="CJ92" i="1"/>
  <c r="CJ94" i="1" s="1"/>
  <c r="CJ248" i="1"/>
  <c r="CL29" i="1"/>
  <c r="CL232" i="1"/>
  <c r="CL233" i="1" s="1"/>
  <c r="CL34" i="1"/>
  <c r="CL38" i="1" s="1"/>
  <c r="CK28" i="1"/>
  <c r="CL250" i="1" s="1"/>
  <c r="CK17" i="1"/>
  <c r="CL19" i="1"/>
  <c r="CJ129" i="1"/>
  <c r="CJ246" i="1"/>
  <c r="KH20" i="4"/>
  <c r="KF19" i="4"/>
  <c r="CK18" i="1"/>
  <c r="CK19" i="1"/>
  <c r="CL104" i="1"/>
  <c r="CL108" i="1"/>
  <c r="CL111" i="1" s="1"/>
  <c r="CL96" i="1"/>
  <c r="CL249" i="1"/>
  <c r="CL206" i="1"/>
  <c r="CJ244" i="1"/>
  <c r="CQ133" i="1"/>
  <c r="CR133" i="1" s="1"/>
  <c r="CS133" i="1" s="1"/>
  <c r="CT133" i="1" s="1"/>
  <c r="KC20" i="4"/>
  <c r="Y165" i="1"/>
  <c r="Y166" i="1" s="1"/>
  <c r="Z198" i="1"/>
  <c r="Y246" i="1"/>
  <c r="Y244" i="1"/>
  <c r="X165" i="1"/>
  <c r="X166" i="1" s="1"/>
  <c r="Z138" i="1"/>
  <c r="AA203" i="1" s="1"/>
  <c r="AA201" i="1" s="1"/>
  <c r="Z33" i="1"/>
  <c r="CI131" i="1"/>
  <c r="CI134" i="1" s="1"/>
  <c r="CH134" i="1"/>
  <c r="CH182" i="1"/>
  <c r="CH157" i="1"/>
  <c r="CH129" i="1"/>
  <c r="CH248" i="1"/>
  <c r="CK104" i="1"/>
  <c r="CK108" i="1"/>
  <c r="X244" i="1"/>
  <c r="Y203" i="1"/>
  <c r="Y201" i="1" s="1"/>
  <c r="X246" i="1"/>
  <c r="CK103" i="1"/>
  <c r="CK107" i="1"/>
  <c r="X28" i="1"/>
  <c r="X17" i="1"/>
  <c r="Y198" i="1"/>
  <c r="Y18" i="1"/>
  <c r="Y17" i="1"/>
  <c r="Y28" i="1"/>
  <c r="Z18" i="1"/>
  <c r="Z17" i="1"/>
  <c r="Z28" i="1"/>
  <c r="CH96" i="1"/>
  <c r="CG28" i="1"/>
  <c r="CK30" i="1" s="1"/>
  <c r="CG17" i="1"/>
  <c r="CK185" i="1"/>
  <c r="Y184" i="1"/>
  <c r="Y186" i="1"/>
  <c r="CI185" i="1"/>
  <c r="CI152" i="1"/>
  <c r="CM140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J96" i="1" l="1"/>
  <c r="CJ95" i="1"/>
  <c r="CJ181" i="1"/>
  <c r="CK181" i="1" s="1"/>
  <c r="CJ186" i="1"/>
  <c r="JV21" i="4"/>
  <c r="KH14" i="4"/>
  <c r="CL103" i="1"/>
  <c r="CL95" i="1"/>
  <c r="CL107" i="1"/>
  <c r="CL110" i="1" s="1"/>
  <c r="AA210" i="1"/>
  <c r="AA211" i="1" s="1"/>
  <c r="AA213" i="1"/>
  <c r="Z34" i="1"/>
  <c r="AA30" i="1"/>
  <c r="AA250" i="1"/>
  <c r="AA251" i="1" s="1"/>
  <c r="CJ166" i="1"/>
  <c r="CL251" i="1"/>
  <c r="CI34" i="1"/>
  <c r="CI232" i="1"/>
  <c r="CI233" i="1" s="1"/>
  <c r="CI29" i="1"/>
  <c r="Y29" i="1"/>
  <c r="Z30" i="1"/>
  <c r="CL40" i="1"/>
  <c r="CL41" i="1"/>
  <c r="CK34" i="1"/>
  <c r="CK38" i="1" s="1"/>
  <c r="CK29" i="1"/>
  <c r="CL31" i="1"/>
  <c r="CU133" i="1"/>
  <c r="CV133" i="1" s="1"/>
  <c r="CW133" i="1" s="1"/>
  <c r="CX133" i="1" s="1"/>
  <c r="AC133" i="1"/>
  <c r="X34" i="1"/>
  <c r="X112" i="1"/>
  <c r="X29" i="1"/>
  <c r="CK31" i="1"/>
  <c r="CL112" i="1"/>
  <c r="CL226" i="1"/>
  <c r="Y30" i="1"/>
  <c r="Y232" i="1"/>
  <c r="Y233" i="1" s="1"/>
  <c r="Y112" i="1"/>
  <c r="Y34" i="1"/>
  <c r="Y250" i="1"/>
  <c r="Y251" i="1" s="1"/>
  <c r="X232" i="1"/>
  <c r="X233" i="1" s="1"/>
  <c r="Z232" i="1"/>
  <c r="Z233" i="1" s="1"/>
  <c r="Z250" i="1"/>
  <c r="Z251" i="1" s="1"/>
  <c r="Z29" i="1"/>
  <c r="Z112" i="1"/>
  <c r="Z165" i="1"/>
  <c r="Z166" i="1" s="1"/>
  <c r="Z203" i="1"/>
  <c r="Z201" i="1" s="1"/>
  <c r="Z246" i="1"/>
  <c r="Z244" i="1"/>
  <c r="CJ33" i="1"/>
  <c r="CI138" i="1"/>
  <c r="CJ203" i="1" s="1"/>
  <c r="CJ201" i="1" s="1"/>
  <c r="CI33" i="1"/>
  <c r="CH138" i="1"/>
  <c r="CH246" i="1" s="1"/>
  <c r="CH181" i="1"/>
  <c r="CI181" i="1" s="1"/>
  <c r="CI182" i="1" s="1"/>
  <c r="CH186" i="1"/>
  <c r="CL189" i="1" s="1"/>
  <c r="CI250" i="1"/>
  <c r="CI251" i="1" s="1"/>
  <c r="CK112" i="1"/>
  <c r="Y189" i="1"/>
  <c r="Y190" i="1" s="1"/>
  <c r="Z189" i="1"/>
  <c r="Z190" i="1" s="1"/>
  <c r="CM17" i="1"/>
  <c r="CG29" i="1"/>
  <c r="CG34" i="1"/>
  <c r="CG38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K182" i="1" l="1"/>
  <c r="CK186" i="1" s="1"/>
  <c r="Z38" i="1"/>
  <c r="Z55" i="1"/>
  <c r="KH19" i="4"/>
  <c r="JS9" i="4"/>
  <c r="CI203" i="1"/>
  <c r="CI201" i="1" s="1"/>
  <c r="CI38" i="1"/>
  <c r="CL55" i="1"/>
  <c r="CY133" i="1"/>
  <c r="CZ133" i="1" s="1"/>
  <c r="DA133" i="1" s="1"/>
  <c r="DB133" i="1" s="1"/>
  <c r="AE133" i="1" s="1"/>
  <c r="AD133" i="1"/>
  <c r="X55" i="1"/>
  <c r="X38" i="1"/>
  <c r="X41" i="1" s="1"/>
  <c r="CL234" i="1"/>
  <c r="CL48" i="1"/>
  <c r="CL42" i="1"/>
  <c r="CL245" i="1" s="1"/>
  <c r="CK41" i="1"/>
  <c r="CK40" i="1"/>
  <c r="CL113" i="1"/>
  <c r="CL114" i="1"/>
  <c r="Y55" i="1"/>
  <c r="Y38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H165" i="1"/>
  <c r="CH166" i="1" s="1"/>
  <c r="CI146" i="1"/>
  <c r="CG41" i="1"/>
  <c r="CG40" i="1"/>
  <c r="CN202" i="1"/>
  <c r="CO140" i="1"/>
  <c r="CN184" i="1"/>
  <c r="CM185" i="1"/>
  <c r="CH41" i="1"/>
  <c r="CL43" i="1" s="1"/>
  <c r="CH40" i="1"/>
  <c r="CJ41" i="1"/>
  <c r="CJ40" i="1"/>
  <c r="CM181" i="1"/>
  <c r="CO125" i="1"/>
  <c r="CN128" i="1"/>
  <c r="CN249" i="1" s="1"/>
  <c r="CM206" i="1"/>
  <c r="Z41" i="1"/>
  <c r="AA43" i="1" s="1"/>
  <c r="Z40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JS21" i="4" l="1"/>
  <c r="JU15" i="4"/>
  <c r="JU20" i="4" s="1"/>
  <c r="CK138" i="1"/>
  <c r="X40" i="1"/>
  <c r="CI40" i="1"/>
  <c r="CI41" i="1"/>
  <c r="CL193" i="1"/>
  <c r="CL195" i="1" s="1"/>
  <c r="CL66" i="1"/>
  <c r="CL52" i="1"/>
  <c r="CK42" i="1"/>
  <c r="CK48" i="1"/>
  <c r="CL44" i="1"/>
  <c r="CM131" i="1"/>
  <c r="CN131" i="1" s="1"/>
  <c r="CO131" i="1" s="1"/>
  <c r="CP131" i="1" s="1"/>
  <c r="Y40" i="1"/>
  <c r="Y41" i="1"/>
  <c r="CJ44" i="1"/>
  <c r="CL227" i="1"/>
  <c r="CK203" i="1"/>
  <c r="CK201" i="1" s="1"/>
  <c r="CL203" i="1"/>
  <c r="CL201" i="1" s="1"/>
  <c r="CJ42" i="1"/>
  <c r="CJ245" i="1" s="1"/>
  <c r="CJ234" i="1"/>
  <c r="CK43" i="1"/>
  <c r="CJ227" i="1"/>
  <c r="CO202" i="1"/>
  <c r="CP140" i="1"/>
  <c r="CP202" i="1" s="1"/>
  <c r="CJ48" i="1"/>
  <c r="CK44" i="1"/>
  <c r="CI44" i="1"/>
  <c r="CH48" i="1"/>
  <c r="CH42" i="1"/>
  <c r="CH245" i="1" s="1"/>
  <c r="CH234" i="1"/>
  <c r="CN185" i="1"/>
  <c r="CO184" i="1"/>
  <c r="CG42" i="1"/>
  <c r="CG245" i="1" s="1"/>
  <c r="CG234" i="1"/>
  <c r="CG48" i="1"/>
  <c r="CH4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193" i="1"/>
  <c r="CJ195" i="1" s="1"/>
  <c r="CJ52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AR5" i="3"/>
  <c r="AZ27" i="3"/>
  <c r="AZ26" i="3"/>
  <c r="X5" i="6" a="1"/>
  <c r="AF17" i="3"/>
  <c r="EQ12" i="4" a="1"/>
  <c r="EP12" i="4" a="1"/>
  <c r="EM11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R15" i="4" a="1"/>
  <c r="EV14" i="4" a="1"/>
  <c r="EW11" i="4" a="1"/>
  <c r="AL5" i="6" a="1"/>
  <c r="AN5" i="6" a="1"/>
  <c r="AF38" i="3"/>
  <c r="AV35" i="3"/>
  <c r="AS16" i="3"/>
  <c r="AT19" i="3"/>
  <c r="AS31" i="3"/>
  <c r="D5" i="6" a="1"/>
  <c r="AC6" i="6" a="1"/>
  <c r="EW8" i="4" a="1"/>
  <c r="EN6" i="4" a="1"/>
  <c r="EQ6" i="4" a="1"/>
  <c r="EO8" i="4" a="1"/>
  <c r="EQ7" i="4" a="1"/>
  <c r="EV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S21" i="3"/>
  <c r="AZ13" i="3"/>
  <c r="AR5" i="6" a="1"/>
  <c r="C6" i="4" a="1"/>
  <c r="EP6" i="4" a="1"/>
  <c r="EU13" i="4" a="1"/>
  <c r="EW7" i="4" a="1"/>
  <c r="AX23" i="3"/>
  <c r="AZ8" i="3"/>
  <c r="AS9" i="3"/>
  <c r="AW31" i="3"/>
  <c r="AV46" i="3"/>
  <c r="AV7" i="3"/>
  <c r="AZ5" i="3"/>
  <c r="AV34" i="3"/>
  <c r="G5" i="6" a="1"/>
  <c r="AS23" i="3"/>
  <c r="AF15" i="3"/>
  <c r="AY39" i="3"/>
  <c r="EN5" i="4" a="1"/>
  <c r="ES9" i="4" a="1"/>
  <c r="EU16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M5" i="6" a="1"/>
  <c r="EW16" i="4" a="1"/>
  <c r="EU11" i="4" a="1"/>
  <c r="EL8" i="4" a="1"/>
  <c r="EN13" i="4" a="1"/>
  <c r="AW20" i="3"/>
  <c r="J5" i="6" a="1"/>
  <c r="AX18" i="3"/>
  <c r="ET6" i="4" a="1"/>
  <c r="EO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ER14" i="4" a="1"/>
  <c r="EW6" i="4" a="1"/>
  <c r="EW12" i="4" a="1"/>
  <c r="EU1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EV16" i="4" a="1"/>
  <c r="AT23" i="3"/>
  <c r="AY18" i="3"/>
  <c r="AY11" i="3"/>
  <c r="AY28" i="3"/>
  <c r="W5" i="6" a="1"/>
  <c r="AF28" i="3"/>
  <c r="AH5" i="6" a="1"/>
  <c r="AY16" i="3"/>
  <c r="AF33" i="3"/>
  <c r="AT6" i="3"/>
  <c r="AT16" i="3"/>
  <c r="X6" i="6" a="1"/>
  <c r="ER13" i="4" a="1"/>
  <c r="EL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L5" i="6" a="1"/>
  <c r="AZ32" i="3"/>
  <c r="AF23" i="3"/>
  <c r="AU30" i="3"/>
  <c r="AM5" i="6" a="1"/>
  <c r="ER16" i="4" a="1"/>
  <c r="ES16" i="4" a="1"/>
  <c r="EM14" i="4" a="1"/>
  <c r="ET8" i="4" a="1"/>
  <c r="EM13" i="4" a="1"/>
  <c r="EV9" i="4" a="1"/>
  <c r="EL14" i="4" a="1"/>
  <c r="E6" i="6" a="1"/>
  <c r="AY19" i="3"/>
  <c r="AF36" i="3"/>
  <c r="AW38" i="3"/>
  <c r="AX11" i="3"/>
  <c r="AV15" i="3"/>
  <c r="S6" i="6" a="1"/>
  <c r="AT34" i="3"/>
  <c r="AS42" i="3"/>
  <c r="EP5" i="4" a="1"/>
  <c r="EN14" i="4" a="1"/>
  <c r="EQ5" i="4" a="1"/>
  <c r="EO13" i="4" a="1"/>
  <c r="ES11" i="4" a="1"/>
  <c r="CI234" i="1" l="1"/>
  <c r="CI48" i="1"/>
  <c r="CI42" i="1"/>
  <c r="CI245" i="1" s="1"/>
  <c r="CK66" i="1"/>
  <c r="CK52" i="1"/>
  <c r="AB131" i="1"/>
  <c r="CQ131" i="1"/>
  <c r="CR131" i="1" s="1"/>
  <c r="CS131" i="1" s="1"/>
  <c r="CT131" i="1" s="1"/>
  <c r="CJ66" i="1"/>
  <c r="CL54" i="1"/>
  <c r="CH193" i="1"/>
  <c r="CH195" i="1" s="1"/>
  <c r="CH66" i="1"/>
  <c r="CH52" i="1"/>
  <c r="CP184" i="1"/>
  <c r="CO185" i="1"/>
  <c r="CJ54" i="1"/>
  <c r="CG193" i="1"/>
  <c r="CG195" i="1" s="1"/>
  <c r="CG52" i="1"/>
  <c r="CG66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S124" i="1"/>
  <c r="CR140" i="1"/>
  <c r="CR202" i="1" s="1"/>
  <c r="CR180" i="1"/>
  <c r="CR183" i="1"/>
  <c r="CR179" i="1"/>
  <c r="CJ55" i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Y81" i="3"/>
  <c r="AW64" i="3"/>
  <c r="AX85" i="3"/>
  <c r="AW47" i="3"/>
  <c r="AX96" i="3"/>
  <c r="AZ89" i="3"/>
  <c r="C72" i="3"/>
  <c r="AU85" i="3"/>
  <c r="C55" i="3"/>
  <c r="AZ97" i="3"/>
  <c r="AV71" i="3"/>
  <c r="AW87" i="3"/>
  <c r="AU63" i="3"/>
  <c r="AT47" i="3"/>
  <c r="AV91" i="3"/>
  <c r="AT78" i="3"/>
  <c r="AV58" i="3"/>
  <c r="AU48" i="3"/>
  <c r="C61" i="3"/>
  <c r="AX82" i="3"/>
  <c r="AW6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49" i="3"/>
  <c r="AW93" i="3"/>
  <c r="AZ90" i="3"/>
  <c r="AU57" i="3"/>
  <c r="AT83" i="3"/>
  <c r="AX70" i="3"/>
  <c r="C50" i="3"/>
  <c r="AF67" i="3"/>
  <c r="AT90" i="3"/>
  <c r="AV49" i="3"/>
  <c r="AY95" i="3"/>
  <c r="AU78" i="3"/>
  <c r="AV90" i="3"/>
  <c r="C73" i="3"/>
  <c r="AZ77" i="3"/>
  <c r="C80" i="3"/>
  <c r="AZ60" i="3"/>
  <c r="AT61" i="3"/>
  <c r="AY54" i="3"/>
  <c r="AT54" i="3"/>
  <c r="AS81" i="3"/>
  <c r="AU64" i="3"/>
  <c r="AY77" i="3"/>
  <c r="AY86" i="3"/>
  <c r="AU49" i="3"/>
  <c r="AU97" i="3"/>
  <c r="AW57" i="3"/>
  <c r="AW85" i="3"/>
  <c r="AF78" i="3"/>
  <c r="C54" i="3"/>
  <c r="AZ47" i="3"/>
  <c r="AF88" i="3"/>
  <c r="AX56" i="3"/>
  <c r="AS90" i="3"/>
  <c r="AZ63" i="3"/>
  <c r="AU70" i="3"/>
  <c r="AF81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F63" i="3"/>
  <c r="AV96" i="3"/>
  <c r="AU75" i="3"/>
  <c r="AF89" i="3"/>
  <c r="AF62" i="3"/>
  <c r="AW95" i="3"/>
  <c r="AU76" i="3"/>
  <c r="AZ48" i="3"/>
  <c r="AT85" i="3"/>
  <c r="C87" i="3"/>
  <c r="C63" i="3"/>
  <c r="AT97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X86" i="3"/>
  <c r="AF70" i="3"/>
  <c r="AY60" i="3"/>
  <c r="AX78" i="3"/>
  <c r="AX59" i="3"/>
  <c r="C58" i="3"/>
  <c r="AY83" i="3"/>
  <c r="AY79" i="3"/>
  <c r="AV73" i="3"/>
  <c r="AW91" i="3"/>
  <c r="AT58" i="3"/>
  <c r="AV78" i="3"/>
  <c r="AS79" i="3"/>
  <c r="AU59" i="3"/>
  <c r="AS68" i="3"/>
  <c r="AU96" i="3"/>
  <c r="AV59" i="3"/>
  <c r="C85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V79" i="3"/>
  <c r="AX87" i="3"/>
  <c r="AS61" i="3"/>
  <c r="AT95" i="3"/>
  <c r="AU83" i="3"/>
  <c r="AZ86" i="3"/>
  <c r="AT74" i="3"/>
  <c r="AS72" i="3"/>
  <c r="AX80" i="3"/>
  <c r="AY65" i="3"/>
  <c r="AZ70" i="3"/>
  <c r="AU5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C82" i="3"/>
  <c r="AX91" i="3"/>
  <c r="AY97" i="3"/>
  <c r="AW78" i="3"/>
  <c r="AV60" i="3"/>
  <c r="AS87" i="3"/>
  <c r="AU60" i="3"/>
  <c r="AV8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W60" i="3"/>
  <c r="AY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Z95" i="3"/>
  <c r="AY91" i="3"/>
  <c r="AW80" i="3"/>
  <c r="AX77" i="3"/>
  <c r="AT8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S78" i="3"/>
  <c r="AU88" i="3"/>
  <c r="AT68" i="3"/>
  <c r="AV82" i="3"/>
  <c r="AY50" i="3"/>
  <c r="AW62" i="3"/>
  <c r="AS93" i="3"/>
  <c r="AF60" i="3"/>
  <c r="AT86" i="3"/>
  <c r="AV87" i="3"/>
  <c r="AX62" i="3"/>
  <c r="AY75" i="3"/>
  <c r="AT63" i="3"/>
  <c r="AT73" i="3"/>
  <c r="AS92" i="3"/>
  <c r="AZ79" i="3"/>
  <c r="C97" i="3"/>
  <c r="AX88" i="3"/>
  <c r="AW92" i="3"/>
  <c r="AX79" i="3"/>
  <c r="AZ62" i="3"/>
  <c r="AU84" i="3"/>
  <c r="AS75" i="3"/>
  <c r="C74" i="3"/>
  <c r="AW55" i="3"/>
  <c r="AS89" i="3"/>
  <c r="AF55" i="3"/>
  <c r="AF76" i="3"/>
  <c r="AZ55" i="3"/>
  <c r="AT79" i="3"/>
  <c r="AY69" i="3"/>
  <c r="AZ96" i="3"/>
  <c r="AV48" i="3"/>
  <c r="AW68" i="3"/>
  <c r="C83" i="3"/>
  <c r="AV68" i="3"/>
  <c r="AU55" i="3"/>
  <c r="CI193" i="1" l="1"/>
  <c r="CI195" i="1" s="1"/>
  <c r="CI66" i="1"/>
  <c r="CI52" i="1"/>
  <c r="CI119" i="1"/>
  <c r="CI120" i="1" s="1"/>
  <c r="CJ69" i="1"/>
  <c r="AC131" i="1"/>
  <c r="CU131" i="1"/>
  <c r="CV131" i="1" s="1"/>
  <c r="CW131" i="1" s="1"/>
  <c r="CX131" i="1" s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L69" i="1" l="1"/>
  <c r="CK69" i="1"/>
  <c r="CI207" i="1"/>
  <c r="CI205" i="1" s="1"/>
  <c r="CJ207" i="1"/>
  <c r="CJ205" i="1" s="1"/>
  <c r="CI92" i="1"/>
  <c r="CI129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L86" i="1"/>
  <c r="CL87" i="1"/>
  <c r="CL85" i="1"/>
  <c r="CK86" i="1"/>
  <c r="CK87" i="1"/>
  <c r="CK85" i="1"/>
  <c r="CI95" i="1"/>
  <c r="CI94" i="1"/>
  <c r="CI96" i="1"/>
  <c r="CC202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251" i="1" l="1"/>
  <c r="CT184" i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D114" i="1" l="1"/>
  <c r="CF234" i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B206" i="1"/>
  <c r="DB249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U26" i="2"/>
  <c r="J11" i="2"/>
  <c r="R22" i="2"/>
  <c r="V8" i="2"/>
  <c r="Q54" i="2"/>
  <c r="AR66" i="3"/>
  <c r="X46" i="3"/>
  <c r="D36" i="3"/>
  <c r="E32" i="3"/>
  <c r="AR40" i="3"/>
  <c r="U45" i="3"/>
  <c r="G15" i="3"/>
  <c r="E31" i="3"/>
  <c r="F5" i="3"/>
  <c r="AD16" i="3"/>
  <c r="I45" i="3"/>
  <c r="EH5" i="4" a="1"/>
  <c r="DO14" i="4" a="1"/>
  <c r="BK8" i="4" a="1"/>
  <c r="CZ16" i="4" a="1"/>
  <c r="CM16" i="4" a="1"/>
  <c r="BV5" i="4" a="1"/>
  <c r="CG16" i="4" a="1"/>
  <c r="DY11" i="4" a="1"/>
  <c r="EI14" i="4" a="1"/>
  <c r="DI14" i="4" a="1"/>
  <c r="EE14" i="4" a="1"/>
  <c r="AK13" i="4" a="1"/>
  <c r="BX16" i="4" a="1"/>
  <c r="AQ13" i="4" a="1"/>
  <c r="AC15" i="4" a="1"/>
  <c r="DG11" i="4" a="1"/>
  <c r="DI16" i="4" a="1"/>
  <c r="AD5" i="4" a="1"/>
  <c r="EF13" i="4" a="1"/>
  <c r="EK8" i="4" a="1"/>
  <c r="X6" i="4" a="1"/>
  <c r="EE12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T6" i="2"/>
  <c r="K18" i="2"/>
  <c r="C23" i="2"/>
  <c r="N8" i="2"/>
  <c r="H5" i="2"/>
  <c r="V15" i="2"/>
  <c r="W45" i="3"/>
  <c r="AR13" i="3"/>
  <c r="F33" i="3"/>
  <c r="E21" i="3"/>
  <c r="O45" i="3"/>
  <c r="D8" i="3"/>
  <c r="AD12" i="3"/>
  <c r="AR18" i="3"/>
  <c r="AR29" i="3"/>
  <c r="J45" i="3"/>
  <c r="AD9" i="4" a="1"/>
  <c r="AL12" i="4" a="1"/>
  <c r="BM8" i="4" a="1"/>
  <c r="AO12" i="4" a="1"/>
  <c r="BW11" i="4" a="1"/>
  <c r="DT12" i="4" a="1"/>
  <c r="BQ7" i="4" a="1"/>
  <c r="K7" i="4" a="1"/>
  <c r="CN16" i="4" a="1"/>
  <c r="DR5" i="4" a="1"/>
  <c r="CW14" i="4" a="1"/>
  <c r="J5" i="4" a="1"/>
  <c r="P7" i="4" a="1"/>
  <c r="DC12" i="4" a="1"/>
  <c r="CO13" i="4" a="1"/>
  <c r="AI13" i="4" a="1"/>
  <c r="CB9" i="4" a="1"/>
  <c r="DL13" i="4" a="1"/>
  <c r="DW6" i="4" a="1"/>
  <c r="EA13" i="4" a="1"/>
  <c r="BE6" i="4" a="1"/>
  <c r="Q5" i="4" a="1"/>
  <c r="AR12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O23" i="2"/>
  <c r="U28" i="2"/>
  <c r="I6" i="2"/>
  <c r="AR79" i="3"/>
  <c r="I13" i="2"/>
  <c r="N15" i="2"/>
  <c r="AR22" i="3"/>
  <c r="E41" i="3"/>
  <c r="AD18" i="3"/>
  <c r="E22" i="3"/>
  <c r="E37" i="3"/>
  <c r="D27" i="3"/>
  <c r="G23" i="3"/>
  <c r="E30" i="3"/>
  <c r="AR10" i="3"/>
  <c r="E8" i="3"/>
  <c r="CI14" i="4" a="1"/>
  <c r="DA11" i="4" a="1"/>
  <c r="AK11" i="4" a="1"/>
  <c r="BX9" i="4" a="1"/>
  <c r="CR13" i="4" a="1"/>
  <c r="DK5" i="4" a="1"/>
  <c r="BD6" i="4" a="1"/>
  <c r="CD5" i="4" a="1"/>
  <c r="EG14" i="4" a="1"/>
  <c r="CG12" i="4" a="1"/>
  <c r="R13" i="4" a="1"/>
  <c r="U16" i="4" a="1"/>
  <c r="J17" i="2"/>
  <c r="U33" i="2"/>
  <c r="M31" i="2"/>
  <c r="K14" i="2"/>
  <c r="K15" i="2"/>
  <c r="E45" i="2"/>
  <c r="E5" i="3"/>
  <c r="F25" i="3"/>
  <c r="AI45" i="3"/>
  <c r="G45" i="3"/>
  <c r="F6" i="3"/>
  <c r="F11" i="3"/>
  <c r="N46" i="3"/>
  <c r="E12" i="3"/>
  <c r="G20" i="3"/>
  <c r="G22" i="3"/>
  <c r="ED16" i="4" a="1"/>
  <c r="BY8" i="4" a="1"/>
  <c r="BF13" i="4" a="1"/>
  <c r="EI16" i="4" a="1"/>
  <c r="BI13" i="4" a="1"/>
  <c r="AG12" i="4" a="1"/>
  <c r="C15" i="4" a="1"/>
  <c r="AF16" i="4" a="1"/>
  <c r="CM8" i="4" a="1"/>
  <c r="EK5" i="4" a="1"/>
  <c r="EG16" i="4" a="1"/>
  <c r="R14" i="4" a="1"/>
  <c r="M5" i="4" a="1"/>
  <c r="CO9" i="4" a="1"/>
  <c r="BT9" i="4" a="1"/>
  <c r="CA8" i="4" a="1"/>
  <c r="BI5" i="4" a="1"/>
  <c r="DP16" i="4" a="1"/>
  <c r="BH14" i="4" a="1"/>
  <c r="BK12" i="4" a="1"/>
  <c r="V5" i="4" a="1"/>
  <c r="DP12" i="4" a="1"/>
  <c r="CG8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W8" i="4" a="1"/>
  <c r="R27" i="2"/>
  <c r="X36" i="2"/>
  <c r="S24" i="2"/>
  <c r="W19" i="2"/>
  <c r="D25" i="2"/>
  <c r="G13" i="2"/>
  <c r="S46" i="3"/>
  <c r="G5" i="3"/>
  <c r="D17" i="3"/>
  <c r="G14" i="3"/>
  <c r="E33" i="3"/>
  <c r="AR45" i="3"/>
  <c r="AD9" i="3"/>
  <c r="G12" i="3"/>
  <c r="Q46" i="3"/>
  <c r="F26" i="3"/>
  <c r="DV16" i="4" a="1"/>
  <c r="BF9" i="4" a="1"/>
  <c r="CC11" i="4" a="1"/>
  <c r="CF7" i="4" a="1"/>
  <c r="DL15" i="4" a="1"/>
  <c r="BT7" i="4" a="1"/>
  <c r="L9" i="4" a="1"/>
  <c r="EC7" i="4" a="1"/>
  <c r="BK13" i="4" a="1"/>
  <c r="AP9" i="4" a="1"/>
  <c r="AB11" i="4" a="1"/>
  <c r="R6" i="4" a="1"/>
  <c r="CV9" i="4" a="1"/>
  <c r="DL6" i="4" a="1"/>
  <c r="CJ9" i="4" a="1"/>
  <c r="O7" i="4" a="1"/>
  <c r="C8" i="4" a="1"/>
  <c r="DX13" i="4" a="1"/>
  <c r="CF14" i="4" a="1"/>
  <c r="BC5" i="4" a="1"/>
  <c r="DF11" i="4" a="1"/>
  <c r="CE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N21" i="2"/>
  <c r="D11" i="2"/>
  <c r="R7" i="2"/>
  <c r="P21" i="2"/>
  <c r="U9" i="2"/>
  <c r="AR61" i="3"/>
  <c r="D13" i="3"/>
  <c r="C45" i="3"/>
  <c r="AD13" i="3"/>
  <c r="AH46" i="3"/>
  <c r="G9" i="3"/>
  <c r="E38" i="3"/>
  <c r="G24" i="3"/>
  <c r="F23" i="3"/>
  <c r="AD6" i="3"/>
  <c r="D28" i="3"/>
  <c r="DO5" i="4" a="1"/>
  <c r="CI7" i="4" a="1"/>
  <c r="BJ11" i="4" a="1"/>
  <c r="J9" i="4" a="1"/>
  <c r="DE11" i="4" a="1"/>
  <c r="AK8" i="4" a="1"/>
  <c r="BZ8" i="4" a="1"/>
  <c r="Q12" i="4" a="1"/>
  <c r="AZ7" i="4" a="1"/>
  <c r="DE14" i="4" a="1"/>
  <c r="AR11" i="4" a="1"/>
  <c r="DG13" i="4" a="1"/>
  <c r="AE16" i="4" a="1"/>
  <c r="I11" i="4" a="1"/>
  <c r="CD8" i="4" a="1"/>
  <c r="BE8" i="4" a="1"/>
  <c r="BO12" i="4" a="1"/>
  <c r="BI16" i="4" a="1"/>
  <c r="O6" i="4" a="1"/>
  <c r="AU11" i="4" a="1"/>
  <c r="DK13" i="4" a="1"/>
  <c r="CR5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V11" i="2"/>
  <c r="W74" i="2"/>
  <c r="AR74" i="3"/>
  <c r="X35" i="2"/>
  <c r="U32" i="2"/>
  <c r="AG45" i="3"/>
  <c r="G11" i="3"/>
  <c r="AR21" i="3"/>
  <c r="F12" i="3"/>
  <c r="D10" i="3"/>
  <c r="Z45" i="3"/>
  <c r="P46" i="3"/>
  <c r="AJ45" i="3"/>
  <c r="D20" i="3"/>
  <c r="U46" i="3"/>
  <c r="D5" i="3"/>
  <c r="AZ15" i="4" a="1"/>
  <c r="CY6" i="4" a="1"/>
  <c r="AG7" i="4" a="1"/>
  <c r="CT11" i="4" a="1"/>
  <c r="EG12" i="4" a="1"/>
  <c r="BH5" i="4" a="1"/>
  <c r="AI7" i="4" a="1"/>
  <c r="DF5" i="4" a="1"/>
  <c r="DH12" i="4" a="1"/>
  <c r="CT8" i="4" a="1"/>
  <c r="EA5" i="4" a="1"/>
  <c r="BU8" i="4" a="1"/>
  <c r="BS7" i="4" a="1"/>
  <c r="D13" i="4" a="1"/>
  <c r="CH7" i="4" a="1"/>
  <c r="P9" i="4" a="1"/>
  <c r="CW7" i="4" a="1"/>
  <c r="DD13" i="4" a="1"/>
  <c r="BE7" i="4" a="1"/>
  <c r="EB8" i="4" a="1"/>
  <c r="DG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Q36" i="2"/>
  <c r="R19" i="2"/>
  <c r="AR75" i="3"/>
  <c r="K27" i="2"/>
  <c r="S11" i="2"/>
  <c r="AR34" i="3"/>
  <c r="F36" i="3"/>
  <c r="AD15" i="3"/>
  <c r="AN45" i="3"/>
  <c r="D23" i="3"/>
  <c r="AQ45" i="3"/>
  <c r="E13" i="3"/>
  <c r="D38" i="3"/>
  <c r="E34" i="3"/>
  <c r="D31" i="3"/>
  <c r="AR16" i="3"/>
  <c r="DT7" i="4" a="1"/>
  <c r="DM5" i="4" a="1"/>
  <c r="AK9" i="4" a="1"/>
  <c r="BR12" i="4" a="1"/>
  <c r="AS6" i="4" a="1"/>
  <c r="BD15" i="4" a="1"/>
  <c r="AI11" i="4" a="1"/>
  <c r="BG5" i="4" a="1"/>
  <c r="CB13" i="4" a="1"/>
  <c r="AH8" i="4" a="1"/>
  <c r="DM15" i="4" a="1"/>
  <c r="DF7" i="4" a="1"/>
  <c r="DO12" i="4" a="1"/>
  <c r="R11" i="4" a="1"/>
  <c r="AQ15" i="4" a="1"/>
  <c r="BI6" i="4" a="1"/>
  <c r="DX6" i="4" a="1"/>
  <c r="BQ9" i="4" a="1"/>
  <c r="BD5" i="4" a="1"/>
  <c r="BI7" i="4" a="1"/>
  <c r="EE11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AR60" i="3"/>
  <c r="Q57" i="2"/>
  <c r="AR80" i="3"/>
  <c r="H33" i="2"/>
  <c r="U31" i="2"/>
  <c r="AA46" i="3"/>
  <c r="F18" i="3"/>
  <c r="AR49" i="3"/>
  <c r="J23" i="2"/>
  <c r="AR91" i="3"/>
  <c r="N20" i="2"/>
  <c r="X12" i="2"/>
  <c r="G17" i="3"/>
  <c r="C10" i="2"/>
  <c r="N13" i="2"/>
  <c r="AR58" i="3"/>
  <c r="N32" i="2"/>
  <c r="J34" i="2"/>
  <c r="AQ6" i="3"/>
  <c r="AD10" i="3"/>
  <c r="T46" i="3"/>
  <c r="R46" i="3"/>
  <c r="C46" i="3"/>
  <c r="G6" i="3"/>
  <c r="E36" i="3"/>
  <c r="E16" i="3"/>
  <c r="F21" i="3"/>
  <c r="F40" i="3"/>
  <c r="F28" i="3"/>
  <c r="CX7" i="4" a="1"/>
  <c r="CI15" i="4" a="1"/>
  <c r="AI9" i="4" a="1"/>
  <c r="AI16" i="4" a="1"/>
  <c r="AC11" i="4" a="1"/>
  <c r="AN8" i="4" a="1"/>
  <c r="DP14" i="4" a="1"/>
  <c r="CQ14" i="4" a="1"/>
  <c r="EH16" i="4" a="1"/>
  <c r="BZ5" i="4" a="1"/>
  <c r="BM15" i="4" a="1"/>
  <c r="BK6" i="4" a="1"/>
  <c r="BH12" i="4" a="1"/>
  <c r="AE7" i="4" a="1"/>
  <c r="DE15" i="4" a="1"/>
  <c r="AM5" i="4" a="1"/>
  <c r="BZ9" i="4" a="1"/>
  <c r="CU9" i="4" a="1"/>
  <c r="CN7" i="4" a="1"/>
  <c r="DN12" i="4" a="1"/>
  <c r="DG16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J5" i="2"/>
  <c r="F32" i="2"/>
  <c r="F22" i="2"/>
  <c r="D14" i="2"/>
  <c r="AR82" i="3"/>
  <c r="F39" i="3"/>
  <c r="D24" i="3"/>
  <c r="X45" i="3"/>
  <c r="N45" i="3"/>
  <c r="AD8" i="3"/>
  <c r="O46" i="3"/>
  <c r="AD5" i="3"/>
  <c r="AR20" i="3"/>
  <c r="E45" i="3"/>
  <c r="AM45" i="3"/>
  <c r="F35" i="3"/>
  <c r="AB12" i="4" a="1"/>
  <c r="Z8" i="4" a="1"/>
  <c r="BV14" i="4" a="1"/>
  <c r="AI14" i="4" a="1"/>
  <c r="CR8" i="4" a="1"/>
  <c r="BS6" i="4" a="1"/>
  <c r="DV7" i="4" a="1"/>
  <c r="CS14" i="4" a="1"/>
  <c r="BG8" i="4" a="1"/>
  <c r="BA5" i="4" a="1"/>
  <c r="ED14" i="4" a="1"/>
  <c r="CN8" i="4" a="1"/>
  <c r="V12" i="4" a="1"/>
  <c r="CV6" i="4" a="1"/>
  <c r="DE12" i="4" a="1"/>
  <c r="AY7" i="4" a="1"/>
  <c r="CI13" i="4" a="1"/>
  <c r="C7" i="4" a="1"/>
  <c r="CM13" i="4" a="1"/>
  <c r="DR11" i="4" a="1"/>
  <c r="CS1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F20" i="3"/>
  <c r="AR14" i="3"/>
  <c r="BC9" i="4" a="1"/>
  <c r="V15" i="4" a="1"/>
  <c r="P14" i="4" a="1"/>
  <c r="DD9" i="4" a="1"/>
  <c r="CQ8" i="4" a="1"/>
  <c r="W8" i="4" a="1"/>
  <c r="DT9" i="4" a="1"/>
  <c r="I16" i="4" a="1"/>
  <c r="DT16" i="4" a="1"/>
  <c r="U11" i="4" a="1"/>
  <c r="CS5" i="4" a="1"/>
  <c r="DN6" i="4" a="1"/>
  <c r="AS5" i="4" a="1"/>
  <c r="DM11" i="4" a="1"/>
  <c r="BN9" i="4" a="1"/>
  <c r="BR11" i="4" a="1"/>
  <c r="DR6" i="4" a="1"/>
  <c r="CF13" i="4" a="1"/>
  <c r="Y7" i="4" a="1"/>
  <c r="AT5" i="4" a="1"/>
  <c r="CM14" i="4" a="1"/>
  <c r="E8" i="4" a="1"/>
  <c r="BX6" i="4" a="1"/>
  <c r="CN13" i="4" a="1"/>
  <c r="DN8" i="4" a="1"/>
  <c r="CW13" i="4" a="1"/>
  <c r="EH9" i="4" a="1"/>
  <c r="CI5" i="4" a="1"/>
  <c r="X11" i="4" a="1"/>
  <c r="DD5" i="4" a="1"/>
  <c r="DD11" i="4" a="1"/>
  <c r="AW15" i="4" a="1"/>
  <c r="DH5" i="4" a="1"/>
  <c r="CG9" i="4" a="1"/>
  <c r="DZ8" i="4" a="1"/>
  <c r="EG9" i="4" a="1"/>
  <c r="CK8" i="4" a="1"/>
  <c r="CA7" i="4" a="1"/>
  <c r="AB7" i="4" a="1"/>
  <c r="M15" i="4" a="1"/>
  <c r="AE14" i="4" a="1"/>
  <c r="AP6" i="4" a="1"/>
  <c r="DJ13" i="4" a="1"/>
  <c r="DD7" i="4" a="1"/>
  <c r="CY11" i="4" a="1"/>
  <c r="AE5" i="4" a="1"/>
  <c r="BA12" i="4" a="1"/>
  <c r="BG14" i="4" a="1"/>
  <c r="CA14" i="4" a="1"/>
  <c r="AF15" i="4" a="1"/>
  <c r="CV8" i="4" a="1"/>
  <c r="AQ11" i="4" a="1"/>
  <c r="CZ14" i="4" a="1"/>
  <c r="H13" i="4" a="1"/>
  <c r="EK11" i="4" a="1"/>
  <c r="DN13" i="4" a="1"/>
  <c r="EJ8" i="4" a="1"/>
  <c r="DY15" i="4" a="1"/>
  <c r="CI6" i="4" a="1"/>
  <c r="DM7" i="4" a="1"/>
  <c r="D5" i="4" a="1"/>
  <c r="DK8" i="4" a="1"/>
  <c r="DT14" i="4" a="1"/>
  <c r="CE8" i="4" a="1"/>
  <c r="CJ6" i="4" a="1"/>
  <c r="CH12" i="4" a="1"/>
  <c r="H16" i="4" a="1"/>
  <c r="DN7" i="4" a="1"/>
  <c r="EK9" i="4" a="1"/>
  <c r="BN12" i="4" a="1"/>
  <c r="EI8" i="4" a="1"/>
  <c r="DQ12" i="4" a="1"/>
  <c r="S14" i="4" a="1"/>
  <c r="Q15" i="4" a="1"/>
  <c r="CR15" i="4" a="1"/>
  <c r="CB6" i="4" a="1"/>
  <c r="AU6" i="4" a="1"/>
  <c r="DS15" i="4" a="1"/>
  <c r="DD14" i="4" a="1"/>
  <c r="AN6" i="4" a="1"/>
  <c r="AO6" i="4" a="1"/>
  <c r="CG13" i="4" a="1"/>
  <c r="BC6" i="4" a="1"/>
  <c r="EJ9" i="4" a="1"/>
  <c r="AP8" i="4" a="1"/>
  <c r="DU12" i="4" a="1"/>
  <c r="G5" i="4" a="1"/>
  <c r="DO7" i="4" a="1"/>
  <c r="CH9" i="4" a="1"/>
  <c r="AX5" i="4" a="1"/>
  <c r="BV12" i="4" a="1"/>
  <c r="BA11" i="4" a="1"/>
  <c r="BS5" i="4" a="1"/>
  <c r="CZ7" i="4" a="1"/>
  <c r="CE15" i="4" a="1"/>
  <c r="AW16" i="4" a="1"/>
  <c r="DW12" i="4" a="1"/>
  <c r="CN5" i="4" a="1"/>
  <c r="AC46" i="3"/>
  <c r="G30" i="3"/>
  <c r="CB7" i="4" a="1"/>
  <c r="BN16" i="4" a="1"/>
  <c r="BH6" i="4" a="1"/>
  <c r="AY9" i="4" a="1"/>
  <c r="ED6" i="4" a="1"/>
  <c r="DO6" i="4" a="1"/>
  <c r="X9" i="4" a="1"/>
  <c r="AR8" i="4" a="1"/>
  <c r="DX7" i="4" a="1"/>
  <c r="AW5" i="4" a="1"/>
  <c r="AO9" i="4" a="1"/>
  <c r="AX15" i="4" a="1"/>
  <c r="BZ13" i="4" a="1"/>
  <c r="DD12" i="4" a="1"/>
  <c r="BC13" i="4" a="1"/>
  <c r="AB6" i="4" a="1"/>
  <c r="N7" i="4" a="1"/>
  <c r="DS13" i="4" a="1"/>
  <c r="AV5" i="4" a="1"/>
  <c r="CD12" i="4" a="1"/>
  <c r="DR14" i="4" a="1"/>
  <c r="AU12" i="4" a="1"/>
  <c r="DC8" i="4" a="1"/>
  <c r="DW7" i="4" a="1"/>
  <c r="BT14" i="4" a="1"/>
  <c r="CD14" i="4" a="1"/>
  <c r="CV7" i="4" a="1"/>
  <c r="DK6" i="4" a="1"/>
  <c r="DL12" i="4" a="1"/>
  <c r="AF5" i="4" a="1"/>
  <c r="AT12" i="4" a="1"/>
  <c r="W16" i="4" a="1"/>
  <c r="EH14" i="4" a="1"/>
  <c r="AR6" i="4" a="1"/>
  <c r="D26" i="3"/>
  <c r="F15" i="3"/>
  <c r="AN7" i="4" a="1"/>
  <c r="K15" i="4" a="1"/>
  <c r="DY8" i="4" a="1"/>
  <c r="DZ12" i="4" a="1"/>
  <c r="DI13" i="4" a="1"/>
  <c r="BO13" i="4" a="1"/>
  <c r="CH6" i="4" a="1"/>
  <c r="BW16" i="4" a="1"/>
  <c r="DW5" i="4" a="1"/>
  <c r="EG7" i="4" a="1"/>
  <c r="W6" i="4" a="1"/>
  <c r="BM9" i="4" a="1"/>
  <c r="CQ11" i="4" a="1"/>
  <c r="DF14" i="4" a="1"/>
  <c r="L7" i="4" a="1"/>
  <c r="DX12" i="4" a="1"/>
  <c r="G6" i="4" a="1"/>
  <c r="BO9" i="4" a="1"/>
  <c r="AE11" i="4" a="1"/>
  <c r="I8" i="4" a="1"/>
  <c r="W15" i="4" a="1"/>
  <c r="BW13" i="4" a="1"/>
  <c r="CM11" i="4" a="1"/>
  <c r="BQ16" i="4" a="1"/>
  <c r="CY9" i="4" a="1"/>
  <c r="DF9" i="4" a="1"/>
  <c r="E13" i="4" a="1"/>
  <c r="Q8" i="4" a="1"/>
  <c r="N6" i="4" a="1"/>
  <c r="DX15" i="4" a="1"/>
  <c r="BE13" i="4" a="1"/>
  <c r="AA14" i="4" a="1"/>
  <c r="BZ12" i="4" a="1"/>
  <c r="Y14" i="4" a="1"/>
  <c r="CP6" i="4" a="1"/>
  <c r="DJ11" i="4" a="1"/>
  <c r="G13" i="4" a="1"/>
  <c r="EC16" i="4" a="1"/>
  <c r="CG11" i="4" a="1"/>
  <c r="AX7" i="4" a="1"/>
  <c r="F42" i="3"/>
  <c r="D7" i="3"/>
  <c r="DV5" i="4" a="1"/>
  <c r="Q14" i="4" a="1"/>
  <c r="BR5" i="4" a="1"/>
  <c r="ED9" i="4" a="1"/>
  <c r="CA9" i="4" a="1"/>
  <c r="AP11" i="4" a="1"/>
  <c r="AL15" i="4" a="1"/>
  <c r="BM16" i="4" a="1"/>
  <c r="CG14" i="4" a="1"/>
  <c r="AJ13" i="4" a="1"/>
  <c r="AJ16" i="4" a="1"/>
  <c r="BP12" i="4" a="1"/>
  <c r="AO7" i="4" a="1"/>
  <c r="DV6" i="4" a="1"/>
  <c r="AS13" i="4" a="1"/>
  <c r="R8" i="4" a="1"/>
  <c r="C16" i="4" a="1"/>
  <c r="EK16" i="4" a="1"/>
  <c r="DP6" i="4" a="1"/>
  <c r="AP13" i="4" a="1"/>
  <c r="AF13" i="4" a="1"/>
  <c r="DS8" i="4" a="1"/>
  <c r="X14" i="4" a="1"/>
  <c r="CM9" i="4" a="1"/>
  <c r="CC6" i="4" a="1"/>
  <c r="AA7" i="4" a="1"/>
  <c r="DB6" i="4" a="1"/>
  <c r="BG6" i="4" a="1"/>
  <c r="AP5" i="4" a="1"/>
  <c r="BA14" i="4" a="1"/>
  <c r="BD9" i="4" a="1"/>
  <c r="M13" i="4" a="1"/>
  <c r="AG13" i="4" a="1"/>
  <c r="BX14" i="4" a="1"/>
  <c r="N15" i="4" a="1"/>
  <c r="DJ5" i="4" a="1"/>
  <c r="CK9" i="4" a="1"/>
  <c r="AV6" i="4" a="1"/>
  <c r="DU13" i="4" a="1"/>
  <c r="Z13" i="4" a="1"/>
  <c r="EE9" i="4" a="1"/>
  <c r="AR14" i="4" a="1"/>
  <c r="DM9" i="4" a="1"/>
  <c r="CB16" i="4" a="1"/>
  <c r="DW9" i="4" a="1"/>
  <c r="EH11" i="4" a="1"/>
  <c r="CC15" i="4" a="1"/>
  <c r="Z12" i="4" a="1"/>
  <c r="R15" i="4" a="1"/>
  <c r="CE16" i="4" a="1"/>
  <c r="Q6" i="4" a="1"/>
  <c r="BI11" i="4" a="1"/>
  <c r="EC6" i="4" a="1"/>
  <c r="CU11" i="4" a="1"/>
  <c r="DA16" i="4" a="1"/>
  <c r="BW5" i="4" a="1"/>
  <c r="CM5" i="4" a="1"/>
  <c r="DD16" i="4" a="1"/>
  <c r="BN14" i="4" a="1"/>
  <c r="DE9" i="4" a="1"/>
  <c r="EI15" i="4" a="1"/>
  <c r="DV14" i="4" a="1"/>
  <c r="ED12" i="4" a="1"/>
  <c r="AW6" i="4" a="1"/>
  <c r="Q16" i="4" a="1"/>
  <c r="DV13" i="4" a="1"/>
  <c r="DK11" i="4" a="1"/>
  <c r="EA14" i="4" a="1"/>
  <c r="BG16" i="4" a="1"/>
  <c r="DY6" i="4" a="1"/>
  <c r="CN6" i="4" a="1"/>
  <c r="BU11" i="4" a="1"/>
  <c r="DH16" i="4" a="1"/>
  <c r="Z14" i="4" a="1"/>
  <c r="BE14" i="4" a="1"/>
  <c r="BH11" i="4" a="1"/>
  <c r="T11" i="4" a="1"/>
  <c r="EF11" i="4" a="1"/>
  <c r="CX12" i="4" a="1"/>
  <c r="AD15" i="4" a="1"/>
  <c r="AF12" i="4" a="1"/>
  <c r="P13" i="4" a="1"/>
  <c r="CC12" i="4" a="1"/>
  <c r="DC6" i="4" a="1"/>
  <c r="BA16" i="4" a="1"/>
  <c r="E6" i="3"/>
  <c r="AR23" i="3"/>
  <c r="DM6" i="4" a="1"/>
  <c r="BA9" i="4" a="1"/>
  <c r="CC8" i="4" a="1"/>
  <c r="CM6" i="4" a="1"/>
  <c r="CH8" i="4" a="1"/>
  <c r="BQ8" i="4" a="1"/>
  <c r="AC6" i="4" a="1"/>
  <c r="Z16" i="4" a="1"/>
  <c r="AZ12" i="4" a="1"/>
  <c r="G14" i="4" a="1"/>
  <c r="EC9" i="4" a="1"/>
  <c r="BI14" i="4" a="1"/>
  <c r="BD12" i="4" a="1"/>
  <c r="F13" i="4" a="1"/>
  <c r="CR6" i="4" a="1"/>
  <c r="CD16" i="4" a="1"/>
  <c r="BT5" i="4" a="1"/>
  <c r="AB16" i="4" a="1"/>
  <c r="T15" i="4" a="1"/>
  <c r="CS6" i="4" a="1"/>
  <c r="BM6" i="4" a="1"/>
  <c r="DY5" i="4" a="1"/>
  <c r="CT9" i="4" a="1"/>
  <c r="DU16" i="4" a="1"/>
  <c r="BR15" i="4" a="1"/>
  <c r="DM8" i="4" a="1"/>
  <c r="K8" i="4" a="1"/>
  <c r="CW11" i="4" a="1"/>
  <c r="C11" i="4" a="1"/>
  <c r="BH9" i="4" a="1"/>
  <c r="CA5" i="4" a="1"/>
  <c r="Y9" i="4" a="1"/>
  <c r="R7" i="4" a="1"/>
  <c r="AQ8" i="4" a="1"/>
  <c r="CE14" i="4" a="1"/>
  <c r="BT12" i="4" a="1"/>
  <c r="CR7" i="4" a="1"/>
  <c r="CH11" i="4" a="1"/>
  <c r="DK15" i="4" a="1"/>
  <c r="R12" i="4" a="1"/>
  <c r="AM13" i="4" a="1"/>
  <c r="CK7" i="4" a="1"/>
  <c r="BN5" i="4" a="1"/>
  <c r="DU14" i="4" a="1"/>
  <c r="H11" i="4" a="1"/>
  <c r="AT11" i="4" a="1"/>
  <c r="CU15" i="4" a="1"/>
  <c r="DB11" i="4" a="1"/>
  <c r="DI12" i="4" a="1"/>
  <c r="BI12" i="4" a="1"/>
  <c r="AC8" i="4" a="1"/>
  <c r="EB14" i="4" a="1"/>
  <c r="AF6" i="4" a="1"/>
  <c r="AA5" i="4" a="1"/>
  <c r="BF6" i="4" a="1"/>
  <c r="N16" i="4" a="1"/>
  <c r="AV13" i="4" a="1"/>
  <c r="EK14" i="4" a="1"/>
  <c r="CD7" i="4" a="1"/>
  <c r="E15" i="4" a="1"/>
  <c r="CR11" i="4" a="1"/>
  <c r="CP16" i="4" a="1"/>
  <c r="DY9" i="4" a="1"/>
  <c r="AO16" i="4" a="1"/>
  <c r="BQ12" i="4" a="1"/>
  <c r="CE12" i="4" a="1"/>
  <c r="BK7" i="4" a="1"/>
  <c r="EJ6" i="4" a="1"/>
  <c r="CY12" i="4" a="1"/>
  <c r="AO13" i="4" a="1"/>
  <c r="DR15" i="4" a="1"/>
  <c r="O5" i="4" a="1"/>
  <c r="CU7" i="4" a="1"/>
  <c r="BQ14" i="4" a="1"/>
  <c r="E7" i="4" a="1"/>
  <c r="BF15" i="4" a="1"/>
  <c r="AL11" i="4" a="1"/>
  <c r="DD15" i="4" a="1"/>
  <c r="CQ9" i="4" a="1"/>
  <c r="AR27" i="3"/>
  <c r="AD11" i="3"/>
  <c r="AD8" i="4" a="1"/>
  <c r="CX6" i="4" a="1"/>
  <c r="BY5" i="4" a="1"/>
  <c r="BO5" i="4" a="1"/>
  <c r="BK15" i="4" a="1"/>
  <c r="AU7" i="4" a="1"/>
  <c r="BJ16" i="4" a="1"/>
  <c r="DM13" i="4" a="1"/>
  <c r="DE8" i="4" a="1"/>
  <c r="AS9" i="4" a="1"/>
  <c r="BI15" i="4" a="1"/>
  <c r="CD9" i="4" a="1"/>
  <c r="E6" i="4" a="1"/>
  <c r="CL6" i="4" a="1"/>
  <c r="CK13" i="4" a="1"/>
  <c r="BT15" i="4" a="1"/>
  <c r="DX11" i="4" a="1"/>
  <c r="AU15" i="4" a="1"/>
  <c r="CF15" i="4" a="1"/>
  <c r="AL7" i="4" a="1"/>
  <c r="ED5" i="4" a="1"/>
  <c r="AF11" i="4" a="1"/>
  <c r="CO14" i="4" a="1"/>
  <c r="CO7" i="4" a="1"/>
  <c r="DZ7" i="4" a="1"/>
  <c r="AV14" i="4" a="1"/>
  <c r="Z9" i="4" a="1"/>
  <c r="CZ5" i="4" a="1"/>
  <c r="DT5" i="4" a="1"/>
  <c r="X16" i="4" a="1"/>
  <c r="CX5" i="4" a="1"/>
  <c r="BY16" i="4" a="1"/>
  <c r="DI15" i="4" a="1"/>
  <c r="CL5" i="4" a="1"/>
  <c r="V13" i="4" a="1"/>
  <c r="BN13" i="4" a="1"/>
  <c r="AY8" i="4" a="1"/>
  <c r="BU9" i="4" a="1"/>
  <c r="CW16" i="4" a="1"/>
  <c r="BR9" i="4" a="1"/>
  <c r="AZ11" i="4" a="1"/>
  <c r="EF16" i="4" a="1"/>
  <c r="CZ13" i="4" a="1"/>
  <c r="EG11" i="4" a="1"/>
  <c r="AG5" i="4" a="1"/>
  <c r="H7" i="4" a="1"/>
  <c r="BE16" i="4" a="1"/>
  <c r="EI7" i="4" a="1"/>
  <c r="DB5" i="4" a="1"/>
  <c r="T14" i="4" a="1"/>
  <c r="AN14" i="4" a="1"/>
  <c r="DZ5" i="4" a="1"/>
  <c r="EK13" i="4" a="1"/>
  <c r="AV7" i="4" a="1"/>
  <c r="DW8" i="4" a="1"/>
  <c r="DI6" i="4" a="1"/>
  <c r="S6" i="4" a="1"/>
  <c r="BU5" i="4" a="1"/>
  <c r="C12" i="4" a="1"/>
  <c r="DT15" i="4" a="1"/>
  <c r="BF8" i="4" a="1"/>
  <c r="O13" i="4" a="1"/>
  <c r="DX14" i="4" a="1"/>
  <c r="CV15" i="4" a="1"/>
  <c r="BL14" i="4" a="1"/>
  <c r="C14" i="4" a="1"/>
  <c r="AR15" i="4" a="1"/>
  <c r="BR8" i="4" a="1"/>
  <c r="O14" i="4" a="1"/>
  <c r="J11" i="4" a="1"/>
  <c r="S16" i="4" a="1"/>
  <c r="EE5" i="4" a="1"/>
  <c r="AM9" i="4" a="1"/>
  <c r="AL16" i="4" a="1"/>
  <c r="DN16" i="4" a="1"/>
  <c r="AM15" i="4" a="1"/>
  <c r="AI12" i="4" a="1"/>
  <c r="BL6" i="4" a="1"/>
  <c r="BQ5" i="4" a="1"/>
  <c r="AT16" i="4" a="1"/>
  <c r="EI11" i="4" a="1"/>
  <c r="BL15" i="4" a="1"/>
  <c r="CJ16" i="4" a="1"/>
  <c r="AE8" i="4" a="1"/>
  <c r="AR15" i="3"/>
  <c r="AR35" i="3"/>
  <c r="BO8" i="4" a="1"/>
  <c r="W5" i="4" a="1"/>
  <c r="Y8" i="4" a="1"/>
  <c r="DQ11" i="4" a="1"/>
  <c r="CN15" i="4" a="1"/>
  <c r="DU11" i="4" a="1"/>
  <c r="BB14" i="4" a="1"/>
  <c r="AT15" i="4" a="1"/>
  <c r="AO14" i="4" a="1"/>
  <c r="AG14" i="4" a="1"/>
  <c r="AL6" i="4" a="1"/>
  <c r="BB15" i="4" a="1"/>
  <c r="DF6" i="4" a="1"/>
  <c r="AV11" i="4" a="1"/>
  <c r="AE15" i="4" a="1"/>
  <c r="AZ9" i="4" a="1"/>
  <c r="AI15" i="4" a="1"/>
  <c r="AX14" i="4" a="1"/>
  <c r="AH9" i="4" a="1"/>
  <c r="H14" i="4" a="1"/>
  <c r="DA12" i="4" a="1"/>
  <c r="BX13" i="4" a="1"/>
  <c r="CQ12" i="4" a="1"/>
  <c r="DR7" i="4" a="1"/>
  <c r="ED7" i="4" a="1"/>
  <c r="G21" i="3"/>
  <c r="E16" i="4" a="1"/>
  <c r="BL9" i="4" a="1"/>
  <c r="BT13" i="4" a="1"/>
  <c r="CX15" i="4" a="1"/>
  <c r="BS12" i="4" a="1"/>
  <c r="BG11" i="4" a="1"/>
  <c r="I13" i="4" a="1"/>
  <c r="EF15" i="4" a="1"/>
  <c r="DI7" i="4" a="1"/>
  <c r="AB15" i="4" a="1"/>
  <c r="AS15" i="4" a="1"/>
  <c r="L16" i="4" a="1"/>
  <c r="EB16" i="4" a="1"/>
  <c r="F7" i="4" a="1"/>
  <c r="AG16" i="4" a="1"/>
  <c r="BJ7" i="4" a="1"/>
  <c r="I15" i="4" a="1"/>
  <c r="CN9" i="4" a="1"/>
  <c r="K12" i="4" a="1"/>
  <c r="BJ14" i="4" a="1"/>
  <c r="ED11" i="4" a="1"/>
  <c r="AE13" i="4" a="1"/>
  <c r="DJ9" i="4" a="1"/>
  <c r="AY16" i="4" a="1"/>
  <c r="DJ7" i="4" a="1"/>
  <c r="DI5" i="4" a="1"/>
  <c r="O9" i="4" a="1"/>
  <c r="EF6" i="4" a="1"/>
  <c r="BD14" i="4" a="1"/>
  <c r="EB11" i="4" a="1"/>
  <c r="S7" i="4" a="1"/>
  <c r="DV8" i="4" a="1"/>
  <c r="BH8" i="4" a="1"/>
  <c r="EF9" i="4" a="1"/>
  <c r="CB8" i="4" a="1"/>
  <c r="AW11" i="4" a="1"/>
  <c r="EG8" i="4" a="1"/>
  <c r="BJ13" i="4" a="1"/>
  <c r="AD13" i="4" a="1"/>
  <c r="ED8" i="4" a="1"/>
  <c r="AU9" i="4" a="1"/>
  <c r="BO7" i="4" a="1"/>
  <c r="CU12" i="4" a="1"/>
  <c r="DW11" i="4" a="1"/>
  <c r="CV16" i="4" a="1"/>
  <c r="H9" i="4" a="1"/>
  <c r="BA13" i="4" a="1"/>
  <c r="BX15" i="4" a="1"/>
  <c r="CL14" i="4" a="1"/>
  <c r="DE7" i="4" a="1"/>
  <c r="AN16" i="4" a="1"/>
  <c r="AJ11" i="4" a="1"/>
  <c r="BG9" i="4" a="1"/>
  <c r="DE5" i="4" a="1"/>
  <c r="N5" i="4" a="1"/>
  <c r="DR13" i="4" a="1"/>
  <c r="DN11" i="4" a="1"/>
  <c r="DA5" i="4" a="1"/>
  <c r="BP13" i="4" a="1"/>
  <c r="EH12" i="4" a="1"/>
  <c r="CR14" i="4" a="1"/>
  <c r="AQ6" i="4" a="1"/>
  <c r="CS9" i="4" a="1"/>
  <c r="AF9" i="4" a="1"/>
  <c r="AP15" i="4" a="1"/>
  <c r="CS12" i="4" a="1"/>
  <c r="DW15" i="4" a="1"/>
  <c r="CT15" i="4" a="1"/>
  <c r="AW7" i="4" a="1"/>
  <c r="AJ5" i="4" a="1"/>
  <c r="CB14" i="4" a="1"/>
  <c r="AN9" i="4" a="1"/>
  <c r="D12" i="4" a="1"/>
  <c r="CA11" i="4" a="1"/>
  <c r="CH13" i="4" a="1"/>
  <c r="U6" i="4" a="1"/>
  <c r="CC14" i="4" a="1"/>
  <c r="EA6" i="4" a="1"/>
  <c r="CT13" i="4" a="1"/>
  <c r="DD6" i="4" a="1"/>
  <c r="EC12" i="4" a="1"/>
  <c r="AV12" i="4" a="1"/>
  <c r="DN14" i="4" a="1"/>
  <c r="CU5" i="4" a="1"/>
  <c r="BB9" i="4" a="1"/>
  <c r="H15" i="4" a="1"/>
  <c r="AS14" i="4" a="1"/>
  <c r="EE13" i="4" a="1"/>
  <c r="G18" i="3"/>
  <c r="AF7" i="4" a="1"/>
  <c r="CN11" i="4" a="1"/>
  <c r="AA12" i="4" a="1"/>
  <c r="W9" i="4" a="1"/>
  <c r="AL9" i="4" a="1"/>
  <c r="DS7" i="4" a="1"/>
  <c r="G16" i="4" a="1"/>
  <c r="L12" i="4" a="1"/>
  <c r="AS7" i="4" a="1"/>
  <c r="CQ16" i="4" a="1"/>
  <c r="AC7" i="4" a="1"/>
  <c r="Q9" i="4" a="1"/>
  <c r="CO12" i="4" a="1"/>
  <c r="AC45" i="3"/>
  <c r="DZ14" i="4" a="1"/>
  <c r="CQ6" i="4" a="1"/>
  <c r="CJ5" i="4" a="1"/>
  <c r="DQ9" i="4" a="1"/>
  <c r="G12" i="4" a="1"/>
  <c r="AM6" i="4" a="1"/>
  <c r="BV16" i="4" a="1"/>
  <c r="Z7" i="4" a="1"/>
  <c r="DP8" i="4" a="1"/>
  <c r="EA7" i="4" a="1"/>
  <c r="AL8" i="4" a="1"/>
  <c r="AR5" i="4" a="1"/>
  <c r="BC16" i="4" a="1"/>
  <c r="V8" i="4" a="1"/>
  <c r="EH7" i="4" a="1"/>
  <c r="BA15" i="4" a="1"/>
  <c r="AZ5" i="4" a="1"/>
  <c r="J12" i="4" a="1"/>
  <c r="BS11" i="4" a="1"/>
  <c r="CE11" i="4" a="1"/>
  <c r="L13" i="4" a="1"/>
  <c r="BR7" i="4" a="1"/>
  <c r="V11" i="4" a="1"/>
  <c r="K6" i="4" a="1"/>
  <c r="CT6" i="4" a="1"/>
  <c r="AH7" i="4" a="1"/>
  <c r="BT6" i="4" a="1"/>
  <c r="BZ14" i="4" a="1"/>
  <c r="DS16" i="4" a="1"/>
  <c r="AY13" i="4" a="1"/>
  <c r="EC13" i="4" a="1"/>
  <c r="CH5" i="4" a="1"/>
  <c r="BV6" i="4" a="1"/>
  <c r="BN15" i="4" a="1"/>
  <c r="EF8" i="4" a="1"/>
  <c r="BC7" i="4" a="1"/>
  <c r="AS16" i="4" a="1"/>
  <c r="EB12" i="4" a="1"/>
  <c r="CS16" i="4" a="1"/>
  <c r="DS9" i="4" a="1"/>
  <c r="BF16" i="4" a="1"/>
  <c r="AN5" i="4" a="1"/>
  <c r="DB9" i="4" a="1"/>
  <c r="H8" i="4" a="1"/>
  <c r="AM14" i="4" a="1"/>
  <c r="DU15" i="4" a="1"/>
  <c r="BL5" i="4" a="1"/>
  <c r="AM16" i="4" a="1"/>
  <c r="EB7" i="4" a="1"/>
  <c r="DB15" i="4" a="1"/>
  <c r="CK16" i="4" a="1"/>
  <c r="K5" i="4" a="1"/>
  <c r="DJ12" i="4" a="1"/>
  <c r="EE7" i="4" a="1"/>
  <c r="EG13" i="4" a="1"/>
  <c r="AJ15" i="4" a="1"/>
  <c r="CK12" i="4" a="1"/>
  <c r="EG15" i="4" a="1"/>
  <c r="CA13" i="4" a="1"/>
  <c r="DY13" i="4" a="1"/>
  <c r="CO11" i="4" a="1"/>
  <c r="DP13" i="4" a="1"/>
  <c r="DG6" i="4" a="1"/>
  <c r="BC11" i="4" a="1"/>
  <c r="DF8" i="4" a="1"/>
  <c r="DT8" i="4" a="1"/>
  <c r="Z46" i="3"/>
  <c r="BR13" i="4" a="1"/>
  <c r="CJ8" i="4" a="1"/>
  <c r="EE6" i="4" a="1"/>
  <c r="CL11" i="4" a="1"/>
  <c r="AW12" i="4" a="1"/>
  <c r="DZ13" i="4" a="1"/>
  <c r="S12" i="4" a="1"/>
  <c r="DO15" i="4" a="1"/>
  <c r="DW13" i="4" a="1"/>
  <c r="DA13" i="4" a="1"/>
  <c r="AT13" i="4" a="1"/>
  <c r="P12" i="4" a="1"/>
  <c r="M12" i="4" a="1"/>
  <c r="DX16" i="4" a="1"/>
  <c r="CX8" i="4" a="1"/>
  <c r="CC7" i="4" a="1"/>
  <c r="AT9" i="4" a="1"/>
  <c r="AM8" i="4" a="1"/>
  <c r="CL13" i="4" a="1"/>
  <c r="CL7" i="4" a="1"/>
  <c r="DN5" i="4" a="1"/>
  <c r="DV11" i="4" a="1"/>
  <c r="I6" i="4" a="1"/>
  <c r="CZ6" i="4" a="1"/>
  <c r="CJ15" i="4" a="1"/>
  <c r="AP12" i="4" a="1"/>
  <c r="W14" i="4" a="1"/>
  <c r="AS12" i="4" a="1"/>
  <c r="CF5" i="4" a="1"/>
  <c r="P15" i="4" a="1"/>
  <c r="DV9" i="4" a="1"/>
  <c r="BY6" i="4" a="1"/>
  <c r="BW14" i="4" a="1"/>
  <c r="K13" i="4" a="1"/>
  <c r="BK14" i="4" a="1"/>
  <c r="N8" i="4" a="1"/>
  <c r="G10" i="3"/>
  <c r="BN7" i="4" a="1"/>
  <c r="CF9" i="4" a="1"/>
  <c r="AO11" i="4" a="1"/>
  <c r="AL5" i="4" a="1"/>
  <c r="AI8" i="4" a="1"/>
  <c r="AD12" i="4" a="1"/>
  <c r="DA14" i="4" a="1"/>
  <c r="DZ11" i="4" a="1"/>
  <c r="BC15" i="4" a="1"/>
  <c r="DK14" i="4" a="1"/>
  <c r="DW14" i="4" a="1"/>
  <c r="BW7" i="4" a="1"/>
  <c r="BJ8" i="4" a="1"/>
  <c r="DG7" i="4" a="1"/>
  <c r="BR6" i="4" a="1"/>
  <c r="CA6" i="4" a="1"/>
  <c r="DC13" i="4" a="1"/>
  <c r="R5" i="4" a="1"/>
  <c r="AC5" i="4" a="1"/>
  <c r="AC9" i="4" a="1"/>
  <c r="DZ9" i="4" a="1"/>
  <c r="CI11" i="4" a="1"/>
  <c r="CG6" i="4" a="1"/>
  <c r="CP7" i="4" a="1"/>
  <c r="BL11" i="4" a="1"/>
  <c r="DJ8" i="4" a="1"/>
  <c r="AK16" i="4" a="1"/>
  <c r="P5" i="4" a="1"/>
  <c r="EE8" i="4" a="1"/>
  <c r="AW13" i="4" a="1"/>
  <c r="DL7" i="4" a="1"/>
  <c r="J15" i="4" a="1"/>
  <c r="CV11" i="4" a="1"/>
  <c r="CA16" i="4" a="1"/>
  <c r="L14" i="4" a="1"/>
  <c r="Z6" i="4" a="1"/>
  <c r="EK7" i="4" a="1"/>
  <c r="BM12" i="4" a="1"/>
  <c r="CW6" i="4" a="1"/>
  <c r="CT16" i="4" a="1"/>
  <c r="CP5" i="4" a="1"/>
  <c r="AA15" i="4" a="1"/>
  <c r="CW12" i="4" a="1"/>
  <c r="BQ13" i="4" a="1"/>
  <c r="DI11" i="4" a="1"/>
  <c r="ED13" i="4" a="1"/>
  <c r="L15" i="4" a="1"/>
  <c r="BS8" i="4" a="1"/>
  <c r="EB13" i="4" a="1"/>
  <c r="CC9" i="4" a="1"/>
  <c r="CW8" i="4" a="1"/>
  <c r="CB11" i="4" a="1"/>
  <c r="CP11" i="4" a="1"/>
  <c r="AD14" i="4" a="1"/>
  <c r="BS9" i="4" a="1"/>
  <c r="BO6" i="4" a="1"/>
  <c r="Q11" i="4" a="1"/>
  <c r="DA6" i="4" a="1"/>
  <c r="CM12" i="4" a="1"/>
  <c r="T7" i="4" a="1"/>
  <c r="BP11" i="4" a="1"/>
  <c r="EA8" i="4" a="1"/>
  <c r="L5" i="4" a="1"/>
  <c r="I5" i="4" a="1"/>
  <c r="F15" i="4" a="1"/>
  <c r="BV8" i="4" a="1"/>
  <c r="AH12" i="4" a="1"/>
  <c r="AX13" i="4" a="1"/>
  <c r="N14" i="4" a="1"/>
  <c r="P6" i="4" a="1"/>
  <c r="M16" i="4" a="1"/>
  <c r="AX9" i="4" a="1"/>
  <c r="N11" i="4" a="1"/>
  <c r="EE15" i="4" a="1"/>
  <c r="DK9" i="4" a="1"/>
  <c r="CC5" i="4" a="1"/>
  <c r="EA11" i="4" a="1"/>
  <c r="DH9" i="4" a="1"/>
  <c r="AC13" i="4" a="1"/>
  <c r="X12" i="4" a="1"/>
  <c r="DY12" i="4" a="1"/>
  <c r="BA8" i="4" a="1"/>
  <c r="BD13" i="4" a="1"/>
  <c r="BU16" i="4" a="1"/>
  <c r="CX13" i="4" a="1"/>
  <c r="DA15" i="4" a="1"/>
  <c r="DK12" i="4" a="1"/>
  <c r="AO15" i="4" a="1"/>
  <c r="S13" i="4" a="1"/>
  <c r="BY12" i="4" a="1"/>
  <c r="BM7" i="4" a="1"/>
  <c r="AH14" i="4" a="1"/>
  <c r="Y15" i="4" a="1"/>
  <c r="EI13" i="4" a="1"/>
  <c r="BW9" i="4" a="1"/>
  <c r="BU15" i="4" a="1"/>
  <c r="AG6" i="4" a="1"/>
  <c r="AJ6" i="4" a="1"/>
  <c r="D90" i="3"/>
  <c r="F93" i="3"/>
  <c r="D85" i="3"/>
  <c r="AD56" i="3"/>
  <c r="AD73" i="3"/>
  <c r="F88" i="3"/>
  <c r="G86" i="3"/>
  <c r="D63" i="3"/>
  <c r="D68" i="3"/>
  <c r="AD66" i="3"/>
  <c r="G79" i="3"/>
  <c r="D56" i="3"/>
  <c r="D70" i="3"/>
  <c r="F87" i="3"/>
  <c r="G85" i="3"/>
  <c r="F96" i="3"/>
  <c r="AD92" i="3"/>
  <c r="AD94" i="3"/>
  <c r="F48" i="3"/>
  <c r="G84" i="3"/>
  <c r="D60" i="3"/>
  <c r="F50" i="3"/>
  <c r="G59" i="3"/>
  <c r="F97" i="3"/>
  <c r="F66" i="3"/>
  <c r="AD79" i="3"/>
  <c r="D57" i="3"/>
  <c r="D78" i="3"/>
  <c r="G88" i="3"/>
  <c r="F94" i="3"/>
  <c r="AD60" i="3"/>
  <c r="AD70" i="3"/>
  <c r="G64" i="3"/>
  <c r="D54" i="3"/>
  <c r="AD69" i="3"/>
  <c r="F84" i="3"/>
  <c r="G75" i="3"/>
  <c r="F47" i="3"/>
  <c r="F72" i="3"/>
  <c r="AD85" i="3"/>
  <c r="F68" i="3"/>
  <c r="G62" i="3"/>
  <c r="AD88" i="3"/>
  <c r="F92" i="3"/>
  <c r="F70" i="3"/>
  <c r="F75" i="3"/>
  <c r="AD83" i="3"/>
  <c r="F78" i="3"/>
  <c r="G92" i="3"/>
  <c r="D80" i="3"/>
  <c r="G63" i="3"/>
  <c r="D91" i="3"/>
  <c r="AD93" i="3"/>
  <c r="G95" i="3"/>
  <c r="D96" i="3"/>
  <c r="G74" i="3"/>
  <c r="AD71" i="3"/>
  <c r="G91" i="3"/>
  <c r="G60" i="3"/>
  <c r="AD67" i="3"/>
  <c r="AD68" i="3"/>
  <c r="G97" i="3"/>
  <c r="F77" i="3"/>
  <c r="AD65" i="3"/>
  <c r="AD97" i="3"/>
  <c r="G93" i="3"/>
  <c r="AD84" i="3"/>
  <c r="AD78" i="3"/>
  <c r="F71" i="3"/>
  <c r="G90" i="3"/>
  <c r="D61" i="3"/>
  <c r="D88" i="3"/>
  <c r="AD57" i="3"/>
  <c r="G65" i="3"/>
  <c r="AD61" i="3"/>
  <c r="D94" i="3"/>
  <c r="F85" i="3"/>
  <c r="D84" i="3"/>
  <c r="AD87" i="3"/>
  <c r="G87" i="3"/>
  <c r="D55" i="3"/>
  <c r="D62" i="3"/>
  <c r="G89" i="3"/>
  <c r="G69" i="3"/>
  <c r="F95" i="3"/>
  <c r="AD91" i="3"/>
  <c r="F59" i="3"/>
  <c r="G70" i="3"/>
  <c r="AD75" i="3"/>
  <c r="G56" i="3"/>
  <c r="G57" i="3"/>
  <c r="F54" i="3"/>
  <c r="D73" i="3"/>
  <c r="AD86" i="3"/>
  <c r="F73" i="3"/>
  <c r="F90" i="3"/>
  <c r="F56" i="3"/>
  <c r="AD63" i="3"/>
  <c r="F61" i="3"/>
  <c r="G76" i="3"/>
  <c r="AD58" i="3"/>
  <c r="F76" i="3"/>
  <c r="D86" i="3"/>
  <c r="AD74" i="3"/>
  <c r="F65" i="3"/>
  <c r="G68" i="3"/>
  <c r="D76" i="3"/>
  <c r="F67" i="3"/>
  <c r="AD72" i="3"/>
  <c r="F89" i="3"/>
  <c r="G54" i="3"/>
  <c r="D66" i="3"/>
  <c r="G81" i="3"/>
  <c r="D79" i="3"/>
  <c r="AD55" i="3"/>
  <c r="AD80" i="3"/>
  <c r="D77" i="3"/>
  <c r="AD89" i="3"/>
  <c r="F57" i="3"/>
  <c r="F91" i="3"/>
  <c r="D93" i="3"/>
  <c r="G80" i="3"/>
  <c r="F74" i="3"/>
  <c r="F64" i="3"/>
  <c r="AD95" i="3"/>
  <c r="D64" i="3"/>
  <c r="G96" i="3"/>
  <c r="F69" i="3"/>
  <c r="F81" i="3"/>
  <c r="D71" i="3"/>
  <c r="D72" i="3"/>
  <c r="AD62" i="3"/>
  <c r="D92" i="3"/>
  <c r="F49" i="3"/>
  <c r="G55" i="3"/>
  <c r="D58" i="3"/>
  <c r="AD77" i="3"/>
  <c r="AD90" i="3"/>
  <c r="G67" i="3"/>
  <c r="D87" i="3"/>
  <c r="G78" i="3"/>
  <c r="D97" i="3"/>
  <c r="F58" i="3"/>
  <c r="F82" i="3"/>
  <c r="AD76" i="3"/>
  <c r="G83" i="3"/>
  <c r="D69" i="3"/>
  <c r="F79" i="3"/>
  <c r="G71" i="3"/>
  <c r="AD54" i="3"/>
  <c r="G82" i="3"/>
  <c r="D74" i="3"/>
  <c r="F63" i="3"/>
  <c r="F62" i="3"/>
  <c r="D83" i="3"/>
  <c r="F86" i="3"/>
  <c r="D75" i="3"/>
  <c r="G72" i="3"/>
  <c r="D89" i="3"/>
  <c r="G66" i="3"/>
  <c r="AD81" i="3"/>
  <c r="D59" i="3"/>
  <c r="G73" i="3"/>
  <c r="D95" i="3"/>
  <c r="AD82" i="3"/>
  <c r="G94" i="3"/>
  <c r="D81" i="3"/>
  <c r="F80" i="3"/>
  <c r="AD59" i="3"/>
  <c r="D67" i="3"/>
  <c r="F83" i="3"/>
  <c r="G58" i="3"/>
  <c r="D82" i="3"/>
  <c r="F55" i="3"/>
  <c r="F60" i="3"/>
  <c r="AD64" i="3"/>
  <c r="AD96" i="3"/>
  <c r="G61" i="3"/>
  <c r="G77" i="3"/>
  <c r="D65" i="3"/>
  <c r="E97" i="3" l="1"/>
  <c r="E59" i="3"/>
  <c r="E88" i="3"/>
  <c r="E92" i="3"/>
  <c r="E54" i="3"/>
  <c r="E61" i="3"/>
  <c r="E89" i="3"/>
  <c r="E72" i="3"/>
  <c r="E79" i="3"/>
  <c r="E58" i="3"/>
  <c r="E68" i="3"/>
  <c r="E94" i="3"/>
  <c r="E62" i="3"/>
  <c r="E64" i="3"/>
  <c r="E56" i="3"/>
  <c r="E96" i="3"/>
  <c r="E60" i="3"/>
  <c r="E74" i="3"/>
  <c r="E78" i="3"/>
  <c r="E75" i="3"/>
  <c r="E90" i="3"/>
  <c r="E80" i="3"/>
  <c r="E93" i="3"/>
  <c r="E84" i="3"/>
  <c r="E82" i="3"/>
  <c r="E67" i="3"/>
  <c r="E57" i="3"/>
  <c r="E85" i="3"/>
  <c r="E65" i="3"/>
  <c r="E87" i="3"/>
  <c r="E55" i="3"/>
  <c r="E77" i="3"/>
  <c r="E73" i="3"/>
  <c r="E66" i="3"/>
  <c r="E63" i="3"/>
  <c r="E71" i="3"/>
  <c r="E83" i="3"/>
  <c r="E76" i="3"/>
  <c r="E91" i="3"/>
  <c r="E69" i="3"/>
  <c r="E95" i="3"/>
  <c r="E70" i="3"/>
  <c r="E81" i="3"/>
  <c r="E86" i="3"/>
  <c r="IM9" i="4" s="1"/>
  <c r="IO9" i="4" s="1"/>
  <c r="IP9" i="4" s="1"/>
  <c r="AM13" i="1"/>
  <c r="JD9" i="4" s="1"/>
  <c r="IA16" i="4" s="1"/>
  <c r="JC9" i="4" s="1"/>
  <c r="IC16" i="4" s="1"/>
  <c r="JC16" i="4" s="1"/>
  <c r="AM25" i="1"/>
  <c r="IF9" i="4" s="1"/>
  <c r="HS9" i="4" s="1"/>
  <c r="IE16" i="4" s="1"/>
  <c r="IZ9" i="4" s="1"/>
  <c r="HY16" i="4" s="1"/>
  <c r="JF16" i="4" s="1"/>
  <c r="HR16" i="4" s="1"/>
  <c r="AM22" i="1"/>
  <c r="BX46" i="1"/>
  <c r="BX24" i="1"/>
  <c r="IJ15" i="4" s="1"/>
  <c r="IA9" i="4" s="1"/>
  <c r="IG16" i="4" s="1"/>
  <c r="HV16" i="4" s="1"/>
  <c r="IC9" i="4" s="1"/>
  <c r="BJ15" i="1"/>
  <c r="JE9" i="4" s="1"/>
  <c r="IH9" i="4" s="1"/>
  <c r="BX35" i="1"/>
  <c r="AK8" i="1"/>
  <c r="IX16" i="4" s="1"/>
  <c r="IW16" i="4" s="1"/>
  <c r="AL51" i="1"/>
  <c r="IK16" i="4" s="1"/>
  <c r="IM16" i="4" s="1"/>
  <c r="HR15" i="4" s="1"/>
  <c r="IB7" i="4" s="1"/>
  <c r="AL24" i="1"/>
  <c r="AJ47" i="1"/>
  <c r="HV9" i="4" s="1"/>
  <c r="HV21" i="4" s="1"/>
  <c r="AP77" i="1" s="1"/>
  <c r="IE9" i="4" s="1"/>
  <c r="IJ16" i="4" s="1"/>
  <c r="JI9" i="4" s="1"/>
  <c r="BX23" i="1"/>
  <c r="AL9" i="1"/>
  <c r="HX8" i="4" s="1"/>
  <c r="IB8" i="4" s="1"/>
  <c r="HS16" i="4" s="1"/>
  <c r="HS21" i="4" s="1"/>
  <c r="AM77" i="1" s="1"/>
  <c r="IU16" i="4" s="1"/>
  <c r="IN16" i="4" s="1"/>
  <c r="HW9" i="4" s="1"/>
  <c r="IR16" i="4" s="1"/>
  <c r="AL46" i="1"/>
  <c r="BX9" i="1"/>
  <c r="BX145" i="1"/>
  <c r="C20" i="1"/>
  <c r="E45" i="1"/>
  <c r="IY16" i="4" s="1"/>
  <c r="IU9" i="4" s="1"/>
  <c r="IN9" i="4" s="1"/>
  <c r="JH16" i="4" s="1"/>
  <c r="AL32" i="1"/>
  <c r="AL194" i="1" s="1"/>
  <c r="AL22" i="1"/>
  <c r="AK20" i="1"/>
  <c r="AM8" i="1"/>
  <c r="AM231" i="1" s="1"/>
  <c r="BJ13" i="1"/>
  <c r="M45" i="1"/>
  <c r="BX119" i="1"/>
  <c r="BY119" i="1" s="1"/>
  <c r="M24" i="1"/>
  <c r="AM21" i="1"/>
  <c r="W15" i="1"/>
  <c r="BX154" i="1"/>
  <c r="BY154" i="1" s="1"/>
  <c r="I35" i="1"/>
  <c r="BX73" i="1"/>
  <c r="AL25" i="1"/>
  <c r="G46" i="1"/>
  <c r="BX159" i="1"/>
  <c r="P155" i="1"/>
  <c r="BX122" i="1"/>
  <c r="BY122" i="1" s="1"/>
  <c r="IL16" i="4" s="1"/>
  <c r="II7" i="4" s="1"/>
  <c r="IK9" i="4" s="1"/>
  <c r="HZ8" i="4" s="1"/>
  <c r="BX20" i="1"/>
  <c r="AK45" i="1"/>
  <c r="AJ35" i="1"/>
  <c r="BJ24" i="1"/>
  <c r="BX45" i="1"/>
  <c r="R13" i="1"/>
  <c r="J32" i="1"/>
  <c r="J194" i="1" s="1"/>
  <c r="Q22" i="1"/>
  <c r="JB15" i="4" s="1"/>
  <c r="IR9" i="4" s="1"/>
  <c r="HZ7" i="4" s="1"/>
  <c r="IF15" i="4" s="1"/>
  <c r="AJ9" i="1"/>
  <c r="AJ13" i="1"/>
  <c r="AL14" i="1"/>
  <c r="BX22" i="1"/>
  <c r="AM15" i="1"/>
  <c r="T45" i="1"/>
  <c r="W51" i="1"/>
  <c r="BX137" i="1"/>
  <c r="BY137" i="1" s="1"/>
  <c r="U13" i="1"/>
  <c r="IH16" i="4" s="1"/>
  <c r="HP7" i="4" s="1"/>
  <c r="IF16" i="4" s="1"/>
  <c r="AJ32" i="1"/>
  <c r="AJ194" i="1" s="1"/>
  <c r="BJ8" i="1"/>
  <c r="BJ231" i="1" s="1"/>
  <c r="AL35" i="1"/>
  <c r="Q9" i="1"/>
  <c r="C13" i="1"/>
  <c r="IV16" i="4" s="1"/>
  <c r="AL47" i="1"/>
  <c r="AM14" i="1"/>
  <c r="AM23" i="1"/>
  <c r="AJ21" i="1"/>
  <c r="F24" i="1"/>
  <c r="C36" i="1"/>
  <c r="V22" i="1"/>
  <c r="Q32" i="1"/>
  <c r="Q194" i="1" s="1"/>
  <c r="IQ15" i="4" s="1"/>
  <c r="II16" i="4" s="1"/>
  <c r="JF9" i="4" s="1"/>
  <c r="AM9" i="1"/>
  <c r="AK14" i="1"/>
  <c r="AL15" i="1"/>
  <c r="AL8" i="1"/>
  <c r="AL36" i="1"/>
  <c r="D122" i="1"/>
  <c r="J23" i="1"/>
  <c r="J20" i="1"/>
  <c r="T46" i="1"/>
  <c r="I21" i="1"/>
  <c r="HU16" i="4" s="1"/>
  <c r="BX13" i="1"/>
  <c r="AM35" i="1"/>
  <c r="BJ25" i="1"/>
  <c r="M23" i="1"/>
  <c r="H24" i="1"/>
  <c r="BX143" i="1"/>
  <c r="BY143" i="1" s="1"/>
  <c r="H8" i="1"/>
  <c r="H231" i="1" s="1"/>
  <c r="N35" i="1"/>
  <c r="IO16" i="4" s="1"/>
  <c r="BX39" i="1"/>
  <c r="BX25" i="1"/>
  <c r="BJ14" i="1"/>
  <c r="AK22" i="1"/>
  <c r="U23" i="1"/>
  <c r="B35" i="1"/>
  <c r="J25" i="1"/>
  <c r="S8" i="1"/>
  <c r="S231" i="1" s="1"/>
  <c r="IQ9" i="4" s="1"/>
  <c r="IV9" i="4" s="1"/>
  <c r="IZ7" i="4" s="1"/>
  <c r="II9" i="4" s="1"/>
  <c r="IY9" i="4" s="1"/>
  <c r="IT16" i="4" s="1"/>
  <c r="HW16" i="4" s="1"/>
  <c r="IZ16" i="4" s="1"/>
  <c r="HZ9" i="4" s="1"/>
  <c r="BJ20" i="1"/>
  <c r="AM24" i="1"/>
  <c r="BX151" i="1"/>
  <c r="BY151" i="1" s="1"/>
  <c r="P153" i="1"/>
  <c r="I13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B25" i="1"/>
  <c r="V23" i="1"/>
  <c r="M8" i="1"/>
  <c r="S20" i="1"/>
  <c r="M9" i="1"/>
  <c r="W32" i="1"/>
  <c r="N13" i="1"/>
  <c r="O8" i="1"/>
  <c r="O252" i="1" s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J13" i="1"/>
  <c r="P25" i="1"/>
  <c r="T22" i="1"/>
  <c r="E2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HU9" i="4" s="1"/>
  <c r="HY8" i="4" s="1"/>
  <c r="IJ8" i="4" s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Z15" i="4" s="1"/>
  <c r="HY9" i="4" s="1"/>
  <c r="IX7" i="4" s="1"/>
  <c r="JE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JD15" i="4" s="1"/>
  <c r="IN15" i="4" s="1"/>
  <c r="HP16" i="4" s="1"/>
  <c r="IR14" i="4" s="1"/>
  <c r="IW15" i="4" s="1"/>
  <c r="HU15" i="4" s="1"/>
  <c r="HP8" i="4" s="1"/>
  <c r="HR8" i="4" s="1"/>
  <c r="JG15" i="4" s="1"/>
  <c r="IN7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52" i="1" s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83" i="1" s="1"/>
  <c r="AM183" i="1" s="1"/>
  <c r="AL146" i="1"/>
  <c r="AM146" i="1" s="1"/>
  <c r="AL152" i="1"/>
  <c r="AM152" i="1" s="1"/>
  <c r="AL159" i="1"/>
  <c r="AL144" i="1"/>
  <c r="AL179" i="1" s="1"/>
  <c r="AM179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L15" i="4"/>
  <c r="JI14" i="4"/>
  <c r="HQ8" i="4"/>
  <c r="JC7" i="4"/>
  <c r="JC8" i="4"/>
  <c r="IX14" i="4"/>
  <c r="IV15" i="4"/>
  <c r="HT8" i="4"/>
  <c r="HV15" i="4"/>
  <c r="JB8" i="4"/>
  <c r="IA14" i="4"/>
  <c r="IP15" i="4"/>
  <c r="F194" i="1"/>
  <c r="JA14" i="4"/>
  <c r="IT14" i="4"/>
  <c r="HR7" i="4"/>
  <c r="JE8" i="4"/>
  <c r="IY7" i="4"/>
  <c r="II14" i="4"/>
  <c r="ID14" i="4"/>
  <c r="JC14" i="4"/>
  <c r="ID7" i="4"/>
  <c r="II8" i="4"/>
  <c r="IC7" i="4"/>
  <c r="JA15" i="4"/>
  <c r="IJ7" i="4"/>
  <c r="IT8" i="4"/>
  <c r="IH14" i="4"/>
  <c r="IT7" i="4"/>
  <c r="HR14" i="4"/>
  <c r="IH7" i="4"/>
  <c r="IP7" i="4"/>
  <c r="HV8" i="4"/>
  <c r="CP77" i="1"/>
  <c r="CN63" i="1"/>
  <c r="CM65" i="1"/>
  <c r="I253" i="1" l="1"/>
  <c r="Q252" i="1"/>
  <c r="C194" i="1"/>
  <c r="T253" i="1"/>
  <c r="IF21" i="4"/>
  <c r="AZ77" i="1" s="1"/>
  <c r="IG8" i="4" s="1"/>
  <c r="IY14" i="4" s="1"/>
  <c r="IF7" i="4" s="1"/>
  <c r="IV21" i="4"/>
  <c r="BP77" i="1" s="1"/>
  <c r="IS16" i="4" s="1"/>
  <c r="HQ9" i="4" s="1"/>
  <c r="IG9" i="4" s="1"/>
  <c r="IS15" i="4" s="1"/>
  <c r="HP9" i="4" s="1"/>
  <c r="IQ16" i="4" s="1"/>
  <c r="ID8" i="4" s="1"/>
  <c r="JG16" i="4" s="1"/>
  <c r="JF21" i="4"/>
  <c r="BZ77" i="1" s="1"/>
  <c r="BZ94" i="1" s="1"/>
  <c r="HT9" i="4" s="1"/>
  <c r="IW9" i="4" s="1"/>
  <c r="IO21" i="4"/>
  <c r="BI77" i="1" s="1"/>
  <c r="HX9" i="4" s="1"/>
  <c r="AK10" i="1"/>
  <c r="L10" i="1"/>
  <c r="N26" i="1"/>
  <c r="JE21" i="4"/>
  <c r="BY77" i="1" s="1"/>
  <c r="HS7" i="4" s="1"/>
  <c r="JB9" i="4" s="1"/>
  <c r="IY15" i="4" s="1"/>
  <c r="HP14" i="4" s="1"/>
  <c r="ID9" i="4" s="1"/>
  <c r="HT16" i="4" s="1"/>
  <c r="HT21" i="4" s="1"/>
  <c r="AN77" i="1" s="1"/>
  <c r="BX253" i="1"/>
  <c r="S10" i="1"/>
  <c r="BY120" i="1"/>
  <c r="IY21" i="4"/>
  <c r="BS77" i="1" s="1"/>
  <c r="L253" i="1"/>
  <c r="L194" i="1"/>
  <c r="AL252" i="1"/>
  <c r="D194" i="1"/>
  <c r="HY21" i="4"/>
  <c r="AS77" i="1" s="1"/>
  <c r="IR21" i="4"/>
  <c r="BL77" i="1" s="1"/>
  <c r="BL94" i="1" s="1"/>
  <c r="IG21" i="4"/>
  <c r="BA77" i="1" s="1"/>
  <c r="IP21" i="4"/>
  <c r="BJ77" i="1" s="1"/>
  <c r="IM21" i="4"/>
  <c r="BG77" i="1" s="1"/>
  <c r="F10" i="1"/>
  <c r="F252" i="1"/>
  <c r="AL231" i="1"/>
  <c r="HU21" i="4"/>
  <c r="AO77" i="1" s="1"/>
  <c r="HW21" i="4"/>
  <c r="AQ77" i="1" s="1"/>
  <c r="AL10" i="1"/>
  <c r="H252" i="1"/>
  <c r="V16" i="1"/>
  <c r="V17" i="1" s="1"/>
  <c r="IE21" i="4"/>
  <c r="AY77" i="1" s="1"/>
  <c r="H10" i="1"/>
  <c r="H16" i="1" s="1"/>
  <c r="H17" i="1" s="1"/>
  <c r="IN21" i="4"/>
  <c r="BH77" i="1" s="1"/>
  <c r="IK21" i="4"/>
  <c r="BE77" i="1" s="1"/>
  <c r="AJ10" i="1"/>
  <c r="X11" i="1"/>
  <c r="C253" i="1"/>
  <c r="K253" i="1"/>
  <c r="W253" i="1"/>
  <c r="W194" i="1"/>
  <c r="O10" i="1"/>
  <c r="X188" i="1"/>
  <c r="C231" i="1"/>
  <c r="C10" i="1"/>
  <c r="K10" i="1"/>
  <c r="JC21" i="4"/>
  <c r="BW77" i="1" s="1"/>
  <c r="R252" i="1"/>
  <c r="W16" i="1"/>
  <c r="G183" i="1"/>
  <c r="G10" i="1"/>
  <c r="O231" i="1"/>
  <c r="W98" i="1"/>
  <c r="U16" i="1"/>
  <c r="U98" i="1"/>
  <c r="E231" i="1"/>
  <c r="E10" i="1"/>
  <c r="S252" i="1"/>
  <c r="IC21" i="4"/>
  <c r="AW77" i="1" s="1"/>
  <c r="JF14" i="4"/>
  <c r="IJ14" i="4"/>
  <c r="IJ19" i="4" s="1"/>
  <c r="BD78" i="1" s="1"/>
  <c r="BD107" i="1" s="1"/>
  <c r="JF8" i="4"/>
  <c r="IA15" i="4"/>
  <c r="AL180" i="1"/>
  <c r="AM180" i="1" s="1"/>
  <c r="AJ179" i="1"/>
  <c r="M231" i="1"/>
  <c r="M10" i="1"/>
  <c r="M194" i="1"/>
  <c r="M253" i="1"/>
  <c r="S194" i="1"/>
  <c r="S253" i="1"/>
  <c r="R194" i="1"/>
  <c r="R253" i="1"/>
  <c r="HX7" i="4"/>
  <c r="C252" i="1"/>
  <c r="IM7" i="4"/>
  <c r="IF8" i="4"/>
  <c r="BX134" i="1"/>
  <c r="BY134" i="1" s="1"/>
  <c r="K26" i="1"/>
  <c r="HZ14" i="4"/>
  <c r="IM8" i="4"/>
  <c r="JG8" i="4"/>
  <c r="IM14" i="4"/>
  <c r="IM19" i="4" s="1"/>
  <c r="BG78" i="1" s="1"/>
  <c r="BG107" i="1" s="1"/>
  <c r="HT15" i="4"/>
  <c r="IA21" i="4"/>
  <c r="AU77" i="1" s="1"/>
  <c r="JH8" i="4"/>
  <c r="JH7" i="4"/>
  <c r="IA8" i="4"/>
  <c r="HY7" i="4"/>
  <c r="IO14" i="4"/>
  <c r="IE7" i="4"/>
  <c r="JE15" i="4"/>
  <c r="IO8" i="4"/>
  <c r="HU7" i="4"/>
  <c r="HQ15" i="4"/>
  <c r="JH15" i="4"/>
  <c r="HQ14" i="4"/>
  <c r="HS14" i="4"/>
  <c r="JE14" i="4"/>
  <c r="HQ7" i="4"/>
  <c r="IV7" i="4"/>
  <c r="IP14" i="4"/>
  <c r="IP19" i="4" s="1"/>
  <c r="BJ78" i="1" s="1"/>
  <c r="BJ107" i="1" s="1"/>
  <c r="IL14" i="4"/>
  <c r="IE15" i="4"/>
  <c r="IO7" i="4"/>
  <c r="IT15" i="4"/>
  <c r="IT20" i="4" s="1"/>
  <c r="BN79" i="1" s="1"/>
  <c r="BN108" i="1" s="1"/>
  <c r="JI8" i="4"/>
  <c r="JI15" i="4"/>
  <c r="IZ15" i="4"/>
  <c r="JF7" i="4"/>
  <c r="IS14" i="4"/>
  <c r="IA7" i="4"/>
  <c r="II15" i="4"/>
  <c r="IY8" i="4"/>
  <c r="IH21" i="4"/>
  <c r="BB77" i="1" s="1"/>
  <c r="HX15" i="4"/>
  <c r="HW14" i="4"/>
  <c r="IN14" i="4"/>
  <c r="IQ14" i="4"/>
  <c r="IQ19" i="4" s="1"/>
  <c r="BK78" i="1" s="1"/>
  <c r="BK107" i="1" s="1"/>
  <c r="HY14" i="4"/>
  <c r="HY19" i="4" s="1"/>
  <c r="AS78" i="1" s="1"/>
  <c r="AS107" i="1" s="1"/>
  <c r="IU21" i="4"/>
  <c r="BO77" i="1" s="1"/>
  <c r="IX8" i="4"/>
  <c r="IR15" i="4"/>
  <c r="IL8" i="4"/>
  <c r="IM15" i="4"/>
  <c r="HP15" i="4"/>
  <c r="IU15" i="4"/>
  <c r="IH8" i="4"/>
  <c r="HW8" i="4"/>
  <c r="AL26" i="1"/>
  <c r="IG15" i="4"/>
  <c r="IL7" i="4"/>
  <c r="HP21" i="4"/>
  <c r="AJ77" i="1" s="1"/>
  <c r="I252" i="1"/>
  <c r="IU8" i="4"/>
  <c r="IS8" i="4"/>
  <c r="IR8" i="4"/>
  <c r="HS15" i="4"/>
  <c r="HS20" i="4" s="1"/>
  <c r="AM79" i="1" s="1"/>
  <c r="IC14" i="4"/>
  <c r="JE7" i="4"/>
  <c r="IH15" i="4"/>
  <c r="HS8" i="4"/>
  <c r="IW8" i="4"/>
  <c r="IU7" i="4"/>
  <c r="IN8" i="4"/>
  <c r="M26" i="1"/>
  <c r="IC8" i="4"/>
  <c r="IQ7" i="4"/>
  <c r="HU14" i="4"/>
  <c r="HU19" i="4" s="1"/>
  <c r="AO78" i="1" s="1"/>
  <c r="AO107" i="1" s="1"/>
  <c r="IV14" i="4"/>
  <c r="JA8" i="4"/>
  <c r="IQ21" i="4"/>
  <c r="BK77" i="1" s="1"/>
  <c r="IE14" i="4"/>
  <c r="IZ14" i="4"/>
  <c r="N252" i="1"/>
  <c r="I26" i="1"/>
  <c r="H26" i="1"/>
  <c r="P183" i="1"/>
  <c r="B252" i="1"/>
  <c r="HU8" i="4"/>
  <c r="ID21" i="4"/>
  <c r="AX77" i="1" s="1"/>
  <c r="HY15" i="4"/>
  <c r="HY20" i="4" s="1"/>
  <c r="AS79" i="1" s="1"/>
  <c r="AS108" i="1" s="1"/>
  <c r="JD7" i="4"/>
  <c r="JA7" i="4"/>
  <c r="AJ26" i="1"/>
  <c r="AJ27" i="1" s="1"/>
  <c r="O26" i="1"/>
  <c r="G26" i="1"/>
  <c r="L252" i="1"/>
  <c r="T26" i="1"/>
  <c r="P26" i="1"/>
  <c r="JI7" i="4"/>
  <c r="JI19" i="4" s="1"/>
  <c r="CC78" i="1" s="1"/>
  <c r="IW7" i="4"/>
  <c r="HV14" i="4"/>
  <c r="JD8" i="4"/>
  <c r="JD20" i="4" s="1"/>
  <c r="BX79" i="1" s="1"/>
  <c r="BX108" i="1" s="1"/>
  <c r="IZ8" i="4"/>
  <c r="IE8" i="4"/>
  <c r="IE20" i="4" s="1"/>
  <c r="AY79" i="1" s="1"/>
  <c r="AY108" i="1" s="1"/>
  <c r="R26" i="1"/>
  <c r="M252" i="1"/>
  <c r="BJ179" i="1"/>
  <c r="BK179" i="1" s="1"/>
  <c r="AJ183" i="1"/>
  <c r="I231" i="1"/>
  <c r="I10" i="1"/>
  <c r="D253" i="1"/>
  <c r="D252" i="1"/>
  <c r="V194" i="1"/>
  <c r="V253" i="1"/>
  <c r="AJ33" i="1"/>
  <c r="BY128" i="1"/>
  <c r="BX26" i="1"/>
  <c r="BX161" i="1"/>
  <c r="BY209" i="1" s="1"/>
  <c r="HT7" i="4"/>
  <c r="IR7" i="4"/>
  <c r="ID15" i="4"/>
  <c r="JB7" i="4"/>
  <c r="AM252" i="1"/>
  <c r="II21" i="4"/>
  <c r="BC77" i="1" s="1"/>
  <c r="BJ183" i="1"/>
  <c r="BK183" i="1" s="1"/>
  <c r="HX14" i="4"/>
  <c r="IX15" i="4"/>
  <c r="IX20" i="4" s="1"/>
  <c r="BR79" i="1" s="1"/>
  <c r="BR108" i="1" s="1"/>
  <c r="IG14" i="4"/>
  <c r="IG19" i="4" s="1"/>
  <c r="BA78" i="1" s="1"/>
  <c r="BA107" i="1" s="1"/>
  <c r="IP8" i="4"/>
  <c r="IB14" i="4"/>
  <c r="IB19" i="4" s="1"/>
  <c r="AV78" i="1" s="1"/>
  <c r="AV107" i="1" s="1"/>
  <c r="JC15" i="4"/>
  <c r="JC20" i="4" s="1"/>
  <c r="BW79" i="1" s="1"/>
  <c r="BW108" i="1" s="1"/>
  <c r="BJ180" i="1"/>
  <c r="BK180" i="1" s="1"/>
  <c r="HW15" i="4"/>
  <c r="HW20" i="4" s="1"/>
  <c r="AQ79" i="1" s="1"/>
  <c r="AQ108" i="1" s="1"/>
  <c r="IC15" i="4"/>
  <c r="IB15" i="4"/>
  <c r="IB20" i="4" s="1"/>
  <c r="AV79" i="1" s="1"/>
  <c r="AV108" i="1" s="1"/>
  <c r="AL253" i="1"/>
  <c r="HW7" i="4"/>
  <c r="C26" i="1"/>
  <c r="JG14" i="4"/>
  <c r="JF15" i="4"/>
  <c r="IK7" i="4"/>
  <c r="W11" i="1"/>
  <c r="B10" i="1"/>
  <c r="BX120" i="1"/>
  <c r="BX92" i="1" s="1"/>
  <c r="F253" i="1"/>
  <c r="W26" i="1"/>
  <c r="IG7" i="4"/>
  <c r="P253" i="1"/>
  <c r="V11" i="1"/>
  <c r="W188" i="1"/>
  <c r="B231" i="1"/>
  <c r="IU14" i="4"/>
  <c r="IU19" i="4" s="1"/>
  <c r="BO78" i="1" s="1"/>
  <c r="BO107" i="1" s="1"/>
  <c r="CA98" i="1"/>
  <c r="CA99" i="1" s="1"/>
  <c r="T10" i="1"/>
  <c r="V26" i="1"/>
  <c r="V27" i="1" s="1"/>
  <c r="D26" i="1"/>
  <c r="L26" i="1"/>
  <c r="F26" i="1"/>
  <c r="S26" i="1"/>
  <c r="B26" i="1"/>
  <c r="B27" i="1" s="1"/>
  <c r="J26" i="1"/>
  <c r="IK15" i="4"/>
  <c r="AJ37" i="1"/>
  <c r="AM26" i="1"/>
  <c r="JH14" i="4"/>
  <c r="JH19" i="4" s="1"/>
  <c r="CB78" i="1" s="1"/>
  <c r="IO15" i="4"/>
  <c r="IO20" i="4" s="1"/>
  <c r="BI79" i="1" s="1"/>
  <c r="BI108" i="1" s="1"/>
  <c r="AM98" i="1"/>
  <c r="AM99" i="1" s="1"/>
  <c r="AM102" i="1" s="1"/>
  <c r="IK8" i="4"/>
  <c r="IZ21" i="4"/>
  <c r="BT77" i="1" s="1"/>
  <c r="JB14" i="4"/>
  <c r="JB19" i="4" s="1"/>
  <c r="BV78" i="1" s="1"/>
  <c r="BV107" i="1" s="1"/>
  <c r="E26" i="1"/>
  <c r="E27" i="1" s="1"/>
  <c r="BX128" i="1"/>
  <c r="J253" i="1"/>
  <c r="V188" i="1"/>
  <c r="AM10" i="1"/>
  <c r="IK14" i="4"/>
  <c r="IK19" i="4" s="1"/>
  <c r="BE78" i="1" s="1"/>
  <c r="BE107" i="1" s="1"/>
  <c r="T252" i="1"/>
  <c r="Q253" i="1"/>
  <c r="IF14" i="4"/>
  <c r="IF19" i="4" s="1"/>
  <c r="AZ78" i="1" s="1"/>
  <c r="AZ107" i="1" s="1"/>
  <c r="HV7" i="4"/>
  <c r="U26" i="1"/>
  <c r="O253" i="1"/>
  <c r="B253" i="1"/>
  <c r="H253" i="1"/>
  <c r="Q26" i="1"/>
  <c r="IQ8" i="4"/>
  <c r="AK26" i="1"/>
  <c r="P10" i="1"/>
  <c r="G253" i="1"/>
  <c r="BX231" i="1"/>
  <c r="BX183" i="1"/>
  <c r="BY183" i="1" s="1"/>
  <c r="U194" i="1"/>
  <c r="J252" i="1"/>
  <c r="D10" i="1"/>
  <c r="P252" i="1"/>
  <c r="N10" i="1"/>
  <c r="BX156" i="1"/>
  <c r="BX185" i="1" s="1"/>
  <c r="D231" i="1"/>
  <c r="AK231" i="1"/>
  <c r="P231" i="1"/>
  <c r="BX252" i="1"/>
  <c r="BX179" i="1"/>
  <c r="BY179" i="1" s="1"/>
  <c r="Q231" i="1"/>
  <c r="BX180" i="1"/>
  <c r="BY180" i="1" s="1"/>
  <c r="AM253" i="1"/>
  <c r="Q10" i="1"/>
  <c r="N253" i="1"/>
  <c r="Q183" i="1"/>
  <c r="J10" i="1"/>
  <c r="BX10" i="1"/>
  <c r="G252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HP20" i="4"/>
  <c r="AJ79" i="1" s="1"/>
  <c r="IU20" i="4"/>
  <c r="BO79" i="1" s="1"/>
  <c r="BO108" i="1" s="1"/>
  <c r="IL19" i="4"/>
  <c r="BF78" i="1" s="1"/>
  <c r="BF107" i="1" s="1"/>
  <c r="JF19" i="4"/>
  <c r="BZ78" i="1" s="1"/>
  <c r="IL20" i="4"/>
  <c r="BF79" i="1" s="1"/>
  <c r="BF108" i="1" s="1"/>
  <c r="HR20" i="4"/>
  <c r="AL79" i="1" s="1"/>
  <c r="IX19" i="4"/>
  <c r="BR78" i="1" s="1"/>
  <c r="BR107" i="1" s="1"/>
  <c r="S98" i="1"/>
  <c r="S16" i="1"/>
  <c r="S17" i="1" s="1"/>
  <c r="L16" i="1"/>
  <c r="L98" i="1"/>
  <c r="M188" i="1"/>
  <c r="M16" i="1"/>
  <c r="M17" i="1" s="1"/>
  <c r="JA19" i="4"/>
  <c r="BU78" i="1" s="1"/>
  <c r="BU107" i="1" s="1"/>
  <c r="JE20" i="4"/>
  <c r="BY79" i="1" s="1"/>
  <c r="BY108" i="1" s="1"/>
  <c r="IW20" i="4"/>
  <c r="BQ79" i="1" s="1"/>
  <c r="BQ108" i="1" s="1"/>
  <c r="II19" i="4"/>
  <c r="BC78" i="1" s="1"/>
  <c r="BC107" i="1" s="1"/>
  <c r="JC19" i="4"/>
  <c r="BW78" i="1" s="1"/>
  <c r="BW107" i="1" s="1"/>
  <c r="II20" i="4"/>
  <c r="BC79" i="1" s="1"/>
  <c r="BC108" i="1" s="1"/>
  <c r="IC19" i="4"/>
  <c r="AW78" i="1" s="1"/>
  <c r="AW107" i="1" s="1"/>
  <c r="IS20" i="4"/>
  <c r="BM79" i="1" s="1"/>
  <c r="BM108" i="1" s="1"/>
  <c r="IR19" i="4"/>
  <c r="BL78" i="1" s="1"/>
  <c r="IH20" i="4"/>
  <c r="BB79" i="1" s="1"/>
  <c r="BB108" i="1" s="1"/>
  <c r="JG20" i="4"/>
  <c r="CA79" i="1" s="1"/>
  <c r="HQ20" i="4"/>
  <c r="AK79" i="1" s="1"/>
  <c r="HT20" i="4"/>
  <c r="AN79" i="1" s="1"/>
  <c r="AN108" i="1" s="1"/>
  <c r="HV20" i="4"/>
  <c r="AP79" i="1" s="1"/>
  <c r="AP108" i="1" s="1"/>
  <c r="IN19" i="4"/>
  <c r="BH78" i="1" s="1"/>
  <c r="BH107" i="1" s="1"/>
  <c r="JB20" i="4"/>
  <c r="BV79" i="1" s="1"/>
  <c r="BV108" i="1" s="1"/>
  <c r="HR19" i="4"/>
  <c r="AL78" i="1" s="1"/>
  <c r="IJ20" i="4"/>
  <c r="BD79" i="1" s="1"/>
  <c r="BD108" i="1" s="1"/>
  <c r="ID19" i="4"/>
  <c r="AX78" i="1" s="1"/>
  <c r="AX107" i="1" s="1"/>
  <c r="HZ20" i="4"/>
  <c r="AT79" i="1" s="1"/>
  <c r="AT108" i="1" s="1"/>
  <c r="R16" i="1"/>
  <c r="IH19" i="4"/>
  <c r="BB78" i="1" s="1"/>
  <c r="BB107" i="1" s="1"/>
  <c r="IT19" i="4"/>
  <c r="BN78" i="1" s="1"/>
  <c r="BN107" i="1" s="1"/>
  <c r="AL202" i="1"/>
  <c r="AK202" i="1"/>
  <c r="BK202" i="1"/>
  <c r="BY202" i="1"/>
  <c r="CM32" i="1"/>
  <c r="AB77" i="1"/>
  <c r="CQ77" i="1"/>
  <c r="AC140" i="1"/>
  <c r="CN65" i="1"/>
  <c r="CO63" i="1"/>
  <c r="AL27" i="1" l="1"/>
  <c r="C27" i="1"/>
  <c r="AJ16" i="1"/>
  <c r="BY206" i="1"/>
  <c r="AK27" i="1"/>
  <c r="P188" i="1"/>
  <c r="AL16" i="1"/>
  <c r="AL17" i="1" s="1"/>
  <c r="HS19" i="4"/>
  <c r="AM78" i="1" s="1"/>
  <c r="HX19" i="4"/>
  <c r="AR78" i="1" s="1"/>
  <c r="AR107" i="1" s="1"/>
  <c r="IA19" i="4"/>
  <c r="AU78" i="1" s="1"/>
  <c r="AU107" i="1" s="1"/>
  <c r="BX138" i="1"/>
  <c r="IF20" i="4"/>
  <c r="AZ79" i="1" s="1"/>
  <c r="AZ108" i="1" s="1"/>
  <c r="IW21" i="4"/>
  <c r="BQ77" i="1" s="1"/>
  <c r="JA9" i="4" s="1"/>
  <c r="JG9" i="4" s="1"/>
  <c r="JA16" i="4"/>
  <c r="IA20" i="4"/>
  <c r="AU79" i="1" s="1"/>
  <c r="AU108" i="1" s="1"/>
  <c r="IO19" i="4"/>
  <c r="BI78" i="1" s="1"/>
  <c r="BI107" i="1" s="1"/>
  <c r="HQ19" i="4"/>
  <c r="AK78" i="1" s="1"/>
  <c r="JE19" i="4"/>
  <c r="BY78" i="1" s="1"/>
  <c r="IZ20" i="4"/>
  <c r="BT79" i="1" s="1"/>
  <c r="BT108" i="1" s="1"/>
  <c r="HW19" i="4"/>
  <c r="AQ78" i="1" s="1"/>
  <c r="AQ107" i="1" s="1"/>
  <c r="IR20" i="4"/>
  <c r="BL79" i="1" s="1"/>
  <c r="BL96" i="1" s="1"/>
  <c r="JF20" i="4"/>
  <c r="BZ79" i="1" s="1"/>
  <c r="IK20" i="4"/>
  <c r="BE79" i="1" s="1"/>
  <c r="BE108" i="1" s="1"/>
  <c r="IG20" i="4"/>
  <c r="BA79" i="1" s="1"/>
  <c r="BA108" i="1" s="1"/>
  <c r="ID20" i="4"/>
  <c r="AX79" i="1" s="1"/>
  <c r="AX108" i="1" s="1"/>
  <c r="O16" i="1"/>
  <c r="O17" i="1" s="1"/>
  <c r="IM20" i="4"/>
  <c r="BG79" i="1" s="1"/>
  <c r="BG108" i="1" s="1"/>
  <c r="IV19" i="4"/>
  <c r="BP78" i="1" s="1"/>
  <c r="BP107" i="1" s="1"/>
  <c r="O98" i="1"/>
  <c r="IC20" i="4"/>
  <c r="AW79" i="1" s="1"/>
  <c r="AW108" i="1" s="1"/>
  <c r="BY33" i="1"/>
  <c r="JI20" i="4"/>
  <c r="CC79" i="1" s="1"/>
  <c r="HZ19" i="4"/>
  <c r="AT78" i="1" s="1"/>
  <c r="AT107" i="1" s="1"/>
  <c r="HP19" i="4"/>
  <c r="AJ78" i="1" s="1"/>
  <c r="JH20" i="4"/>
  <c r="CB79" i="1" s="1"/>
  <c r="HU20" i="4"/>
  <c r="AO79" i="1" s="1"/>
  <c r="AO108" i="1" s="1"/>
  <c r="JA20" i="4"/>
  <c r="BU79" i="1" s="1"/>
  <c r="BU108" i="1" s="1"/>
  <c r="IZ19" i="4"/>
  <c r="BT78" i="1" s="1"/>
  <c r="BT107" i="1" s="1"/>
  <c r="IP20" i="4"/>
  <c r="BJ79" i="1" s="1"/>
  <c r="BJ108" i="1" s="1"/>
  <c r="IE19" i="4"/>
  <c r="AY78" i="1" s="1"/>
  <c r="AY107" i="1" s="1"/>
  <c r="IN20" i="4"/>
  <c r="BH79" i="1" s="1"/>
  <c r="BH108" i="1" s="1"/>
  <c r="IQ20" i="4"/>
  <c r="BK79" i="1" s="1"/>
  <c r="BK108" i="1" s="1"/>
  <c r="IY19" i="4"/>
  <c r="BS78" i="1" s="1"/>
  <c r="BS107" i="1" s="1"/>
  <c r="IY20" i="4"/>
  <c r="BS79" i="1" s="1"/>
  <c r="BS108" i="1" s="1"/>
  <c r="H98" i="1"/>
  <c r="F98" i="1"/>
  <c r="F16" i="1"/>
  <c r="F17" i="1" s="1"/>
  <c r="S11" i="1"/>
  <c r="S188" i="1"/>
  <c r="H11" i="1"/>
  <c r="AK12" i="1"/>
  <c r="X18" i="1"/>
  <c r="W17" i="1"/>
  <c r="BY92" i="1"/>
  <c r="BZ207" i="1"/>
  <c r="E98" i="1"/>
  <c r="F188" i="1"/>
  <c r="F11" i="1"/>
  <c r="E16" i="1"/>
  <c r="U17" i="1"/>
  <c r="V18" i="1"/>
  <c r="G98" i="1"/>
  <c r="G16" i="1"/>
  <c r="G188" i="1"/>
  <c r="G11" i="1"/>
  <c r="C16" i="1"/>
  <c r="H188" i="1"/>
  <c r="AL12" i="1"/>
  <c r="AK16" i="1"/>
  <c r="K98" i="1"/>
  <c r="K16" i="1"/>
  <c r="L188" i="1"/>
  <c r="L11" i="1"/>
  <c r="W18" i="1"/>
  <c r="HV19" i="4"/>
  <c r="AP78" i="1" s="1"/>
  <c r="AP107" i="1" s="1"/>
  <c r="AM27" i="1"/>
  <c r="Q11" i="1"/>
  <c r="M11" i="1"/>
  <c r="M98" i="1"/>
  <c r="BY138" i="1"/>
  <c r="BZ33" i="1"/>
  <c r="I16" i="1"/>
  <c r="I98" i="1"/>
  <c r="T188" i="1"/>
  <c r="T16" i="1"/>
  <c r="U188" i="1"/>
  <c r="D27" i="1"/>
  <c r="I188" i="1"/>
  <c r="I11" i="1"/>
  <c r="BY129" i="1"/>
  <c r="BZ249" i="1"/>
  <c r="BZ251" i="1" s="1"/>
  <c r="BZ206" i="1"/>
  <c r="B16" i="1"/>
  <c r="C188" i="1"/>
  <c r="C11" i="1"/>
  <c r="W27" i="1"/>
  <c r="W28" i="1"/>
  <c r="AJ17" i="1"/>
  <c r="AJ28" i="1"/>
  <c r="AM16" i="1"/>
  <c r="AM19" i="1" s="1"/>
  <c r="AM12" i="1"/>
  <c r="AM225" i="1"/>
  <c r="P98" i="1"/>
  <c r="P11" i="1"/>
  <c r="N98" i="1"/>
  <c r="N11" i="1"/>
  <c r="J188" i="1"/>
  <c r="K11" i="1"/>
  <c r="K188" i="1"/>
  <c r="BY12" i="1"/>
  <c r="CC188" i="1"/>
  <c r="BY249" i="1"/>
  <c r="BX168" i="1"/>
  <c r="V28" i="1"/>
  <c r="BX129" i="1"/>
  <c r="BJ184" i="1"/>
  <c r="BX16" i="1"/>
  <c r="BX17" i="1" s="1"/>
  <c r="D11" i="1"/>
  <c r="CB11" i="1"/>
  <c r="AL28" i="1"/>
  <c r="AL34" i="1" s="1"/>
  <c r="AL38" i="1" s="1"/>
  <c r="D188" i="1"/>
  <c r="E11" i="1"/>
  <c r="BX248" i="1"/>
  <c r="J98" i="1"/>
  <c r="P16" i="1"/>
  <c r="J11" i="1"/>
  <c r="T11" i="1"/>
  <c r="U11" i="1"/>
  <c r="BX27" i="1"/>
  <c r="BY207" i="1"/>
  <c r="BY205" i="1" s="1"/>
  <c r="Q188" i="1"/>
  <c r="BX186" i="1"/>
  <c r="CB189" i="1" s="1"/>
  <c r="T98" i="1"/>
  <c r="Q98" i="1"/>
  <c r="R188" i="1"/>
  <c r="D16" i="1"/>
  <c r="BX184" i="1"/>
  <c r="O188" i="1"/>
  <c r="Q16" i="1"/>
  <c r="Q17" i="1" s="1"/>
  <c r="N188" i="1"/>
  <c r="E188" i="1"/>
  <c r="N16" i="1"/>
  <c r="N18" i="1" s="1"/>
  <c r="J16" i="1"/>
  <c r="J17" i="1" s="1"/>
  <c r="BK249" i="1"/>
  <c r="R11" i="1"/>
  <c r="O11" i="1"/>
  <c r="AJ129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X157" i="1"/>
  <c r="BX165" i="1" s="1"/>
  <c r="BX181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M18" i="1"/>
  <c r="BZ95" i="1"/>
  <c r="BZ89" i="1"/>
  <c r="BZ107" i="1"/>
  <c r="BZ110" i="1" s="1"/>
  <c r="AM108" i="1"/>
  <c r="AM104" i="1"/>
  <c r="S18" i="1"/>
  <c r="BX246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AL107" i="1"/>
  <c r="R17" i="1"/>
  <c r="BX96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J165" i="1" l="1"/>
  <c r="JG21" i="4"/>
  <c r="CA77" i="1" s="1"/>
  <c r="JI16" i="4"/>
  <c r="JA21" i="4"/>
  <c r="BU77" i="1" s="1"/>
  <c r="HX16" i="4"/>
  <c r="BZ205" i="1"/>
  <c r="C18" i="1"/>
  <c r="AJ166" i="1"/>
  <c r="N17" i="1"/>
  <c r="CC96" i="1"/>
  <c r="CC104" i="1"/>
  <c r="CC108" i="1"/>
  <c r="BZ108" i="1"/>
  <c r="BZ111" i="1" s="1"/>
  <c r="BZ96" i="1"/>
  <c r="CB96" i="1"/>
  <c r="CB108" i="1"/>
  <c r="CB111" i="1" s="1"/>
  <c r="CB114" i="1" s="1"/>
  <c r="CC87" i="1"/>
  <c r="CB104" i="1"/>
  <c r="BL108" i="1"/>
  <c r="BL111" i="1" s="1"/>
  <c r="CB87" i="1"/>
  <c r="BY107" i="1"/>
  <c r="BY89" i="1"/>
  <c r="C28" i="1"/>
  <c r="C17" i="1"/>
  <c r="AL19" i="1"/>
  <c r="AK28" i="1"/>
  <c r="AK17" i="1"/>
  <c r="AK19" i="1"/>
  <c r="BY94" i="1"/>
  <c r="BY95" i="1"/>
  <c r="BY96" i="1"/>
  <c r="K17" i="1"/>
  <c r="L18" i="1"/>
  <c r="G17" i="1"/>
  <c r="H18" i="1"/>
  <c r="G18" i="1"/>
  <c r="E28" i="1"/>
  <c r="E29" i="1" s="1"/>
  <c r="F18" i="1"/>
  <c r="E17" i="1"/>
  <c r="BZ203" i="1"/>
  <c r="BZ201" i="1" s="1"/>
  <c r="BY203" i="1"/>
  <c r="BY201" i="1" s="1"/>
  <c r="I18" i="1"/>
  <c r="I17" i="1"/>
  <c r="T18" i="1"/>
  <c r="U18" i="1"/>
  <c r="T17" i="1"/>
  <c r="B28" i="1"/>
  <c r="B17" i="1"/>
  <c r="AM28" i="1"/>
  <c r="AM17" i="1"/>
  <c r="BX166" i="1"/>
  <c r="W232" i="1"/>
  <c r="W233" i="1" s="1"/>
  <c r="X30" i="1"/>
  <c r="X250" i="1"/>
  <c r="W34" i="1"/>
  <c r="W38" i="1" s="1"/>
  <c r="W29" i="1"/>
  <c r="W112" i="1"/>
  <c r="W250" i="1"/>
  <c r="AJ29" i="1"/>
  <c r="AJ34" i="1"/>
  <c r="AJ38" i="1" s="1"/>
  <c r="AJ232" i="1"/>
  <c r="AJ233" i="1" s="1"/>
  <c r="BX109" i="1"/>
  <c r="BY37" i="1"/>
  <c r="V34" i="1"/>
  <c r="V38" i="1" s="1"/>
  <c r="V112" i="1"/>
  <c r="V232" i="1"/>
  <c r="V233" i="1" s="1"/>
  <c r="V29" i="1"/>
  <c r="W30" i="1"/>
  <c r="P18" i="1"/>
  <c r="P17" i="1"/>
  <c r="D17" i="1"/>
  <c r="E18" i="1"/>
  <c r="BX28" i="1"/>
  <c r="CB18" i="1"/>
  <c r="AL232" i="1"/>
  <c r="AL233" i="1" s="1"/>
  <c r="BY19" i="1"/>
  <c r="D28" i="1"/>
  <c r="D18" i="1"/>
  <c r="AL29" i="1"/>
  <c r="J18" i="1"/>
  <c r="K18" i="1"/>
  <c r="O18" i="1"/>
  <c r="Q18" i="1"/>
  <c r="R18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CE90" i="1"/>
  <c r="AL250" i="1"/>
  <c r="AL251" i="1" s="1"/>
  <c r="AJ41" i="1"/>
  <c r="AJ40" i="1"/>
  <c r="E30" i="1"/>
  <c r="D112" i="1"/>
  <c r="AL41" i="1"/>
  <c r="AL40" i="1"/>
  <c r="AK232" i="1"/>
  <c r="AK233" i="1" s="1"/>
  <c r="AK29" i="1"/>
  <c r="AK34" i="1"/>
  <c r="AK38" i="1" s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31" i="1" l="1"/>
  <c r="AM112" i="1"/>
  <c r="BX29" i="1"/>
  <c r="BX34" i="1"/>
  <c r="CB30" i="1"/>
  <c r="CA112" i="1"/>
  <c r="BX232" i="1"/>
  <c r="BX233" i="1" s="1"/>
  <c r="BY31" i="1"/>
  <c r="BY250" i="1"/>
  <c r="BY251" i="1" s="1"/>
  <c r="CA102" i="1"/>
  <c r="CA94" i="1"/>
  <c r="IB9" i="4"/>
  <c r="JI21" i="4"/>
  <c r="CC77" i="1" s="1"/>
  <c r="HZ16" i="4"/>
  <c r="HZ21" i="4" s="1"/>
  <c r="AT77" i="1" s="1"/>
  <c r="IT9" i="4" s="1"/>
  <c r="HX21" i="4"/>
  <c r="AR77" i="1" s="1"/>
  <c r="JB16" i="4"/>
  <c r="C250" i="1"/>
  <c r="C29" i="1"/>
  <c r="D30" i="1"/>
  <c r="C30" i="1"/>
  <c r="D29" i="1"/>
  <c r="D34" i="1"/>
  <c r="D38" i="1" s="1"/>
  <c r="D232" i="1"/>
  <c r="D233" i="1" s="1"/>
  <c r="D250" i="1"/>
  <c r="AM31" i="1"/>
  <c r="AM226" i="1"/>
  <c r="W41" i="1"/>
  <c r="W40" i="1"/>
  <c r="BX111" i="1"/>
  <c r="V41" i="1"/>
  <c r="V40" i="1"/>
  <c r="B112" i="1"/>
  <c r="B29" i="1"/>
  <c r="AM232" i="1"/>
  <c r="AM233" i="1" s="1"/>
  <c r="AM29" i="1"/>
  <c r="AM250" i="1"/>
  <c r="AM251" i="1" s="1"/>
  <c r="AM34" i="1"/>
  <c r="AM38" i="1" s="1"/>
  <c r="AL111" i="1"/>
  <c r="AL110" i="1"/>
  <c r="AL203" i="1"/>
  <c r="AL201" i="1" s="1"/>
  <c r="AK203" i="1"/>
  <c r="AK201" i="1" s="1"/>
  <c r="AJ42" i="1"/>
  <c r="AJ48" i="1"/>
  <c r="AJ234" i="1"/>
  <c r="AL234" i="1"/>
  <c r="AL48" i="1"/>
  <c r="AL42" i="1"/>
  <c r="AL245" i="1" s="1"/>
  <c r="BX38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CA55" i="1" l="1"/>
  <c r="IB21" i="4"/>
  <c r="AV77" i="1" s="1"/>
  <c r="JG7" i="4"/>
  <c r="CC94" i="1"/>
  <c r="CC102" i="1"/>
  <c r="CC85" i="1"/>
  <c r="JD14" i="4" s="1"/>
  <c r="IT21" i="4"/>
  <c r="BN77" i="1" s="1"/>
  <c r="IS7" i="4"/>
  <c r="IS19" i="4" s="1"/>
  <c r="BM78" i="1" s="1"/>
  <c r="BM107" i="1" s="1"/>
  <c r="JB21" i="4"/>
  <c r="BV77" i="1" s="1"/>
  <c r="IL9" i="4"/>
  <c r="D41" i="1"/>
  <c r="D40" i="1"/>
  <c r="W48" i="1"/>
  <c r="W52" i="1" s="1"/>
  <c r="W234" i="1"/>
  <c r="W42" i="1"/>
  <c r="W245" i="1" s="1"/>
  <c r="W43" i="1"/>
  <c r="X43" i="1"/>
  <c r="V42" i="1"/>
  <c r="V245" i="1" s="1"/>
  <c r="V48" i="1"/>
  <c r="AM40" i="1"/>
  <c r="AM4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JG19" i="4" l="1"/>
  <c r="CA78" i="1" s="1"/>
  <c r="HR9" i="4"/>
  <c r="JD19" i="4"/>
  <c r="BX78" i="1" s="1"/>
  <c r="IW14" i="4"/>
  <c r="IL21" i="4"/>
  <c r="BF77" i="1" s="1"/>
  <c r="IS9" i="4"/>
  <c r="IS21" i="4" s="1"/>
  <c r="BM77" i="1" s="1"/>
  <c r="D234" i="1"/>
  <c r="D42" i="1"/>
  <c r="D48" i="1"/>
  <c r="AM227" i="1"/>
  <c r="AM234" i="1"/>
  <c r="AM44" i="1"/>
  <c r="AM42" i="1"/>
  <c r="AM245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95" i="1" l="1"/>
  <c r="CA107" i="1"/>
  <c r="CA103" i="1"/>
  <c r="HR21" i="4"/>
  <c r="AL77" i="1" s="1"/>
  <c r="AL94" i="1" s="1"/>
  <c r="JD16" i="4"/>
  <c r="JD21" i="4" s="1"/>
  <c r="BX77" i="1" s="1"/>
  <c r="BX94" i="1" s="1"/>
  <c r="BX107" i="1"/>
  <c r="BX110" i="1" s="1"/>
  <c r="BX89" i="1"/>
  <c r="BX95" i="1"/>
  <c r="IW19" i="4"/>
  <c r="BQ78" i="1" s="1"/>
  <c r="BQ107" i="1" s="1"/>
  <c r="IV8" i="4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V20" i="4" l="1"/>
  <c r="BP79" i="1" s="1"/>
  <c r="BP108" i="1" s="1"/>
  <c r="JH9" i="4"/>
  <c r="JH21" i="4" s="1"/>
  <c r="CB77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B85" i="1" l="1"/>
  <c r="CB102" i="1"/>
  <c r="CB94" i="1"/>
  <c r="IJ9" i="4"/>
  <c r="IJ21" i="4" s="1"/>
  <c r="BD77" i="1" s="1"/>
  <c r="HQ16" i="4" s="1"/>
  <c r="HQ21" i="4" s="1"/>
  <c r="AK77" i="1" s="1"/>
  <c r="IX9" i="4" s="1"/>
  <c r="IX21" i="4" s="1"/>
  <c r="BR77" i="1" s="1"/>
  <c r="HT14" i="4" s="1"/>
  <c r="HT19" i="4" s="1"/>
  <c r="AN78" i="1" s="1"/>
  <c r="AN107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J104" i="2"/>
  <c r="U96" i="2"/>
  <c r="I66" i="2"/>
  <c r="X44" i="2"/>
  <c r="X113" i="2"/>
  <c r="N90" i="2"/>
  <c r="L62" i="2"/>
  <c r="Q82" i="2"/>
  <c r="X69" i="2"/>
  <c r="G91" i="2"/>
  <c r="O86" i="2"/>
  <c r="J89" i="2"/>
  <c r="N108" i="2"/>
  <c r="L60" i="2"/>
  <c r="P44" i="2"/>
  <c r="O60" i="2"/>
  <c r="G105" i="2"/>
  <c r="M95" i="2"/>
  <c r="W53" i="2"/>
  <c r="E59" i="2"/>
  <c r="J48" i="2"/>
  <c r="X87" i="2"/>
  <c r="P60" i="2"/>
  <c r="C78" i="2"/>
  <c r="U43" i="2"/>
  <c r="G67" i="2"/>
  <c r="T74" i="2"/>
  <c r="D41" i="2"/>
  <c r="G55" i="2"/>
  <c r="H97" i="2"/>
  <c r="K63" i="2"/>
  <c r="S64" i="2"/>
  <c r="U40" i="2"/>
  <c r="F93" i="2"/>
  <c r="AB81" i="3"/>
  <c r="C48" i="3"/>
  <c r="AB93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J59" i="2"/>
  <c r="Q52" i="2"/>
  <c r="R88" i="2"/>
  <c r="T94" i="2"/>
  <c r="C64" i="2"/>
  <c r="P99" i="2"/>
  <c r="H50" i="2"/>
  <c r="U111" i="2"/>
  <c r="K67" i="2"/>
  <c r="I86" i="2"/>
  <c r="W89" i="2"/>
  <c r="V69" i="2"/>
  <c r="R83" i="2"/>
  <c r="U90" i="2"/>
  <c r="J42" i="2"/>
  <c r="J87" i="2"/>
  <c r="C54" i="2"/>
  <c r="O55" i="2"/>
  <c r="E56" i="2"/>
  <c r="T56" i="2"/>
  <c r="H42" i="2"/>
  <c r="T91" i="2"/>
  <c r="W45" i="2"/>
  <c r="D40" i="2"/>
  <c r="T52" i="2"/>
  <c r="V97" i="2"/>
  <c r="S111" i="2"/>
  <c r="C66" i="2"/>
  <c r="J95" i="2"/>
  <c r="V45" i="2"/>
  <c r="G60" i="2"/>
  <c r="O109" i="2"/>
  <c r="F67" i="2"/>
  <c r="V79" i="2"/>
  <c r="AB68" i="3"/>
  <c r="AP66" i="3"/>
  <c r="AB90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O5" i="3"/>
  <c r="M40" i="3"/>
  <c r="V20" i="3"/>
  <c r="S37" i="3"/>
  <c r="W31" i="3"/>
  <c r="AG36" i="3"/>
  <c r="P19" i="3"/>
  <c r="M5" i="3"/>
  <c r="AH34" i="3"/>
  <c r="AA14" i="3"/>
  <c r="O10" i="3"/>
  <c r="AN40" i="3"/>
  <c r="G38" i="3"/>
  <c r="U39" i="3"/>
  <c r="I33" i="3"/>
  <c r="U35" i="3"/>
  <c r="AB7" i="3"/>
  <c r="I20" i="3"/>
  <c r="AN10" i="3"/>
  <c r="U27" i="3"/>
  <c r="AL18" i="3"/>
  <c r="N38" i="3"/>
  <c r="AK6" i="3"/>
  <c r="M28" i="3"/>
  <c r="AK32" i="3"/>
  <c r="AK38" i="3"/>
  <c r="T39" i="3"/>
  <c r="H31" i="3"/>
  <c r="AE16" i="3"/>
  <c r="N33" i="3"/>
  <c r="U42" i="3"/>
  <c r="H29" i="3"/>
  <c r="AD49" i="3"/>
  <c r="L41" i="3"/>
  <c r="AL11" i="3"/>
  <c r="AK15" i="3"/>
  <c r="K16" i="3"/>
  <c r="I24" i="3"/>
  <c r="AD47" i="3"/>
  <c r="AC28" i="3"/>
  <c r="U34" i="3"/>
  <c r="S5" i="3"/>
  <c r="K11" i="3"/>
  <c r="AL24" i="3"/>
  <c r="D49" i="3"/>
  <c r="I113" i="2"/>
  <c r="J82" i="2"/>
  <c r="S63" i="2"/>
  <c r="T80" i="2"/>
  <c r="K105" i="2"/>
  <c r="E99" i="2"/>
  <c r="X96" i="2"/>
  <c r="M89" i="2"/>
  <c r="R82" i="2"/>
  <c r="F51" i="2"/>
  <c r="Q94" i="2"/>
  <c r="X42" i="2"/>
  <c r="R80" i="2"/>
  <c r="C86" i="2"/>
  <c r="L98" i="2"/>
  <c r="I43" i="2"/>
  <c r="M43" i="2"/>
  <c r="L80" i="2"/>
  <c r="U46" i="2"/>
  <c r="U106" i="2"/>
  <c r="N79" i="2"/>
  <c r="J77" i="2"/>
  <c r="Q72" i="2"/>
  <c r="I51" i="2"/>
  <c r="O91" i="2"/>
  <c r="D75" i="2"/>
  <c r="I88" i="2"/>
  <c r="T57" i="2"/>
  <c r="U85" i="2"/>
  <c r="W52" i="2"/>
  <c r="Q47" i="2"/>
  <c r="N92" i="2"/>
  <c r="L109" i="2"/>
  <c r="N77" i="2"/>
  <c r="AB60" i="3"/>
  <c r="AB80" i="3"/>
  <c r="AP55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67" i="3" s="1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J19" i="3"/>
  <c r="T31" i="3"/>
  <c r="L35" i="3"/>
  <c r="X33" i="3"/>
  <c r="U29" i="3"/>
  <c r="AM28" i="3"/>
  <c r="J33" i="3"/>
  <c r="AI7" i="3"/>
  <c r="AJ10" i="3"/>
  <c r="AI29" i="3"/>
  <c r="M24" i="3"/>
  <c r="S25" i="3"/>
  <c r="AB17" i="3"/>
  <c r="AN41" i="3"/>
  <c r="AB31" i="3"/>
  <c r="S28" i="3"/>
  <c r="AO8" i="3"/>
  <c r="AC24" i="3"/>
  <c r="AO26" i="3"/>
  <c r="AO13" i="3"/>
  <c r="AM29" i="3"/>
  <c r="O25" i="3"/>
  <c r="AI25" i="3"/>
  <c r="AG19" i="3"/>
  <c r="AI39" i="3"/>
  <c r="P97" i="2"/>
  <c r="V52" i="2"/>
  <c r="F92" i="2"/>
  <c r="I96" i="2"/>
  <c r="H44" i="2"/>
  <c r="U88" i="2"/>
  <c r="W107" i="2"/>
  <c r="I47" i="2"/>
  <c r="W111" i="2"/>
  <c r="R89" i="2"/>
  <c r="E111" i="2"/>
  <c r="W80" i="2"/>
  <c r="W67" i="2"/>
  <c r="K48" i="2"/>
  <c r="F112" i="2"/>
  <c r="V41" i="2"/>
  <c r="R72" i="2"/>
  <c r="X107" i="2"/>
  <c r="I87" i="2"/>
  <c r="M109" i="2"/>
  <c r="E40" i="2"/>
  <c r="K112" i="2"/>
  <c r="M68" i="2"/>
  <c r="S56" i="2"/>
  <c r="E97" i="2"/>
  <c r="F45" i="2"/>
  <c r="K73" i="2"/>
  <c r="E87" i="2"/>
  <c r="N63" i="2"/>
  <c r="N55" i="2"/>
  <c r="E78" i="2"/>
  <c r="T110" i="2"/>
  <c r="E96" i="2"/>
  <c r="U113" i="2"/>
  <c r="AB89" i="3"/>
  <c r="AP86" i="3"/>
  <c r="AP59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AJ72" i="3" s="1"/>
  <c r="L26" i="3"/>
  <c r="H35" i="3"/>
  <c r="AI19" i="3"/>
  <c r="AB6" i="3"/>
  <c r="W36" i="3"/>
  <c r="AM20" i="3"/>
  <c r="I35" i="3"/>
  <c r="AQ33" i="3"/>
  <c r="J21" i="3"/>
  <c r="AO29" i="3"/>
  <c r="AC14" i="3"/>
  <c r="S23" i="3"/>
  <c r="J29" i="3"/>
  <c r="S19" i="3"/>
  <c r="Q28" i="3"/>
  <c r="V32" i="3"/>
  <c r="X18" i="3"/>
  <c r="X20" i="3"/>
  <c r="V23" i="3"/>
  <c r="U26" i="3"/>
  <c r="T65" i="2"/>
  <c r="Q76" i="2"/>
  <c r="J94" i="2"/>
  <c r="F49" i="2"/>
  <c r="D76" i="2"/>
  <c r="O90" i="2"/>
  <c r="T68" i="2"/>
  <c r="J99" i="2"/>
  <c r="U63" i="2"/>
  <c r="V94" i="2"/>
  <c r="S88" i="2"/>
  <c r="U109" i="2"/>
  <c r="W51" i="2"/>
  <c r="J40" i="2"/>
  <c r="J70" i="2"/>
  <c r="J111" i="2"/>
  <c r="J97" i="2"/>
  <c r="O112" i="2"/>
  <c r="D60" i="2"/>
  <c r="D104" i="2"/>
  <c r="G87" i="2"/>
  <c r="G49" i="2"/>
  <c r="C44" i="2"/>
  <c r="F85" i="2"/>
  <c r="L106" i="2"/>
  <c r="P110" i="2"/>
  <c r="L42" i="2"/>
  <c r="H45" i="2"/>
  <c r="U107" i="2"/>
  <c r="R97" i="2"/>
  <c r="R50" i="2"/>
  <c r="U64" i="2"/>
  <c r="M59" i="2"/>
  <c r="N47" i="2"/>
  <c r="AP84" i="3"/>
  <c r="AB48" i="3"/>
  <c r="AP71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AN75" i="3" s="1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X19" i="3"/>
  <c r="AG29" i="3"/>
  <c r="AA39" i="3"/>
  <c r="AQ20" i="3"/>
  <c r="AQ17" i="3"/>
  <c r="AG11" i="3"/>
  <c r="S13" i="3"/>
  <c r="C11" i="3"/>
  <c r="C30" i="3"/>
  <c r="AJ34" i="3"/>
  <c r="AQ14" i="3"/>
  <c r="AB33" i="3"/>
  <c r="AE6" i="3"/>
  <c r="Z22" i="3"/>
  <c r="AJ39" i="3"/>
  <c r="I27" i="3"/>
  <c r="AI8" i="3"/>
  <c r="S8" i="3"/>
  <c r="AN18" i="3"/>
  <c r="AG12" i="3"/>
  <c r="H105" i="2"/>
  <c r="U58" i="2"/>
  <c r="W68" i="2"/>
  <c r="X99" i="2"/>
  <c r="I72" i="2"/>
  <c r="E85" i="2"/>
  <c r="F68" i="2"/>
  <c r="W54" i="2"/>
  <c r="K72" i="2"/>
  <c r="O46" i="2"/>
  <c r="C60" i="2"/>
  <c r="X89" i="2"/>
  <c r="L79" i="2"/>
  <c r="N43" i="2"/>
  <c r="X55" i="2"/>
  <c r="X76" i="2"/>
  <c r="O65" i="2"/>
  <c r="M84" i="2"/>
  <c r="C93" i="2"/>
  <c r="E74" i="2"/>
  <c r="P93" i="2"/>
  <c r="X111" i="2"/>
  <c r="Q86" i="2"/>
  <c r="I110" i="2"/>
  <c r="I69" i="2"/>
  <c r="G94" i="2"/>
  <c r="G86" i="2"/>
  <c r="G64" i="2"/>
  <c r="P77" i="2"/>
  <c r="L67" i="2"/>
  <c r="P45" i="2"/>
  <c r="O62" i="2"/>
  <c r="G83" i="2"/>
  <c r="L83" i="2"/>
  <c r="AB88" i="3"/>
  <c r="AB77" i="3"/>
  <c r="AP78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AO37" i="3"/>
  <c r="C35" i="3"/>
  <c r="Z33" i="3"/>
  <c r="AC6" i="3"/>
  <c r="L22" i="3"/>
  <c r="AE33" i="3"/>
  <c r="C9" i="3"/>
  <c r="AI32" i="3"/>
  <c r="H37" i="3"/>
  <c r="AJ28" i="3"/>
  <c r="AI18" i="3"/>
  <c r="P42" i="3"/>
  <c r="AB28" i="3"/>
  <c r="L7" i="3"/>
  <c r="C53" i="2"/>
  <c r="U81" i="2"/>
  <c r="P78" i="2"/>
  <c r="V86" i="2"/>
  <c r="P62" i="2"/>
  <c r="I56" i="2"/>
  <c r="N80" i="2"/>
  <c r="Q88" i="2"/>
  <c r="M94" i="2"/>
  <c r="S97" i="2"/>
  <c r="N52" i="2"/>
  <c r="C107" i="2"/>
  <c r="J73" i="2"/>
  <c r="T41" i="2"/>
  <c r="W41" i="2"/>
  <c r="M81" i="2"/>
  <c r="E72" i="2"/>
  <c r="M72" i="2"/>
  <c r="Q61" i="2"/>
  <c r="T71" i="2"/>
  <c r="O79" i="2"/>
  <c r="H108" i="2"/>
  <c r="D67" i="2"/>
  <c r="H63" i="2"/>
  <c r="F77" i="2"/>
  <c r="H88" i="2"/>
  <c r="X78" i="2"/>
  <c r="N67" i="2"/>
  <c r="I40" i="2"/>
  <c r="S66" i="2"/>
  <c r="E77" i="2"/>
  <c r="V83" i="2"/>
  <c r="F69" i="2"/>
  <c r="E42" i="2"/>
  <c r="AB73" i="3"/>
  <c r="AP97" i="3"/>
  <c r="C47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Q5" i="3"/>
  <c r="Q58" i="3" s="1"/>
  <c r="W16" i="3"/>
  <c r="K19" i="3"/>
  <c r="AG38" i="3"/>
  <c r="I42" i="3"/>
  <c r="AO41" i="3"/>
  <c r="N8" i="3"/>
  <c r="Z26" i="3"/>
  <c r="S21" i="3"/>
  <c r="X21" i="3"/>
  <c r="AH32" i="3"/>
  <c r="AA13" i="3"/>
  <c r="AB25" i="3"/>
  <c r="O71" i="2"/>
  <c r="L43" i="2"/>
  <c r="P41" i="2"/>
  <c r="C47" i="2"/>
  <c r="W105" i="2"/>
  <c r="S84" i="2"/>
  <c r="R98" i="2"/>
  <c r="N66" i="2"/>
  <c r="R49" i="2"/>
  <c r="W61" i="2"/>
  <c r="X51" i="2"/>
  <c r="J68" i="2"/>
  <c r="L56" i="2"/>
  <c r="U95" i="2"/>
  <c r="G88" i="2"/>
  <c r="L96" i="2"/>
  <c r="X105" i="2"/>
  <c r="E88" i="2"/>
  <c r="M70" i="2"/>
  <c r="Q42" i="2"/>
  <c r="S83" i="2"/>
  <c r="V46" i="2"/>
  <c r="Q60" i="2"/>
  <c r="R45" i="2"/>
  <c r="N110" i="2"/>
  <c r="J90" i="2"/>
  <c r="K83" i="2"/>
  <c r="C51" i="2"/>
  <c r="H77" i="2"/>
  <c r="S54" i="2"/>
  <c r="C56" i="2"/>
  <c r="L105" i="2"/>
  <c r="M47" i="2"/>
  <c r="V95" i="2"/>
  <c r="AP96" i="3"/>
  <c r="AB72" i="3"/>
  <c r="AB79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N81" i="2"/>
  <c r="F111" i="2"/>
  <c r="N72" i="2"/>
  <c r="U62" i="2"/>
  <c r="D79" i="2"/>
  <c r="W94" i="2"/>
  <c r="J63" i="2"/>
  <c r="W66" i="2"/>
  <c r="R112" i="2"/>
  <c r="S93" i="2"/>
  <c r="I97" i="2"/>
  <c r="R113" i="2"/>
  <c r="K84" i="2"/>
  <c r="E83" i="2"/>
  <c r="F61" i="2"/>
  <c r="V112" i="2"/>
  <c r="H69" i="2"/>
  <c r="J69" i="2"/>
  <c r="L99" i="2"/>
  <c r="G56" i="2"/>
  <c r="S52" i="2"/>
  <c r="I81" i="2"/>
  <c r="T86" i="2"/>
  <c r="V68" i="2"/>
  <c r="M56" i="2"/>
  <c r="H90" i="2"/>
  <c r="T62" i="2"/>
  <c r="K77" i="2"/>
  <c r="R40" i="2"/>
  <c r="X109" i="2"/>
  <c r="O61" i="2"/>
  <c r="K111" i="2"/>
  <c r="L97" i="2"/>
  <c r="F88" i="2"/>
  <c r="AP75" i="3"/>
  <c r="AB47" i="3"/>
  <c r="AP61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H81" i="3" s="1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L69" i="3" s="1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E65" i="2"/>
  <c r="O42" i="2"/>
  <c r="H81" i="2"/>
  <c r="I84" i="2"/>
  <c r="U55" i="2"/>
  <c r="W42" i="2"/>
  <c r="G53" i="2"/>
  <c r="G95" i="2"/>
  <c r="E71" i="2"/>
  <c r="H79" i="2"/>
  <c r="H56" i="2"/>
  <c r="O63" i="2"/>
  <c r="F44" i="2"/>
  <c r="H71" i="2"/>
  <c r="F43" i="2"/>
  <c r="E93" i="2"/>
  <c r="I42" i="2"/>
  <c r="N42" i="2"/>
  <c r="L64" i="2"/>
  <c r="C90" i="2"/>
  <c r="E80" i="2"/>
  <c r="J49" i="2"/>
  <c r="E113" i="2"/>
  <c r="R107" i="2"/>
  <c r="X97" i="2"/>
  <c r="I75" i="2"/>
  <c r="P48" i="2"/>
  <c r="G70" i="2"/>
  <c r="N70" i="2"/>
  <c r="P92" i="2"/>
  <c r="J81" i="2"/>
  <c r="O47" i="2"/>
  <c r="H55" i="2"/>
  <c r="AB83" i="3"/>
  <c r="AB57" i="3"/>
  <c r="AP48" i="3"/>
  <c r="AB94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L51" i="2"/>
  <c r="W87" i="2"/>
  <c r="R87" i="2"/>
  <c r="R63" i="2"/>
  <c r="J108" i="2"/>
  <c r="R74" i="2"/>
  <c r="E89" i="2"/>
  <c r="D86" i="2"/>
  <c r="G110" i="2"/>
  <c r="K66" i="2"/>
  <c r="R111" i="2"/>
  <c r="Q79" i="2"/>
  <c r="O110" i="2"/>
  <c r="D71" i="2"/>
  <c r="O92" i="2"/>
  <c r="U89" i="2"/>
  <c r="X56" i="2"/>
  <c r="F79" i="2"/>
  <c r="V81" i="2"/>
  <c r="U93" i="2"/>
  <c r="C104" i="2"/>
  <c r="X53" i="2"/>
  <c r="V59" i="2"/>
  <c r="U86" i="2"/>
  <c r="N71" i="2"/>
  <c r="O70" i="2"/>
  <c r="J45" i="2"/>
  <c r="G79" i="2"/>
  <c r="I44" i="2"/>
  <c r="H76" i="2"/>
  <c r="M111" i="2"/>
  <c r="O108" i="2"/>
  <c r="U51" i="2"/>
  <c r="AP68" i="3"/>
  <c r="AB59" i="3"/>
  <c r="AP88" i="3"/>
  <c r="AP65" i="3"/>
  <c r="AP81" i="3"/>
  <c r="AP85" i="3"/>
  <c r="AP77" i="3"/>
  <c r="AP73" i="3"/>
  <c r="S7" i="3"/>
  <c r="O22" i="3"/>
  <c r="AC18" i="3"/>
  <c r="AK5" i="3"/>
  <c r="AM32" i="3"/>
  <c r="L91" i="2"/>
  <c r="S72" i="2"/>
  <c r="X104" i="2"/>
  <c r="AP57" i="3"/>
  <c r="Y40" i="3"/>
  <c r="C38" i="3"/>
  <c r="Q35" i="3"/>
  <c r="P13" i="3"/>
  <c r="L6" i="3"/>
  <c r="AJ15" i="3"/>
  <c r="L23" i="3"/>
  <c r="V38" i="3"/>
  <c r="AO10" i="3"/>
  <c r="Q9" i="3"/>
  <c r="O27" i="3"/>
  <c r="V13" i="3"/>
  <c r="AL12" i="3"/>
  <c r="V30" i="3"/>
  <c r="AI35" i="3"/>
  <c r="S6" i="3"/>
  <c r="AG5" i="3"/>
  <c r="K14" i="3"/>
  <c r="AC30" i="3"/>
  <c r="C76" i="2"/>
  <c r="U77" i="2"/>
  <c r="W104" i="2"/>
  <c r="AP62" i="3"/>
  <c r="R24" i="3"/>
  <c r="O37" i="3"/>
  <c r="AE14" i="3"/>
  <c r="AM14" i="3"/>
  <c r="AA42" i="3"/>
  <c r="AJ14" i="3"/>
  <c r="C42" i="3"/>
  <c r="K21" i="3"/>
  <c r="U33" i="3"/>
  <c r="U6" i="3"/>
  <c r="W41" i="3"/>
  <c r="AE28" i="3"/>
  <c r="G49" i="3"/>
  <c r="AJ18" i="3"/>
  <c r="AH26" i="3"/>
  <c r="N13" i="3"/>
  <c r="AM35" i="3"/>
  <c r="P7" i="3"/>
  <c r="AG41" i="3"/>
  <c r="C69" i="2"/>
  <c r="V56" i="2"/>
  <c r="T58" i="2"/>
  <c r="AP80" i="3"/>
  <c r="AC20" i="3"/>
  <c r="AO7" i="3"/>
  <c r="AI30" i="3"/>
  <c r="AI9" i="3"/>
  <c r="AA40" i="3"/>
  <c r="T28" i="3"/>
  <c r="N36" i="3"/>
  <c r="AK41" i="3"/>
  <c r="L18" i="3"/>
  <c r="W10" i="3"/>
  <c r="AD19" i="3"/>
  <c r="R9" i="3"/>
  <c r="AM37" i="3"/>
  <c r="AL17" i="3"/>
  <c r="AK33" i="3"/>
  <c r="N7" i="3"/>
  <c r="Q24" i="3"/>
  <c r="J30" i="3"/>
  <c r="Y9" i="3"/>
  <c r="AJ19" i="3"/>
  <c r="U38" i="3"/>
  <c r="U32" i="3"/>
  <c r="C36" i="3"/>
  <c r="AM38" i="3"/>
  <c r="AN26" i="3"/>
  <c r="O13" i="3"/>
  <c r="O33" i="3"/>
  <c r="Z27" i="3"/>
  <c r="J26" i="3"/>
  <c r="N18" i="3"/>
  <c r="W8" i="3"/>
  <c r="AG35" i="3"/>
  <c r="AJ29" i="3"/>
  <c r="T13" i="3"/>
  <c r="AD41" i="3"/>
  <c r="K25" i="3"/>
  <c r="Q39" i="3"/>
  <c r="J31" i="3"/>
  <c r="N25" i="3"/>
  <c r="AC21" i="3"/>
  <c r="J39" i="3"/>
  <c r="AK8" i="3"/>
  <c r="AB32" i="3"/>
  <c r="AH18" i="3"/>
  <c r="AO36" i="3"/>
  <c r="AH8" i="3"/>
  <c r="AG9" i="3"/>
  <c r="AP38" i="3"/>
  <c r="AM42" i="3"/>
  <c r="L9" i="3"/>
  <c r="X8" i="3"/>
  <c r="AJ37" i="3"/>
  <c r="AD23" i="3"/>
  <c r="AE40" i="3"/>
  <c r="AK18" i="3"/>
  <c r="H30" i="3"/>
  <c r="R7" i="3"/>
  <c r="AI41" i="3"/>
  <c r="T26" i="3"/>
  <c r="AO35" i="3"/>
  <c r="S22" i="3"/>
  <c r="K41" i="3"/>
  <c r="Q25" i="3"/>
  <c r="X39" i="3"/>
  <c r="I31" i="3"/>
  <c r="Q10" i="3"/>
  <c r="AD31" i="3"/>
  <c r="V39" i="3"/>
  <c r="L77" i="2"/>
  <c r="V47" i="2"/>
  <c r="E48" i="2"/>
  <c r="AP89" i="3"/>
  <c r="O21" i="3"/>
  <c r="P41" i="3"/>
  <c r="I8" i="3"/>
  <c r="K35" i="3"/>
  <c r="AB18" i="3"/>
  <c r="AN34" i="3"/>
  <c r="Y31" i="3"/>
  <c r="I29" i="3"/>
  <c r="E48" i="3"/>
  <c r="I34" i="3"/>
  <c r="AE38" i="3"/>
  <c r="Q41" i="3"/>
  <c r="Z40" i="3"/>
  <c r="AL40" i="3"/>
  <c r="AA16" i="3"/>
  <c r="AP42" i="3"/>
  <c r="L12" i="3"/>
  <c r="P28" i="3"/>
  <c r="I11" i="3"/>
  <c r="AG16" i="3"/>
  <c r="T38" i="3"/>
  <c r="D47" i="3"/>
  <c r="AM18" i="3"/>
  <c r="T15" i="3"/>
  <c r="O34" i="3"/>
  <c r="P12" i="3"/>
  <c r="AC41" i="3"/>
  <c r="AG25" i="3"/>
  <c r="AK19" i="3"/>
  <c r="AP32" i="3"/>
  <c r="J14" i="3"/>
  <c r="AE15" i="3"/>
  <c r="AD26" i="3"/>
  <c r="AG24" i="3"/>
  <c r="AA24" i="3"/>
  <c r="AC15" i="3"/>
  <c r="O18" i="3"/>
  <c r="AH10" i="3"/>
  <c r="G39" i="3"/>
  <c r="AO30" i="3"/>
  <c r="AL13" i="3"/>
  <c r="V26" i="3"/>
  <c r="J10" i="3"/>
  <c r="M41" i="3"/>
  <c r="K20" i="3"/>
  <c r="K37" i="3"/>
  <c r="AQ28" i="3"/>
  <c r="AA29" i="3"/>
  <c r="W30" i="3"/>
  <c r="AD29" i="3"/>
  <c r="X6" i="3"/>
  <c r="X67" i="2"/>
  <c r="AP13" i="3"/>
  <c r="Y14" i="3"/>
  <c r="R31" i="3"/>
  <c r="R8" i="3"/>
  <c r="Z14" i="3"/>
  <c r="Q17" i="3"/>
  <c r="V14" i="3"/>
  <c r="Q18" i="3"/>
  <c r="L94" i="2"/>
  <c r="O93" i="2"/>
  <c r="X112" i="2"/>
  <c r="AB85" i="3"/>
  <c r="AK37" i="3"/>
  <c r="Z34" i="3"/>
  <c r="AQ8" i="3"/>
  <c r="X15" i="3"/>
  <c r="C19" i="3"/>
  <c r="P6" i="3"/>
  <c r="AP15" i="3"/>
  <c r="AO31" i="3"/>
  <c r="AA5" i="3"/>
  <c r="W27" i="3"/>
  <c r="AO38" i="3"/>
  <c r="AJ12" i="3"/>
  <c r="AM23" i="3"/>
  <c r="AK35" i="3"/>
  <c r="J6" i="3"/>
  <c r="U10" i="3"/>
  <c r="K30" i="3"/>
  <c r="Q42" i="3"/>
  <c r="N16" i="3"/>
  <c r="V35" i="3"/>
  <c r="O31" i="3"/>
  <c r="R5" i="3"/>
  <c r="T40" i="3"/>
  <c r="R19" i="3"/>
  <c r="M16" i="3"/>
  <c r="AK25" i="3"/>
  <c r="K9" i="3"/>
  <c r="W14" i="3"/>
  <c r="V5" i="3"/>
  <c r="K28" i="3"/>
  <c r="AG13" i="3"/>
  <c r="S18" i="3"/>
  <c r="L14" i="3"/>
  <c r="AN28" i="3"/>
  <c r="AC12" i="3"/>
  <c r="AA18" i="3"/>
  <c r="T42" i="3"/>
  <c r="AE26" i="3"/>
  <c r="R12" i="3"/>
  <c r="AH20" i="3"/>
  <c r="N22" i="3"/>
  <c r="R27" i="3"/>
  <c r="R22" i="3"/>
  <c r="P33" i="3"/>
  <c r="N37" i="3"/>
  <c r="AL19" i="3"/>
  <c r="T25" i="3"/>
  <c r="N10" i="3"/>
  <c r="AJ11" i="3"/>
  <c r="J28" i="3"/>
  <c r="AB16" i="3"/>
  <c r="Y21" i="3"/>
  <c r="Q11" i="3"/>
  <c r="AH5" i="3"/>
  <c r="T48" i="2"/>
  <c r="C52" i="2"/>
  <c r="X81" i="2"/>
  <c r="Z30" i="3"/>
  <c r="AO15" i="3"/>
  <c r="L11" i="3"/>
  <c r="AL37" i="3"/>
  <c r="AC42" i="3"/>
  <c r="AC13" i="3"/>
  <c r="T22" i="3"/>
  <c r="P35" i="3"/>
  <c r="P16" i="3"/>
  <c r="AP33" i="3"/>
  <c r="AH41" i="3"/>
  <c r="AA10" i="3"/>
  <c r="Y23" i="3"/>
  <c r="J13" i="3"/>
  <c r="AH19" i="3"/>
  <c r="AH27" i="3"/>
  <c r="Z16" i="3"/>
  <c r="AJ21" i="3"/>
  <c r="AA37" i="3"/>
  <c r="AN17" i="3"/>
  <c r="Q22" i="3"/>
  <c r="AK10" i="3"/>
  <c r="AE37" i="3"/>
  <c r="AQ35" i="3"/>
  <c r="AC10" i="3"/>
  <c r="AI17" i="3"/>
  <c r="S10" i="3"/>
  <c r="U40" i="3"/>
  <c r="AQ31" i="3"/>
  <c r="AQ34" i="3"/>
  <c r="S14" i="3"/>
  <c r="V28" i="3"/>
  <c r="AI38" i="3"/>
  <c r="AK13" i="3"/>
  <c r="AO17" i="3"/>
  <c r="AA28" i="3"/>
  <c r="X42" i="3"/>
  <c r="O72" i="2"/>
  <c r="U59" i="2"/>
  <c r="N57" i="2"/>
  <c r="AL33" i="3"/>
  <c r="M34" i="3"/>
  <c r="O17" i="3"/>
  <c r="H11" i="3"/>
  <c r="AP40" i="3"/>
  <c r="K22" i="3"/>
  <c r="U13" i="3"/>
  <c r="AJ35" i="3"/>
  <c r="AL23" i="3"/>
  <c r="I32" i="3"/>
  <c r="T27" i="3"/>
  <c r="AO42" i="3"/>
  <c r="Z17" i="3"/>
  <c r="AH12" i="3"/>
  <c r="AI33" i="3"/>
  <c r="AA19" i="3"/>
  <c r="AP90" i="3"/>
  <c r="R32" i="3"/>
  <c r="AA41" i="3"/>
  <c r="H16" i="3"/>
  <c r="AK14" i="3"/>
  <c r="AA15" i="3"/>
  <c r="AM27" i="3"/>
  <c r="AG22" i="3"/>
  <c r="V15" i="3"/>
  <c r="H8" i="3"/>
  <c r="AC34" i="3"/>
  <c r="W32" i="3"/>
  <c r="AN30" i="3"/>
  <c r="J79" i="2"/>
  <c r="O104" i="2"/>
  <c r="F97" i="2"/>
  <c r="O39" i="3"/>
  <c r="Z8" i="3"/>
  <c r="S32" i="3"/>
  <c r="AM8" i="3"/>
  <c r="AM39" i="3"/>
  <c r="G32" i="3"/>
  <c r="U12" i="3"/>
  <c r="AH35" i="3"/>
  <c r="R42" i="3"/>
  <c r="O30" i="3"/>
  <c r="N29" i="3"/>
  <c r="N28" i="3"/>
  <c r="C6" i="3"/>
  <c r="W42" i="3"/>
  <c r="N17" i="3"/>
  <c r="S20" i="3"/>
  <c r="P36" i="3"/>
  <c r="AB15" i="3"/>
  <c r="K5" i="3"/>
  <c r="AO22" i="3"/>
  <c r="AH6" i="3"/>
  <c r="O67" i="2"/>
  <c r="M31" i="3"/>
  <c r="U36" i="3"/>
  <c r="AH39" i="3"/>
  <c r="H39" i="3"/>
  <c r="T5" i="3"/>
  <c r="AK28" i="3"/>
  <c r="U83" i="2"/>
  <c r="R73" i="2"/>
  <c r="R60" i="2"/>
  <c r="N26" i="3"/>
  <c r="C7" i="3"/>
  <c r="W21" i="3"/>
  <c r="X36" i="3"/>
  <c r="AK27" i="3"/>
  <c r="AH7" i="3"/>
  <c r="O9" i="3"/>
  <c r="AQ12" i="3"/>
  <c r="AL42" i="3"/>
  <c r="W9" i="3"/>
  <c r="AL8" i="3"/>
  <c r="P29" i="3"/>
  <c r="I30" i="3"/>
  <c r="AE23" i="3"/>
  <c r="AL6" i="3"/>
  <c r="W38" i="3"/>
  <c r="G33" i="3"/>
  <c r="Q21" i="3"/>
  <c r="C13" i="3"/>
  <c r="J24" i="3"/>
  <c r="AK26" i="3"/>
  <c r="K7" i="3"/>
  <c r="AP35" i="3"/>
  <c r="AM6" i="3"/>
  <c r="P38" i="3"/>
  <c r="Q7" i="3"/>
  <c r="Y15" i="3"/>
  <c r="AK23" i="3"/>
  <c r="AQ11" i="3"/>
  <c r="M18" i="3"/>
  <c r="V42" i="3"/>
  <c r="AE27" i="3"/>
  <c r="AB40" i="3"/>
  <c r="AM15" i="3"/>
  <c r="Q32" i="3"/>
  <c r="AA26" i="3"/>
  <c r="D96" i="2"/>
  <c r="F98" i="2"/>
  <c r="AB61" i="3"/>
  <c r="J16" i="3"/>
  <c r="O28" i="3"/>
  <c r="W18" i="3"/>
  <c r="AE39" i="3"/>
  <c r="Z28" i="3"/>
  <c r="N20" i="3"/>
  <c r="I25" i="3"/>
  <c r="P21" i="3"/>
  <c r="O19" i="3"/>
  <c r="AG18" i="3"/>
  <c r="K18" i="3"/>
  <c r="AE29" i="3"/>
  <c r="P24" i="3"/>
  <c r="S26" i="3"/>
  <c r="AO18" i="3"/>
  <c r="T20" i="3"/>
  <c r="AN16" i="3"/>
  <c r="AG33" i="3"/>
  <c r="K39" i="3"/>
  <c r="AM19" i="3"/>
  <c r="AC38" i="3"/>
  <c r="AI13" i="3"/>
  <c r="L34" i="3"/>
  <c r="AN36" i="3"/>
  <c r="AL35" i="3"/>
  <c r="V36" i="3"/>
  <c r="H12" i="3"/>
  <c r="AE22" i="3"/>
  <c r="V40" i="3"/>
  <c r="T6" i="3"/>
  <c r="L10" i="3"/>
  <c r="H33" i="3"/>
  <c r="AD39" i="3"/>
  <c r="J11" i="3"/>
  <c r="H15" i="3"/>
  <c r="AM7" i="3"/>
  <c r="U20" i="3"/>
  <c r="R84" i="2"/>
  <c r="K46" i="2"/>
  <c r="AP93" i="3"/>
  <c r="J41" i="3"/>
  <c r="AH13" i="3"/>
  <c r="AO20" i="3"/>
  <c r="X10" i="3"/>
  <c r="O35" i="3"/>
  <c r="Y38" i="3"/>
  <c r="AO11" i="3"/>
  <c r="AI23" i="3"/>
  <c r="Z31" i="3"/>
  <c r="D50" i="3"/>
  <c r="Y7" i="3"/>
  <c r="C39" i="3"/>
  <c r="AO28" i="3"/>
  <c r="W23" i="3"/>
  <c r="R34" i="3"/>
  <c r="O12" i="3"/>
  <c r="P14" i="3"/>
  <c r="N11" i="3"/>
  <c r="Z39" i="3"/>
  <c r="G34" i="3"/>
  <c r="P9" i="3"/>
  <c r="M94" i="3"/>
  <c r="P58" i="3"/>
  <c r="AJ95" i="3"/>
  <c r="O95" i="3"/>
  <c r="M61" i="3"/>
  <c r="AN96" i="3"/>
  <c r="AC83" i="3"/>
  <c r="Z73" i="3"/>
  <c r="AO73" i="3"/>
  <c r="AJ57" i="3"/>
  <c r="W82" i="3"/>
  <c r="AM71" i="3"/>
  <c r="N49" i="3"/>
  <c r="Q57" i="3"/>
  <c r="AC97" i="3"/>
  <c r="N94" i="3"/>
  <c r="J68" i="3"/>
  <c r="M67" i="3"/>
  <c r="Y54" i="3"/>
  <c r="N78" i="3"/>
  <c r="AJ85" i="3"/>
  <c r="AO48" i="3"/>
  <c r="S55" i="3"/>
  <c r="N69" i="3"/>
  <c r="H64" i="3"/>
  <c r="AE64" i="3"/>
  <c r="L77" i="3"/>
  <c r="AE82" i="3"/>
  <c r="Q96" i="3"/>
  <c r="AO54" i="3"/>
  <c r="I79" i="3"/>
  <c r="X92" i="3"/>
  <c r="AO96" i="3"/>
  <c r="S54" i="3"/>
  <c r="U97" i="3"/>
  <c r="Y75" i="3"/>
  <c r="AE61" i="3"/>
  <c r="AM84" i="3"/>
  <c r="P71" i="3"/>
  <c r="X69" i="3"/>
  <c r="X91" i="3"/>
  <c r="O88" i="3"/>
  <c r="W77" i="3"/>
  <c r="N62" i="3"/>
  <c r="AC55" i="3"/>
  <c r="R48" i="3"/>
  <c r="M97" i="3"/>
  <c r="AC82" i="3"/>
  <c r="P86" i="3"/>
  <c r="AI60" i="3"/>
  <c r="O96" i="3"/>
  <c r="O87" i="3"/>
  <c r="O81" i="3"/>
  <c r="T63" i="3"/>
  <c r="N59" i="3"/>
  <c r="AC77" i="3"/>
  <c r="X67" i="3"/>
  <c r="AM83" i="3"/>
  <c r="H75" i="3"/>
  <c r="AN64" i="3"/>
  <c r="Q87" i="3"/>
  <c r="J95" i="3"/>
  <c r="AJ94" i="3"/>
  <c r="Z80" i="3"/>
  <c r="AO97" i="3"/>
  <c r="U48" i="3"/>
  <c r="V92" i="3"/>
  <c r="V54" i="3"/>
  <c r="AE84" i="3"/>
  <c r="W96" i="3"/>
  <c r="Z70" i="3"/>
  <c r="Y73" i="3"/>
  <c r="AL63" i="3"/>
  <c r="AC95" i="3"/>
  <c r="V81" i="3"/>
  <c r="S88" i="3"/>
  <c r="V63" i="3"/>
  <c r="AL62" i="3"/>
  <c r="AK74" i="3"/>
  <c r="M86" i="3"/>
  <c r="O67" i="3"/>
  <c r="T86" i="3"/>
  <c r="Z90" i="3"/>
  <c r="N74" i="3"/>
  <c r="W54" i="3"/>
  <c r="I91" i="3"/>
  <c r="Z95" i="3"/>
  <c r="W72" i="3"/>
  <c r="S64" i="3"/>
  <c r="T56" i="3"/>
  <c r="S62" i="3"/>
  <c r="K73" i="3"/>
  <c r="M63" i="3"/>
  <c r="AN61" i="3"/>
  <c r="AN93" i="3"/>
  <c r="AC88" i="3"/>
  <c r="T83" i="3"/>
  <c r="W48" i="3"/>
  <c r="Z76" i="3"/>
  <c r="U96" i="3"/>
  <c r="I59" i="3"/>
  <c r="AQ59" i="3"/>
  <c r="AL58" i="3"/>
  <c r="R95" i="3"/>
  <c r="T48" i="3"/>
  <c r="Y86" i="3"/>
  <c r="Z87" i="3"/>
  <c r="AL71" i="3"/>
  <c r="Q62" i="3"/>
  <c r="AK62" i="3"/>
  <c r="AC50" i="3"/>
  <c r="Q54" i="3"/>
  <c r="X96" i="3"/>
  <c r="AH47" i="3"/>
  <c r="X64" i="3"/>
  <c r="M90" i="3"/>
  <c r="M47" i="3"/>
  <c r="W57" i="3"/>
  <c r="U74" i="3"/>
  <c r="AQ56" i="3"/>
  <c r="AL87" i="3"/>
  <c r="O75" i="3"/>
  <c r="U54" i="3"/>
  <c r="I76" i="3"/>
  <c r="AL91" i="3"/>
  <c r="AM66" i="3"/>
  <c r="L75" i="3"/>
  <c r="AO64" i="3"/>
  <c r="K84" i="3"/>
  <c r="AC54" i="3"/>
  <c r="Y81" i="3"/>
  <c r="T61" i="3"/>
  <c r="U71" i="3"/>
  <c r="Z94" i="3"/>
  <c r="W83" i="3"/>
  <c r="AL72" i="3"/>
  <c r="L55" i="3"/>
  <c r="AJ73" i="3"/>
  <c r="AA78" i="3"/>
  <c r="P63" i="3"/>
  <c r="T77" i="3"/>
  <c r="AH78" i="3"/>
  <c r="X66" i="3"/>
  <c r="AM54" i="3"/>
  <c r="U50" i="3"/>
  <c r="R65" i="3"/>
  <c r="Y50" i="3"/>
  <c r="P65" i="3"/>
  <c r="P77" i="3"/>
  <c r="K57" i="3"/>
  <c r="W95" i="3"/>
  <c r="AO57" i="3"/>
  <c r="Q49" i="3"/>
  <c r="AK88" i="3"/>
  <c r="M81" i="3"/>
  <c r="AC64" i="3"/>
  <c r="AO85" i="3"/>
  <c r="Q95" i="3"/>
  <c r="AC49" i="3"/>
  <c r="Y77" i="3"/>
  <c r="AH89" i="3"/>
  <c r="Q47" i="3"/>
  <c r="X58" i="3"/>
  <c r="Y59" i="3"/>
  <c r="AE91" i="3"/>
  <c r="Z69" i="3"/>
  <c r="T68" i="3"/>
  <c r="AC84" i="3"/>
  <c r="N83" i="3"/>
  <c r="T80" i="3"/>
  <c r="S94" i="3"/>
  <c r="U64" i="3"/>
  <c r="W78" i="3"/>
  <c r="Z75" i="3"/>
  <c r="K90" i="3"/>
  <c r="R80" i="3"/>
  <c r="AN49" i="3"/>
  <c r="Q72" i="3"/>
  <c r="AO69" i="3"/>
  <c r="AG74" i="3"/>
  <c r="S80" i="3"/>
  <c r="T74" i="3"/>
  <c r="N67" i="3"/>
  <c r="AM87" i="3"/>
  <c r="H87" i="3"/>
  <c r="U73" i="3"/>
  <c r="Y76" i="3"/>
  <c r="AL95" i="3"/>
  <c r="AE57" i="3"/>
  <c r="AO60" i="3"/>
  <c r="I60" i="3"/>
  <c r="T60" i="3"/>
  <c r="T90" i="3"/>
  <c r="AH80" i="3"/>
  <c r="M75" i="3"/>
  <c r="K66" i="3"/>
  <c r="M77" i="3"/>
  <c r="AE78" i="3"/>
  <c r="O85" i="3"/>
  <c r="T85" i="3"/>
  <c r="AI84" i="3"/>
  <c r="AN60" i="3"/>
  <c r="N71" i="3"/>
  <c r="V79" i="3"/>
  <c r="S97" i="3"/>
  <c r="AQ72" i="3"/>
  <c r="Z64" i="3"/>
  <c r="Q86" i="3"/>
  <c r="AG56" i="3"/>
  <c r="S47" i="3"/>
  <c r="S69" i="3"/>
  <c r="L94" i="3"/>
  <c r="P50" i="3"/>
  <c r="J81" i="3"/>
  <c r="Q68" i="3"/>
  <c r="AO82" i="3"/>
  <c r="Z58" i="3"/>
  <c r="AQ94" i="3"/>
  <c r="N56" i="3"/>
  <c r="U58" i="3"/>
  <c r="AO62" i="3"/>
  <c r="Y87" i="3"/>
  <c r="K64" i="3"/>
  <c r="AO84" i="3"/>
  <c r="X94" i="3"/>
  <c r="N48" i="3"/>
  <c r="AA85" i="3"/>
  <c r="S76" i="3"/>
  <c r="S48" i="3"/>
  <c r="L93" i="3"/>
  <c r="Q73" i="3"/>
  <c r="AJ69" i="3"/>
  <c r="AO78" i="3"/>
  <c r="M72" i="3"/>
  <c r="S70" i="3"/>
  <c r="O76" i="3"/>
  <c r="AO88" i="3"/>
  <c r="AJ58" i="3"/>
  <c r="S63" i="3"/>
  <c r="O64" i="3"/>
  <c r="K92" i="3"/>
  <c r="AG82" i="3"/>
  <c r="N86" i="3"/>
  <c r="P66" i="3"/>
  <c r="AN67" i="3"/>
  <c r="S84" i="3"/>
  <c r="Z63" i="3"/>
  <c r="T81" i="3"/>
  <c r="AA62" i="3"/>
  <c r="AK78" i="3"/>
  <c r="X54" i="3"/>
  <c r="AL89" i="3"/>
  <c r="AO83" i="3"/>
  <c r="S66" i="3"/>
  <c r="AC86" i="3"/>
  <c r="S85" i="3"/>
  <c r="AO49" i="3"/>
  <c r="I77" i="3"/>
  <c r="Q74" i="3"/>
  <c r="Q71" i="3"/>
  <c r="S71" i="3"/>
  <c r="X80" i="3"/>
  <c r="AI69" i="3"/>
  <c r="M60" i="3"/>
  <c r="P88" i="3"/>
  <c r="O83" i="3"/>
  <c r="AC75" i="3"/>
  <c r="AO58" i="3"/>
  <c r="N91" i="3"/>
  <c r="AN94" i="3"/>
  <c r="U69" i="3"/>
  <c r="AJ66" i="3"/>
  <c r="AO68" i="3"/>
  <c r="S65" i="3"/>
  <c r="AH70" i="3"/>
  <c r="Y64" i="3"/>
  <c r="I54" i="3"/>
  <c r="S93" i="3"/>
  <c r="AE90" i="3"/>
  <c r="AJ48" i="3"/>
  <c r="Y91" i="3"/>
  <c r="X56" i="3"/>
  <c r="AI49" i="3"/>
  <c r="Z65" i="3"/>
  <c r="V67" i="3"/>
  <c r="Q89" i="3"/>
  <c r="AM64" i="3"/>
  <c r="O70" i="3"/>
  <c r="M88" i="3"/>
  <c r="AL79" i="3"/>
  <c r="AO92" i="3"/>
  <c r="P72" i="3"/>
  <c r="S60" i="3"/>
  <c r="S83" i="3"/>
  <c r="P87" i="3"/>
  <c r="AA83" i="3"/>
  <c r="M76" i="3"/>
  <c r="AE69" i="3"/>
  <c r="W81" i="3"/>
  <c r="S75" i="3"/>
  <c r="Y61" i="3"/>
  <c r="Z72" i="3"/>
  <c r="Y69" i="3"/>
  <c r="AI54" i="3"/>
  <c r="P56" i="3"/>
  <c r="AO76" i="3"/>
  <c r="Y74" i="3"/>
  <c r="AJ82" i="3"/>
  <c r="AH84" i="3"/>
  <c r="AL66" i="3"/>
  <c r="Z54" i="3"/>
  <c r="H55" i="3"/>
  <c r="X97" i="3"/>
  <c r="Q93" i="3"/>
  <c r="AC79" i="3"/>
  <c r="AJ81" i="3"/>
  <c r="W94" i="3"/>
  <c r="I86" i="3"/>
  <c r="Y90" i="3"/>
  <c r="AE58" i="3"/>
  <c r="I63" i="3"/>
  <c r="O89" i="3"/>
  <c r="N63" i="3"/>
  <c r="AJ90" i="3"/>
  <c r="H54" i="3"/>
  <c r="P64" i="3"/>
  <c r="S92" i="3"/>
  <c r="M70" i="3"/>
  <c r="Y68" i="3"/>
  <c r="W79" i="3"/>
  <c r="W63" i="3"/>
  <c r="AE79" i="3"/>
  <c r="X63" i="3"/>
  <c r="AL96" i="3"/>
  <c r="AG49" i="3"/>
  <c r="S96" i="3"/>
  <c r="M69" i="3"/>
  <c r="O71" i="3"/>
  <c r="AJ65" i="3"/>
  <c r="AJ54" i="3"/>
  <c r="AJ74" i="3"/>
  <c r="Y63" i="3"/>
  <c r="AE71" i="3"/>
  <c r="Z49" i="3"/>
  <c r="K79" i="3"/>
  <c r="S79" i="3"/>
  <c r="S73" i="3"/>
  <c r="Y94" i="3"/>
  <c r="AG58" i="3"/>
  <c r="T54" i="3"/>
  <c r="X81" i="3"/>
  <c r="W50" i="3"/>
  <c r="AO81" i="3"/>
  <c r="AN76" i="3"/>
  <c r="AQ97" i="3"/>
  <c r="T84" i="3"/>
  <c r="H79" i="3"/>
  <c r="AI47" i="3"/>
  <c r="P79" i="3"/>
  <c r="O84" i="3"/>
  <c r="AE49" i="3"/>
  <c r="U85" i="3"/>
  <c r="T65" i="3"/>
  <c r="W74" i="3"/>
  <c r="AM75" i="3"/>
  <c r="AC58" i="3"/>
  <c r="S59" i="3"/>
  <c r="Y88" i="3"/>
  <c r="AN72" i="3"/>
  <c r="AN58" i="3"/>
  <c r="Z86" i="3"/>
  <c r="Q61" i="3"/>
  <c r="AO89" i="3"/>
  <c r="AN77" i="3"/>
  <c r="AI83" i="3"/>
  <c r="AM62" i="3"/>
  <c r="H65" i="3"/>
  <c r="AJ55" i="3"/>
  <c r="W62" i="3"/>
  <c r="AC87" i="3"/>
  <c r="X68" i="3"/>
  <c r="U83" i="3"/>
  <c r="P67" i="3"/>
  <c r="J77" i="3"/>
  <c r="I84" i="3"/>
  <c r="Z56" i="3"/>
  <c r="AN84" i="3"/>
  <c r="AQ48" i="3"/>
  <c r="X61" i="3"/>
  <c r="M66" i="3"/>
  <c r="W61" i="3"/>
  <c r="U92" i="3"/>
  <c r="AN66" i="3"/>
  <c r="Y92" i="3"/>
  <c r="AL47" i="3"/>
  <c r="Q80" i="3"/>
  <c r="U78" i="3"/>
  <c r="T92" i="3"/>
  <c r="AC70" i="3"/>
  <c r="N57" i="3"/>
  <c r="P70" i="3"/>
  <c r="O56" i="3"/>
  <c r="AO90" i="3"/>
  <c r="M84" i="3"/>
  <c r="I72" i="3"/>
  <c r="L86" i="3"/>
  <c r="M83" i="3"/>
  <c r="W68" i="3"/>
  <c r="S56" i="3"/>
  <c r="K56" i="3"/>
  <c r="AQ83" i="3"/>
  <c r="O72" i="3"/>
  <c r="W88" i="3"/>
  <c r="N80" i="3"/>
  <c r="AN78" i="3"/>
  <c r="AC56" i="3"/>
  <c r="Q76" i="3"/>
  <c r="Y80" i="3"/>
  <c r="AL85" i="3"/>
  <c r="AE65" i="3"/>
  <c r="I68" i="3"/>
  <c r="P76" i="3"/>
  <c r="Z55" i="3"/>
  <c r="W85" i="3"/>
  <c r="U79" i="3"/>
  <c r="V49" i="3"/>
  <c r="N93" i="3"/>
  <c r="AE96" i="3"/>
  <c r="AN82" i="3"/>
  <c r="M93" i="3"/>
  <c r="AA72" i="3"/>
  <c r="T96" i="3"/>
  <c r="W67" i="3"/>
  <c r="AG84" i="3"/>
  <c r="R90" i="3"/>
  <c r="AN91" i="3"/>
  <c r="S82" i="3"/>
  <c r="U91" i="3"/>
  <c r="X62" i="3"/>
  <c r="AL86" i="3"/>
  <c r="X60" i="3"/>
  <c r="W97" i="3"/>
  <c r="AL57" i="3"/>
  <c r="Y82" i="3"/>
  <c r="AJ89" i="3"/>
  <c r="V77" i="3"/>
  <c r="AI61" i="3"/>
  <c r="M74" i="3"/>
  <c r="L57" i="3"/>
  <c r="M78" i="3"/>
  <c r="K47" i="3"/>
  <c r="AE54" i="3"/>
  <c r="AC81" i="3"/>
  <c r="T93" i="3"/>
  <c r="M82" i="3"/>
  <c r="AE73" i="3"/>
  <c r="I75" i="3"/>
  <c r="P85" i="3"/>
  <c r="T78" i="3"/>
  <c r="K49" i="3"/>
  <c r="P73" i="3"/>
  <c r="R66" i="3"/>
  <c r="N61" i="3"/>
  <c r="M73" i="3"/>
  <c r="V62" i="3"/>
  <c r="AE86" i="3"/>
  <c r="O93" i="3"/>
  <c r="T71" i="3"/>
  <c r="AL74" i="3"/>
  <c r="AN68" i="3"/>
  <c r="U61" i="3"/>
  <c r="AC94" i="3"/>
  <c r="AN69" i="3"/>
  <c r="AJ87" i="3"/>
  <c r="X78" i="3"/>
  <c r="AO74" i="3"/>
  <c r="AL73" i="3"/>
  <c r="AL59" i="3"/>
  <c r="M85" i="3"/>
  <c r="W49" i="3"/>
  <c r="AA73" i="3"/>
  <c r="S77" i="3"/>
  <c r="S68" i="3"/>
  <c r="AQ63" i="3"/>
  <c r="T72" i="3"/>
  <c r="W73" i="3"/>
  <c r="AO94" i="3"/>
  <c r="X71" i="3"/>
  <c r="I73" i="3"/>
  <c r="AO91" i="3"/>
  <c r="AQ50" i="3"/>
  <c r="R69" i="3"/>
  <c r="O82" i="3"/>
  <c r="AA67" i="3"/>
  <c r="AJ92" i="3"/>
  <c r="S91" i="3"/>
  <c r="AE87" i="3"/>
  <c r="AL48" i="3"/>
  <c r="W87" i="3"/>
  <c r="Y56" i="3"/>
  <c r="AE92" i="3"/>
  <c r="AO79" i="3"/>
  <c r="X70" i="3"/>
  <c r="AQ80" i="3"/>
  <c r="W64" i="3"/>
  <c r="Y58" i="3"/>
  <c r="AE50" i="3"/>
  <c r="H71" i="3"/>
  <c r="AM69" i="3"/>
  <c r="L97" i="3"/>
  <c r="AI80" i="3"/>
  <c r="AE81" i="3"/>
  <c r="AE66" i="3"/>
  <c r="Z60" i="3"/>
  <c r="W69" i="3"/>
  <c r="AO93" i="3"/>
  <c r="T57" i="3"/>
  <c r="X82" i="3"/>
  <c r="AL78" i="3"/>
  <c r="S49" i="3"/>
  <c r="U76" i="3"/>
  <c r="AQ61" i="3"/>
  <c r="I69" i="3"/>
  <c r="X84" i="3"/>
  <c r="K82" i="3"/>
  <c r="N90" i="3"/>
  <c r="AQ77" i="3"/>
  <c r="AJ56" i="3"/>
  <c r="Y97" i="3"/>
  <c r="S86" i="3"/>
  <c r="K69" i="3"/>
  <c r="H94" i="3"/>
  <c r="U90" i="3"/>
  <c r="N87" i="3"/>
  <c r="P78" i="3"/>
  <c r="AK61" i="3"/>
  <c r="H61" i="3"/>
  <c r="AJ63" i="3"/>
  <c r="O91" i="3"/>
  <c r="X55" i="3"/>
  <c r="U87" i="3"/>
  <c r="Z61" i="3"/>
  <c r="Z83" i="3"/>
  <c r="AM82" i="3"/>
  <c r="R67" i="3"/>
  <c r="Q77" i="3"/>
  <c r="Y71" i="3"/>
  <c r="M79" i="3"/>
  <c r="W93" i="3"/>
  <c r="H57" i="3"/>
  <c r="R81" i="3"/>
  <c r="M95" i="3"/>
  <c r="M59" i="3"/>
  <c r="W59" i="3"/>
  <c r="M48" i="3"/>
  <c r="S87" i="3"/>
  <c r="AL61" i="3"/>
  <c r="I64" i="3"/>
  <c r="S81" i="3"/>
  <c r="AJ83" i="3"/>
  <c r="Z88" i="3"/>
  <c r="AK96" i="3"/>
  <c r="J56" i="3"/>
  <c r="Q75" i="3"/>
  <c r="AA95" i="3"/>
  <c r="W56" i="3"/>
  <c r="AN86" i="3"/>
  <c r="AL56" i="3"/>
  <c r="AN92" i="3"/>
  <c r="X79" i="3"/>
  <c r="AK57" i="3"/>
  <c r="M50" i="3"/>
  <c r="P57" i="3"/>
  <c r="M65" i="3"/>
  <c r="AN65" i="3"/>
  <c r="M71" i="3"/>
  <c r="AO65" i="3"/>
  <c r="X73" i="3"/>
  <c r="AA50" i="3"/>
  <c r="W66" i="3"/>
  <c r="AK71" i="3"/>
  <c r="S78" i="3"/>
  <c r="AL67" i="3"/>
  <c r="S57" i="3"/>
  <c r="AQ76" i="3"/>
  <c r="N65" i="3"/>
  <c r="K50" i="3"/>
  <c r="T97" i="3"/>
  <c r="M58" i="3"/>
  <c r="AA71" i="3"/>
  <c r="AK55" i="3"/>
  <c r="AI72" i="3"/>
  <c r="AE48" i="3"/>
  <c r="M89" i="3"/>
  <c r="AL82" i="3"/>
  <c r="AL81" i="3"/>
  <c r="AE94" i="3"/>
  <c r="W91" i="3"/>
  <c r="AO56" i="3"/>
  <c r="AJ71" i="3"/>
  <c r="AH95" i="3"/>
  <c r="T87" i="3"/>
  <c r="AL75" i="3"/>
  <c r="W60" i="3"/>
  <c r="AL92" i="3"/>
  <c r="S61" i="3"/>
  <c r="Z79" i="3"/>
  <c r="Y95" i="3"/>
  <c r="R75" i="3"/>
  <c r="AC96" i="3"/>
  <c r="S89" i="3"/>
  <c r="AO70" i="3"/>
  <c r="I71" i="3"/>
  <c r="AK50" i="3"/>
  <c r="AO75" i="3"/>
  <c r="I85" i="3"/>
  <c r="V82" i="3"/>
  <c r="AM94" i="3"/>
  <c r="P49" i="3"/>
  <c r="P95" i="3"/>
  <c r="O73" i="3"/>
  <c r="X95" i="3"/>
  <c r="AG72" i="3"/>
  <c r="I82" i="3"/>
  <c r="N60" i="3"/>
  <c r="U72" i="3"/>
  <c r="P81" i="3"/>
  <c r="AJ78" i="3"/>
  <c r="AN87" i="3"/>
  <c r="N76" i="3"/>
  <c r="AO55" i="3"/>
  <c r="AM57" i="3"/>
  <c r="AN56" i="3"/>
  <c r="X72" i="3"/>
  <c r="AJ61" i="3" l="1"/>
  <c r="M91" i="3"/>
  <c r="AA89" i="3"/>
  <c r="Z93" i="3"/>
  <c r="Z47" i="3"/>
  <c r="AE93" i="3"/>
  <c r="K86" i="3"/>
  <c r="L92" i="3"/>
  <c r="J86" i="3"/>
  <c r="AI70" i="3"/>
  <c r="AI89" i="3"/>
  <c r="L70" i="3"/>
  <c r="AO66" i="3"/>
  <c r="Z92" i="3"/>
  <c r="AM60" i="3"/>
  <c r="AH83" i="3"/>
  <c r="AI65" i="3"/>
  <c r="H62" i="3"/>
  <c r="Z74" i="3"/>
  <c r="AJ96" i="3"/>
  <c r="L72" i="3"/>
  <c r="AO59" i="3"/>
  <c r="AC68" i="3"/>
  <c r="H63" i="3"/>
  <c r="H88" i="3"/>
  <c r="P60" i="3"/>
  <c r="M87" i="3"/>
  <c r="AA65" i="3"/>
  <c r="AE55" i="3"/>
  <c r="W55" i="3"/>
  <c r="AO86" i="3"/>
  <c r="AK77" i="3"/>
  <c r="M96" i="3"/>
  <c r="O50" i="3"/>
  <c r="W86" i="3"/>
  <c r="AG61" i="3"/>
  <c r="AN90" i="3"/>
  <c r="K63" i="3"/>
  <c r="AN95" i="3"/>
  <c r="AK58" i="3"/>
  <c r="AC93" i="3"/>
  <c r="P82" i="3"/>
  <c r="Q56" i="3"/>
  <c r="AA96" i="3"/>
  <c r="Z77" i="3"/>
  <c r="J67" i="3"/>
  <c r="AC90" i="3"/>
  <c r="AH91" i="3"/>
  <c r="I90" i="3"/>
  <c r="AC80" i="3"/>
  <c r="AE85" i="3"/>
  <c r="J48" i="3"/>
  <c r="U60" i="3"/>
  <c r="K75" i="3"/>
  <c r="U88" i="3"/>
  <c r="T79" i="3"/>
  <c r="O77" i="3"/>
  <c r="AI92" i="3"/>
  <c r="U75" i="3"/>
  <c r="H83" i="3"/>
  <c r="AJ62" i="3"/>
  <c r="AN71" i="3"/>
  <c r="AJ97" i="3"/>
  <c r="AC65" i="3"/>
  <c r="K77" i="3"/>
  <c r="U62" i="3"/>
  <c r="AQ88" i="3"/>
  <c r="AE88" i="3"/>
  <c r="T62" i="3"/>
  <c r="K97" i="3"/>
  <c r="L90" i="3"/>
  <c r="N79" i="3"/>
  <c r="M62" i="3"/>
  <c r="AC72" i="3"/>
  <c r="X77" i="3"/>
  <c r="W71" i="3"/>
  <c r="J64" i="3"/>
  <c r="Q79" i="3"/>
  <c r="AH82" i="3"/>
  <c r="I67" i="3"/>
  <c r="R68" i="3"/>
  <c r="AI48" i="3"/>
  <c r="J65" i="3"/>
  <c r="S50" i="3"/>
  <c r="V58" i="3"/>
  <c r="AE60" i="3"/>
  <c r="AC89" i="3"/>
  <c r="X75" i="3"/>
  <c r="V94" i="3"/>
  <c r="I83" i="3"/>
  <c r="AE76" i="3"/>
  <c r="K65" i="3"/>
  <c r="W92" i="3"/>
  <c r="U49" i="3"/>
  <c r="AC76" i="3"/>
  <c r="AQ87" i="3"/>
  <c r="R93" i="3"/>
  <c r="K60" i="3"/>
  <c r="AI82" i="3"/>
  <c r="AE89" i="3"/>
  <c r="T66" i="3"/>
  <c r="S67" i="3"/>
  <c r="O61" i="3"/>
  <c r="AA69" i="3"/>
  <c r="K96" i="3"/>
  <c r="AK91" i="3"/>
  <c r="K70" i="3"/>
  <c r="AO50" i="3"/>
  <c r="AC73" i="3"/>
  <c r="W75" i="3"/>
  <c r="AO71" i="3"/>
  <c r="K62" i="3"/>
  <c r="M92" i="3"/>
  <c r="AM81" i="3"/>
  <c r="AE68" i="3"/>
  <c r="X89" i="3"/>
  <c r="AJ47" i="3"/>
  <c r="AJ59" i="3"/>
  <c r="I49" i="3"/>
  <c r="AJ75" i="3"/>
  <c r="AQ78" i="3"/>
  <c r="U57" i="3"/>
  <c r="L62" i="3"/>
  <c r="M57" i="3"/>
  <c r="Q94" i="3"/>
  <c r="O58" i="3"/>
  <c r="AM58" i="3"/>
  <c r="Y67" i="3"/>
  <c r="I55" i="3"/>
  <c r="P55" i="3"/>
  <c r="I87" i="3"/>
  <c r="AI96" i="3"/>
  <c r="X90" i="3"/>
  <c r="AI62" i="3"/>
  <c r="I61" i="3"/>
  <c r="V76" i="3"/>
  <c r="AC66" i="3"/>
  <c r="R54" i="3"/>
  <c r="P69" i="3"/>
  <c r="J92" i="3"/>
  <c r="S58" i="3"/>
  <c r="P84" i="3"/>
  <c r="J60" i="3"/>
  <c r="W89" i="3"/>
  <c r="V61" i="3"/>
  <c r="AN88" i="3"/>
  <c r="N54" i="3"/>
  <c r="L79" i="3"/>
  <c r="AE83" i="3"/>
  <c r="J97" i="3"/>
  <c r="AA63" i="3"/>
  <c r="N70" i="3"/>
  <c r="AA86" i="3"/>
  <c r="X76" i="3"/>
  <c r="AQ66" i="3"/>
  <c r="AO80" i="3"/>
  <c r="AQ60" i="3"/>
  <c r="AM63" i="3"/>
  <c r="AC71" i="3"/>
  <c r="N97" i="3"/>
  <c r="Z97" i="3"/>
  <c r="U84" i="3"/>
  <c r="W76" i="3"/>
  <c r="Z82" i="3"/>
  <c r="L84" i="3"/>
  <c r="AI68" i="3"/>
  <c r="V69" i="3"/>
  <c r="AH79" i="3"/>
  <c r="Z96" i="3"/>
  <c r="R50" i="3"/>
  <c r="M64" i="3"/>
  <c r="Q64" i="3"/>
  <c r="AA92" i="3"/>
  <c r="L87" i="3"/>
  <c r="AQ68" i="3"/>
  <c r="O68" i="3"/>
  <c r="AK85" i="3"/>
  <c r="Y84" i="3"/>
  <c r="T58" i="3"/>
  <c r="V97" i="3"/>
  <c r="W65" i="3"/>
  <c r="AH73" i="3"/>
  <c r="AJ67" i="3"/>
  <c r="AL68" i="3"/>
  <c r="AL60" i="3"/>
  <c r="R84" i="3"/>
  <c r="U66" i="3"/>
  <c r="H77" i="3"/>
  <c r="AH48" i="3"/>
  <c r="AI63" i="3"/>
  <c r="AJ70" i="3"/>
  <c r="N84" i="3"/>
  <c r="R55" i="3"/>
  <c r="Y89" i="3"/>
  <c r="AL50" i="3"/>
  <c r="AQ81" i="3"/>
  <c r="W80" i="3"/>
  <c r="V71" i="3"/>
  <c r="AA74" i="3"/>
  <c r="L60" i="3"/>
  <c r="P80" i="3"/>
  <c r="AC48" i="3"/>
  <c r="AO95" i="3"/>
  <c r="Y93" i="3"/>
  <c r="AG55" i="3"/>
  <c r="N66" i="3"/>
  <c r="W47" i="3"/>
  <c r="K78" i="3"/>
  <c r="AC85" i="3"/>
  <c r="AL90" i="3"/>
  <c r="R71" i="3"/>
  <c r="AN73" i="3"/>
  <c r="P97" i="3"/>
  <c r="P89" i="3"/>
  <c r="W58" i="3"/>
  <c r="I89" i="3"/>
  <c r="AO61" i="3"/>
  <c r="R94" i="3"/>
  <c r="Z62" i="3"/>
  <c r="N75" i="3"/>
  <c r="U82" i="3"/>
  <c r="T89" i="3"/>
  <c r="AG66" i="3"/>
  <c r="W70" i="3"/>
  <c r="AO47" i="3"/>
  <c r="L81" i="3"/>
  <c r="AK72" i="3"/>
  <c r="AK63" i="3"/>
  <c r="AC62" i="3"/>
  <c r="AQ71" i="3"/>
  <c r="AL83" i="3"/>
  <c r="AH64" i="3"/>
  <c r="AO63" i="3"/>
  <c r="AL77" i="3"/>
  <c r="AE74" i="3"/>
  <c r="AK49" i="3"/>
  <c r="J83" i="3"/>
  <c r="P96" i="3"/>
  <c r="H73" i="3"/>
  <c r="J94" i="3"/>
  <c r="AJ60" i="3"/>
  <c r="N92" i="3"/>
  <c r="I62" i="3"/>
  <c r="AC63" i="3"/>
  <c r="T94" i="3"/>
  <c r="AK94" i="3"/>
  <c r="AI50" i="3"/>
  <c r="O94" i="3"/>
  <c r="W84" i="3"/>
  <c r="V88" i="3"/>
  <c r="U80" i="3"/>
  <c r="AQ85" i="3"/>
  <c r="V84" i="3"/>
  <c r="AL64" i="3"/>
  <c r="AG80" i="3"/>
  <c r="M54" i="3"/>
  <c r="J76" i="3"/>
  <c r="AN80" i="3"/>
  <c r="AH63" i="3"/>
  <c r="X85" i="3"/>
  <c r="H66" i="3"/>
  <c r="AJ84" i="3"/>
  <c r="M49" i="3"/>
  <c r="T70" i="3"/>
  <c r="N72" i="3"/>
  <c r="L91" i="3"/>
  <c r="V83" i="3"/>
  <c r="AQ74" i="3"/>
  <c r="AG77" i="3"/>
  <c r="AA49" i="3"/>
  <c r="AC92" i="3"/>
  <c r="X74" i="3"/>
  <c r="AO87" i="3"/>
  <c r="V89" i="3"/>
  <c r="Z71" i="3"/>
  <c r="R57" i="3"/>
  <c r="M56" i="3"/>
  <c r="AL97" i="3"/>
  <c r="S72" i="3"/>
  <c r="Q81" i="3"/>
  <c r="R70" i="3"/>
  <c r="X88" i="3"/>
  <c r="AO67" i="3"/>
  <c r="Z81" i="3"/>
  <c r="L47" i="3"/>
  <c r="O59" i="3"/>
  <c r="P93" i="3"/>
  <c r="AA79" i="3"/>
  <c r="AO72" i="3"/>
  <c r="U77" i="3"/>
  <c r="J96" i="3"/>
  <c r="AG69" i="3"/>
  <c r="AN47" i="3"/>
  <c r="R77" i="3"/>
  <c r="K87" i="3"/>
  <c r="N55" i="3"/>
  <c r="AI59" i="3"/>
  <c r="AK69" i="3"/>
  <c r="AE70" i="3"/>
  <c r="AH76" i="3"/>
  <c r="AH56" i="3"/>
  <c r="AH74" i="3"/>
  <c r="Y62" i="3"/>
  <c r="I47" i="3"/>
  <c r="AN74" i="3"/>
  <c r="Z84" i="3"/>
  <c r="M80" i="3"/>
  <c r="AO77" i="3"/>
  <c r="AQ67" i="3"/>
  <c r="R89" i="3"/>
  <c r="AM93" i="3"/>
  <c r="AI93" i="3"/>
  <c r="AJ91" i="3"/>
  <c r="P75" i="3"/>
  <c r="AN85" i="3"/>
  <c r="AN79" i="3"/>
  <c r="V65" i="3"/>
  <c r="AL65" i="3"/>
  <c r="AG87" i="3"/>
  <c r="Y49" i="3"/>
  <c r="I88" i="3"/>
  <c r="AC59" i="3"/>
  <c r="R58" i="3"/>
  <c r="AC61" i="3"/>
  <c r="Q91" i="3"/>
  <c r="M68" i="3"/>
  <c r="AG48" i="3"/>
  <c r="Y55" i="3"/>
  <c r="R60" i="3"/>
  <c r="M55" i="3"/>
  <c r="W90" i="3"/>
  <c r="S90" i="3"/>
  <c r="R87" i="3"/>
  <c r="AN50" i="3"/>
  <c r="U59" i="3"/>
  <c r="Y72" i="3"/>
  <c r="Q92" i="3"/>
  <c r="Y66" i="3"/>
  <c r="Z50" i="3"/>
  <c r="AK82" i="3"/>
  <c r="AH67" i="3"/>
  <c r="AH86" i="3"/>
  <c r="P91" i="3"/>
  <c r="J61" i="3"/>
  <c r="I94" i="3"/>
  <c r="AK75" i="3"/>
  <c r="AJ86" i="3"/>
  <c r="AQ90" i="3"/>
  <c r="AQ69" i="3"/>
  <c r="Q65" i="3"/>
  <c r="X87" i="3"/>
  <c r="AM70" i="3"/>
  <c r="Q59" i="3"/>
  <c r="Q84" i="3"/>
  <c r="S74" i="3"/>
  <c r="AN55" i="3"/>
  <c r="AI75" i="3"/>
  <c r="T49" i="3"/>
  <c r="N96" i="3"/>
  <c r="H49" i="3"/>
  <c r="Q85" i="3"/>
  <c r="AM59" i="3"/>
  <c r="L61" i="3"/>
  <c r="AE80" i="3"/>
  <c r="AG62" i="3"/>
  <c r="AA93" i="3"/>
  <c r="T55" i="3"/>
  <c r="AN70" i="3"/>
  <c r="AG93" i="3"/>
  <c r="U47" i="3"/>
  <c r="I50" i="3"/>
  <c r="AL54" i="3"/>
  <c r="H48" i="3"/>
  <c r="U56" i="3"/>
  <c r="N47" i="3"/>
  <c r="AM61" i="3"/>
  <c r="AG81" i="3"/>
  <c r="U63" i="3"/>
  <c r="AI85" i="3"/>
  <c r="O54" i="3"/>
  <c r="P92" i="3"/>
  <c r="O69" i="3"/>
  <c r="Q70" i="3"/>
  <c r="AM92" i="3"/>
  <c r="AG68" i="3"/>
  <c r="AN57" i="3"/>
  <c r="AI76" i="3"/>
  <c r="O60" i="3"/>
  <c r="J72" i="3"/>
  <c r="H68" i="3"/>
  <c r="O78" i="3"/>
  <c r="AE75" i="3"/>
  <c r="Q82" i="3"/>
  <c r="U68" i="3"/>
  <c r="AG76" i="3"/>
  <c r="J91" i="3"/>
  <c r="P59" i="3"/>
  <c r="H97" i="3"/>
  <c r="AE72" i="3"/>
  <c r="N77" i="3"/>
  <c r="X59" i="3"/>
  <c r="AM80" i="3"/>
  <c r="AH66" i="3"/>
  <c r="I56" i="3"/>
  <c r="Y78" i="3"/>
  <c r="R63" i="3"/>
  <c r="J54" i="3"/>
  <c r="R91" i="3"/>
  <c r="I96" i="3"/>
  <c r="AI73" i="3"/>
  <c r="T64" i="3"/>
  <c r="N58" i="3"/>
  <c r="X48" i="3"/>
  <c r="AH85" i="3"/>
  <c r="AK47" i="3"/>
  <c r="AL55" i="3"/>
  <c r="H92" i="3"/>
  <c r="N85" i="3"/>
  <c r="J66" i="3"/>
  <c r="X57" i="3"/>
  <c r="T59" i="3"/>
  <c r="AM97" i="3"/>
  <c r="O97" i="3"/>
  <c r="Q69" i="3"/>
  <c r="AI66" i="3"/>
  <c r="Q50" i="3"/>
  <c r="AH65" i="3"/>
  <c r="L74" i="3"/>
  <c r="K71" i="3"/>
  <c r="Q83" i="3"/>
  <c r="L59" i="3"/>
  <c r="X47" i="3"/>
  <c r="I97" i="3"/>
  <c r="X93" i="3"/>
  <c r="T50" i="3"/>
  <c r="J49" i="3"/>
  <c r="N73" i="3"/>
  <c r="J89" i="3"/>
  <c r="V70" i="3"/>
  <c r="AA47" i="3"/>
  <c r="AG65" i="3"/>
  <c r="U81" i="3"/>
  <c r="K68" i="3"/>
  <c r="R64" i="3"/>
  <c r="AL76" i="3"/>
  <c r="J55" i="3"/>
  <c r="V91" i="3"/>
  <c r="V68" i="3"/>
  <c r="P74" i="3"/>
  <c r="AN97" i="3"/>
  <c r="U89" i="3"/>
  <c r="AA84" i="3"/>
  <c r="Z91" i="3"/>
  <c r="Q67" i="3"/>
  <c r="T95" i="3"/>
  <c r="AM72" i="3"/>
  <c r="H76" i="3"/>
  <c r="P61" i="3"/>
  <c r="U65" i="3"/>
  <c r="T67" i="3"/>
  <c r="R62" i="3"/>
  <c r="I92" i="3"/>
  <c r="L54" i="3"/>
  <c r="AE59" i="3"/>
  <c r="AC74" i="3"/>
  <c r="AG96" i="3"/>
  <c r="J57" i="3"/>
  <c r="K83" i="3"/>
  <c r="R59" i="3"/>
  <c r="I95" i="3"/>
  <c r="AI55" i="3"/>
  <c r="I70" i="3"/>
  <c r="AM55" i="3"/>
  <c r="O90" i="3"/>
  <c r="R88" i="3"/>
  <c r="U86" i="3"/>
  <c r="I80" i="3"/>
  <c r="I48" i="3"/>
  <c r="N50" i="3"/>
  <c r="H69" i="3"/>
  <c r="AI97" i="3"/>
  <c r="H85" i="3"/>
  <c r="L63" i="3"/>
  <c r="Y47" i="3"/>
  <c r="AG85" i="3"/>
  <c r="K55" i="3"/>
  <c r="AC57" i="3"/>
  <c r="AH49" i="3"/>
  <c r="AK97" i="3"/>
  <c r="Q88" i="3"/>
  <c r="L78" i="3"/>
  <c r="I58" i="3"/>
  <c r="AM89" i="3"/>
  <c r="H60" i="3"/>
  <c r="Y83" i="3"/>
  <c r="AN59" i="3"/>
  <c r="X83" i="3"/>
  <c r="AJ88" i="3"/>
  <c r="V72" i="3"/>
  <c r="K58" i="3"/>
  <c r="J74" i="3"/>
  <c r="I78" i="3"/>
  <c r="P47" i="3"/>
  <c r="J63" i="3"/>
  <c r="U70" i="3"/>
  <c r="AA75" i="3"/>
  <c r="AQ93" i="3"/>
  <c r="AC78" i="3"/>
  <c r="V87" i="3"/>
  <c r="AG73" i="3"/>
  <c r="Y96" i="3"/>
  <c r="H47" i="3"/>
  <c r="K54" i="3"/>
  <c r="AI87" i="3"/>
  <c r="O63" i="3"/>
  <c r="X49" i="3"/>
  <c r="H96" i="3"/>
  <c r="J90" i="3"/>
  <c r="O86" i="3"/>
  <c r="Z48" i="3"/>
  <c r="AM91" i="3"/>
  <c r="AG70" i="3"/>
  <c r="AJ50" i="3"/>
  <c r="X65" i="3"/>
  <c r="Q97" i="3"/>
  <c r="AE56" i="3"/>
  <c r="U94" i="3"/>
  <c r="N89" i="3"/>
  <c r="AM56" i="3"/>
  <c r="L58" i="3"/>
  <c r="K94" i="3"/>
  <c r="J59" i="3"/>
  <c r="AH94" i="3"/>
  <c r="H93" i="3"/>
  <c r="R49" i="3"/>
  <c r="Y60" i="3"/>
  <c r="J84" i="3"/>
  <c r="H91" i="3"/>
  <c r="O57" i="3"/>
  <c r="AJ76" i="3"/>
  <c r="AH50" i="3"/>
  <c r="AL94" i="3"/>
  <c r="X86" i="3"/>
  <c r="J70" i="3"/>
  <c r="AN89" i="3"/>
  <c r="R79" i="3"/>
  <c r="Z57" i="3"/>
  <c r="O92" i="3"/>
  <c r="U95" i="3"/>
  <c r="Q66" i="3"/>
  <c r="AG83" i="3"/>
  <c r="AQ89" i="3"/>
  <c r="O66" i="3"/>
  <c r="K80" i="3"/>
  <c r="V55" i="3"/>
  <c r="AH77" i="3"/>
  <c r="I57" i="3"/>
  <c r="AN62" i="3"/>
  <c r="AC69" i="3"/>
  <c r="AI95" i="3"/>
  <c r="O47" i="3"/>
  <c r="J69" i="3"/>
  <c r="I81" i="3"/>
  <c r="AK80" i="3"/>
  <c r="O74" i="3"/>
  <c r="Q55" i="3"/>
  <c r="AE47" i="3"/>
  <c r="Q60" i="3"/>
  <c r="AG47" i="3"/>
  <c r="AN83" i="3"/>
  <c r="U67" i="3"/>
  <c r="I66" i="3"/>
  <c r="Z89" i="3"/>
  <c r="AJ79" i="3"/>
  <c r="Y79" i="3"/>
  <c r="AK59" i="3"/>
  <c r="H74" i="3"/>
  <c r="AA56" i="3"/>
  <c r="AA48" i="3"/>
  <c r="H50" i="3"/>
  <c r="O55" i="3"/>
  <c r="AC67" i="3"/>
  <c r="X50" i="3"/>
  <c r="AL69" i="3"/>
  <c r="I74" i="3"/>
  <c r="AA80" i="3"/>
  <c r="Y85" i="3"/>
  <c r="Q63" i="3"/>
  <c r="T82" i="3"/>
  <c r="AM76" i="3"/>
  <c r="AG67" i="3"/>
  <c r="R86" i="3"/>
  <c r="AQ57" i="3"/>
  <c r="AN63" i="3"/>
  <c r="P94" i="3"/>
  <c r="AI77" i="3"/>
  <c r="J79" i="3"/>
  <c r="T69" i="3"/>
  <c r="AG59" i="3"/>
  <c r="V86" i="3"/>
  <c r="AQ73" i="3"/>
  <c r="AQ70" i="3"/>
  <c r="R82" i="3"/>
  <c r="P54" i="3"/>
  <c r="AJ64" i="3"/>
  <c r="AE97" i="3"/>
  <c r="T76" i="3"/>
  <c r="N68" i="3"/>
  <c r="Z85" i="3"/>
  <c r="I65" i="3"/>
  <c r="P48" i="3"/>
  <c r="V93" i="3"/>
  <c r="AG75" i="3"/>
  <c r="AJ93" i="3"/>
  <c r="AG64" i="3"/>
  <c r="Q78" i="3"/>
  <c r="R96" i="3"/>
  <c r="AJ80" i="3"/>
  <c r="Y57" i="3"/>
  <c r="AE63" i="3"/>
  <c r="AK76" i="3"/>
  <c r="T91" i="3"/>
  <c r="AC91" i="3"/>
  <c r="AC47" i="3"/>
  <c r="U55" i="3"/>
  <c r="R85" i="3"/>
  <c r="K76" i="3"/>
  <c r="AM86" i="3"/>
  <c r="AL93" i="3"/>
  <c r="K61" i="3"/>
  <c r="H86" i="3"/>
  <c r="K59" i="3"/>
  <c r="AQ84" i="3"/>
  <c r="AK81" i="3"/>
  <c r="AE95" i="3"/>
  <c r="AN54" i="3"/>
  <c r="N82" i="3"/>
  <c r="AG60" i="3"/>
  <c r="AQ64" i="3"/>
  <c r="AG54" i="3"/>
  <c r="O79" i="3"/>
  <c r="AL84" i="3"/>
  <c r="AL49" i="3"/>
  <c r="Q48" i="3"/>
  <c r="H78" i="3"/>
  <c r="N88" i="3"/>
  <c r="AQ79" i="3"/>
  <c r="R72" i="3"/>
  <c r="L83" i="3"/>
  <c r="AA66" i="3"/>
  <c r="AC60" i="3"/>
  <c r="AI91" i="3"/>
  <c r="O80" i="3"/>
  <c r="AE77" i="3"/>
  <c r="AL70" i="3"/>
  <c r="Y65" i="3"/>
  <c r="T88" i="3"/>
  <c r="AJ68" i="3"/>
  <c r="H56" i="3"/>
  <c r="AM79" i="3"/>
  <c r="Y70" i="3"/>
  <c r="V95" i="3"/>
  <c r="AH68" i="3"/>
  <c r="P68" i="3"/>
  <c r="N95" i="3"/>
  <c r="AA57" i="3"/>
  <c r="Z78" i="3"/>
  <c r="AG63" i="3"/>
  <c r="R92" i="3"/>
  <c r="O65" i="3"/>
  <c r="O49" i="3"/>
  <c r="P90" i="3"/>
  <c r="N81" i="3"/>
  <c r="AN81" i="3"/>
  <c r="AK64" i="3"/>
  <c r="AJ77" i="3"/>
  <c r="Z66" i="3"/>
  <c r="AL88" i="3"/>
  <c r="AJ49" i="3"/>
  <c r="K48" i="3"/>
  <c r="K74" i="3"/>
  <c r="AE62" i="3"/>
  <c r="K81" i="3"/>
  <c r="P83" i="3"/>
  <c r="AK70" i="3"/>
  <c r="K88" i="3"/>
  <c r="Z59" i="3"/>
  <c r="AH92" i="3"/>
  <c r="V59" i="3"/>
  <c r="AL80" i="3"/>
  <c r="Z67" i="3"/>
  <c r="J71" i="3"/>
  <c r="AH75" i="3"/>
  <c r="AI81" i="3"/>
  <c r="AI90" i="3"/>
  <c r="AA58" i="3"/>
  <c r="AA97" i="3"/>
  <c r="AA55" i="3"/>
  <c r="AG86" i="3"/>
  <c r="AM47" i="3"/>
  <c r="V56" i="3"/>
  <c r="L67" i="3"/>
  <c r="AI74" i="3"/>
  <c r="V80" i="3"/>
  <c r="L80" i="3"/>
  <c r="H89" i="3"/>
  <c r="AI78" i="3"/>
  <c r="L68" i="3"/>
  <c r="H82" i="3"/>
  <c r="AM78" i="3"/>
  <c r="L66" i="3"/>
  <c r="AA59" i="3"/>
  <c r="AA76" i="3"/>
  <c r="AH57" i="3"/>
  <c r="J82" i="3"/>
  <c r="AK83" i="3"/>
  <c r="AA90" i="3"/>
  <c r="J50" i="3"/>
  <c r="L85" i="3"/>
  <c r="K95" i="3"/>
  <c r="V90" i="3"/>
  <c r="AQ62" i="3"/>
  <c r="R56" i="3"/>
  <c r="AK67" i="3"/>
  <c r="AK84" i="3"/>
  <c r="AI67" i="3"/>
  <c r="R61" i="3"/>
  <c r="AM68" i="3"/>
  <c r="AA60" i="3"/>
  <c r="J88" i="3"/>
  <c r="L50" i="3"/>
  <c r="AQ54" i="3"/>
  <c r="AM90" i="3"/>
  <c r="V74" i="3"/>
  <c r="AM49" i="3"/>
  <c r="AH54" i="3"/>
  <c r="AM65" i="3"/>
  <c r="AK92" i="3"/>
  <c r="AK73" i="3"/>
  <c r="V75" i="3"/>
  <c r="AH97" i="3"/>
  <c r="J87" i="3"/>
  <c r="AM48" i="3"/>
  <c r="L96" i="3"/>
  <c r="L48" i="3"/>
  <c r="AH62" i="3"/>
  <c r="R97" i="3"/>
  <c r="K89" i="3"/>
  <c r="AA88" i="3"/>
  <c r="AK93" i="3"/>
  <c r="R74" i="3"/>
  <c r="H84" i="3"/>
  <c r="AM88" i="3"/>
  <c r="AH96" i="3"/>
  <c r="K91" i="3"/>
  <c r="AH55" i="3"/>
  <c r="AI71" i="3"/>
  <c r="AK54" i="3"/>
  <c r="AI94" i="3"/>
  <c r="AH69" i="3"/>
  <c r="V47" i="3"/>
  <c r="AQ91" i="3"/>
  <c r="AK65" i="3"/>
  <c r="K93" i="3"/>
  <c r="K85" i="3"/>
  <c r="H67" i="3"/>
  <c r="L71" i="3"/>
  <c r="AH93" i="3"/>
  <c r="L82" i="3"/>
  <c r="AK89" i="3"/>
  <c r="H70" i="3"/>
  <c r="AQ58" i="3"/>
  <c r="AI88" i="3"/>
  <c r="AQ82" i="3"/>
  <c r="AG95" i="3"/>
  <c r="R83" i="3"/>
  <c r="J75" i="3"/>
  <c r="AG94" i="3"/>
  <c r="AH58" i="3"/>
  <c r="L64" i="3"/>
  <c r="AA91" i="3"/>
  <c r="J73" i="3"/>
  <c r="AA81" i="3"/>
  <c r="AQ95" i="3"/>
  <c r="AG71" i="3"/>
  <c r="R47" i="3"/>
  <c r="AI56" i="3"/>
  <c r="AK48" i="3"/>
  <c r="V96" i="3"/>
  <c r="L88" i="3"/>
  <c r="L56" i="3"/>
  <c r="H80" i="3"/>
  <c r="V64" i="3"/>
  <c r="AH61" i="3"/>
  <c r="L76" i="3"/>
  <c r="AH90" i="3"/>
  <c r="V48" i="3"/>
  <c r="AQ55" i="3"/>
  <c r="L49" i="3"/>
  <c r="AA94" i="3"/>
  <c r="AK79" i="3"/>
  <c r="AH88" i="3"/>
  <c r="AM77" i="3"/>
  <c r="AQ96" i="3"/>
  <c r="AQ65" i="3"/>
  <c r="J58" i="3"/>
  <c r="H59" i="3"/>
  <c r="J85" i="3"/>
  <c r="AH72" i="3"/>
  <c r="V85" i="3"/>
  <c r="AM74" i="3"/>
  <c r="H72" i="3"/>
  <c r="H90" i="3"/>
  <c r="AA82" i="3"/>
  <c r="AK86" i="3"/>
  <c r="V50" i="3"/>
  <c r="AA70" i="3"/>
  <c r="AQ75" i="3"/>
  <c r="AH60" i="3"/>
  <c r="AH59" i="3"/>
  <c r="AQ86" i="3"/>
  <c r="R76" i="3"/>
  <c r="AG97" i="3"/>
  <c r="J93" i="3"/>
  <c r="V73" i="3"/>
  <c r="AG89" i="3"/>
  <c r="AK87" i="3"/>
  <c r="AA77" i="3"/>
  <c r="AM67" i="3"/>
  <c r="J80" i="3"/>
  <c r="V57" i="3"/>
  <c r="AG88" i="3"/>
  <c r="AH71" i="3"/>
  <c r="L65" i="3"/>
  <c r="J47" i="3"/>
  <c r="AA64" i="3"/>
  <c r="AI79" i="3"/>
  <c r="J78" i="3"/>
  <c r="AI86" i="3"/>
  <c r="AG79" i="3"/>
  <c r="AM50" i="3"/>
  <c r="L73" i="3"/>
  <c r="V60" i="3"/>
  <c r="V78" i="3"/>
  <c r="AG57" i="3"/>
  <c r="H58" i="3"/>
  <c r="AA87" i="3"/>
  <c r="K72" i="3"/>
  <c r="AQ47" i="3"/>
  <c r="AG92" i="3"/>
  <c r="AA54" i="3"/>
  <c r="AK66" i="3"/>
  <c r="K67" i="3"/>
  <c r="R73" i="3"/>
  <c r="AM85" i="3"/>
  <c r="L89" i="3"/>
  <c r="AK90" i="3"/>
  <c r="AG78" i="3"/>
  <c r="AQ49" i="3"/>
  <c r="AG50" i="3"/>
  <c r="AM73" i="3"/>
  <c r="AA61" i="3"/>
  <c r="H95" i="3"/>
  <c r="AH81" i="3"/>
  <c r="J62" i="3"/>
  <c r="AM95" i="3"/>
  <c r="AA68" i="3"/>
  <c r="AK60" i="3"/>
  <c r="U93" i="3"/>
  <c r="L95" i="3"/>
  <c r="T73" i="3"/>
  <c r="AI57" i="3"/>
  <c r="O48" i="3"/>
  <c r="S95" i="3"/>
  <c r="R78" i="3"/>
  <c r="I93" i="3"/>
  <c r="Z68" i="3"/>
  <c r="T47" i="3"/>
  <c r="Q90" i="3"/>
  <c r="AG91" i="3"/>
  <c r="Y48" i="3"/>
  <c r="P62" i="3"/>
  <c r="O62" i="3"/>
  <c r="AM96" i="3"/>
  <c r="V66" i="3"/>
  <c r="AN48" i="3"/>
  <c r="N64" i="3"/>
  <c r="AK95" i="3"/>
  <c r="AH87" i="3"/>
  <c r="T75" i="3"/>
  <c r="AG90" i="3"/>
  <c r="AQ92" i="3"/>
  <c r="AI58" i="3"/>
  <c r="AI64" i="3"/>
  <c r="AK68" i="3"/>
  <c r="AK56" i="3"/>
  <c r="AM45" i="1"/>
  <c r="AT15" i="1"/>
  <c r="AV23" i="1"/>
  <c r="AU14" i="1"/>
  <c r="AX45" i="1"/>
  <c r="BC35" i="1"/>
  <c r="BU32" i="1"/>
  <c r="AJ74" i="1"/>
  <c r="BO35" i="1"/>
  <c r="BU15" i="1"/>
  <c r="AU46" i="1"/>
  <c r="BD13" i="1"/>
  <c r="BU9" i="1"/>
  <c r="BA9" i="1"/>
  <c r="AN24" i="1"/>
  <c r="AP15" i="1"/>
  <c r="AR13" i="1"/>
  <c r="AZ8" i="1"/>
  <c r="AN14" i="1"/>
  <c r="BR46" i="1"/>
  <c r="AR45" i="1"/>
  <c r="BT20" i="1"/>
  <c r="AZ9" i="1"/>
  <c r="BU25" i="1"/>
  <c r="AY47" i="1"/>
  <c r="BK39" i="1"/>
  <c r="AQ25" i="1"/>
  <c r="BM25" i="1"/>
  <c r="AV22" i="1"/>
  <c r="AO36" i="1"/>
  <c r="AT9" i="1"/>
  <c r="BF32" i="1"/>
  <c r="BF194" i="1" s="1"/>
  <c r="BC25" i="1"/>
  <c r="AU32" i="1"/>
  <c r="AU194" i="1" s="1"/>
  <c r="AP20" i="1"/>
  <c r="BG47" i="1"/>
  <c r="BS24" i="1"/>
  <c r="BB51" i="1"/>
  <c r="AS25" i="1"/>
  <c r="BW15" i="1"/>
  <c r="BQ35" i="1"/>
  <c r="BE24" i="1"/>
  <c r="BS8" i="1"/>
  <c r="BS231" i="1" s="1"/>
  <c r="BV46" i="1"/>
  <c r="BQ47" i="1"/>
  <c r="AW22" i="1"/>
  <c r="BR8" i="1"/>
  <c r="BR231" i="1" s="1"/>
  <c r="BK35" i="1"/>
  <c r="AV39" i="1"/>
  <c r="BR51" i="1"/>
  <c r="BW14" i="1"/>
  <c r="BC22" i="1"/>
  <c r="AT47" i="1"/>
  <c r="Q143" i="1"/>
  <c r="T164" i="1"/>
  <c r="BQ32" i="1"/>
  <c r="BQ194" i="1" s="1"/>
  <c r="N137" i="1"/>
  <c r="BN8" i="1"/>
  <c r="BH24" i="1"/>
  <c r="AY9" i="1"/>
  <c r="AT21" i="1"/>
  <c r="BC51" i="1"/>
  <c r="AI8" i="1"/>
  <c r="AT32" i="1"/>
  <c r="AT194" i="1" s="1"/>
  <c r="AT39" i="1"/>
  <c r="AX51" i="1"/>
  <c r="BN46" i="1"/>
  <c r="BA14" i="1"/>
  <c r="AM47" i="1"/>
  <c r="I146" i="1"/>
  <c r="BI45" i="1"/>
  <c r="BB24" i="1"/>
  <c r="BG24" i="1"/>
  <c r="BQ23" i="1"/>
  <c r="AN20" i="1"/>
  <c r="BV126" i="1"/>
  <c r="BW126" i="1" s="1"/>
  <c r="BN14" i="1"/>
  <c r="BF21" i="1"/>
  <c r="BU51" i="1"/>
  <c r="BR35" i="1"/>
  <c r="BP46" i="1"/>
  <c r="AN15" i="1"/>
  <c r="AU21" i="1"/>
  <c r="AS45" i="1"/>
  <c r="M155" i="1"/>
  <c r="N142" i="1"/>
  <c r="BD51" i="1"/>
  <c r="BG32" i="1"/>
  <c r="BG194" i="1" s="1"/>
  <c r="BU21" i="1"/>
  <c r="BB32" i="1"/>
  <c r="AY23" i="1"/>
  <c r="BW45" i="1"/>
  <c r="AY13" i="1"/>
  <c r="BO21" i="1"/>
  <c r="BI13" i="1"/>
  <c r="BW46" i="1"/>
  <c r="BQ13" i="1"/>
  <c r="BT21" i="1"/>
  <c r="BP22" i="1"/>
  <c r="BF20" i="1"/>
  <c r="BE35" i="1"/>
  <c r="BG13" i="1"/>
  <c r="AV20" i="1"/>
  <c r="AV46" i="1"/>
  <c r="BI51" i="1"/>
  <c r="AR15" i="1"/>
  <c r="BU24" i="1"/>
  <c r="B151" i="1"/>
  <c r="S125" i="1"/>
  <c r="AW15" i="1"/>
  <c r="BE22" i="1"/>
  <c r="BH20" i="1"/>
  <c r="AP32" i="1"/>
  <c r="BP15" i="1"/>
  <c r="AT13" i="1"/>
  <c r="AZ36" i="1"/>
  <c r="AZ252" i="1" s="1"/>
  <c r="BN9" i="1"/>
  <c r="AX14" i="1"/>
  <c r="BK47" i="1"/>
  <c r="AZ51" i="1"/>
  <c r="BG25" i="1"/>
  <c r="BI14" i="1"/>
  <c r="BT32" i="1"/>
  <c r="AR23" i="1"/>
  <c r="AY25" i="1"/>
  <c r="AQ32" i="1"/>
  <c r="BC23" i="1"/>
  <c r="BQ36" i="1"/>
  <c r="AS20" i="1"/>
  <c r="BB46" i="1"/>
  <c r="AT20" i="1"/>
  <c r="AW51" i="1"/>
  <c r="BA13" i="1"/>
  <c r="AP8" i="1"/>
  <c r="AP231" i="1" s="1"/>
  <c r="BQ46" i="1"/>
  <c r="BS35" i="1"/>
  <c r="BP14" i="1"/>
  <c r="BV24" i="1"/>
  <c r="AV8" i="1"/>
  <c r="AV231" i="1" s="1"/>
  <c r="BD24" i="1"/>
  <c r="BW8" i="1"/>
  <c r="BF45" i="1"/>
  <c r="BH147" i="1"/>
  <c r="BI147" i="1" s="1"/>
  <c r="W73" i="1"/>
  <c r="N172" i="1"/>
  <c r="AW25" i="1"/>
  <c r="BB23" i="1"/>
  <c r="AW21" i="1"/>
  <c r="BF23" i="1"/>
  <c r="BE23" i="1"/>
  <c r="W137" i="1"/>
  <c r="BD8" i="1"/>
  <c r="BJ39" i="1"/>
  <c r="BG39" i="1"/>
  <c r="BW32" i="1"/>
  <c r="BW194" i="1" s="1"/>
  <c r="AQ9" i="1"/>
  <c r="AP13" i="1"/>
  <c r="BB47" i="1"/>
  <c r="BN13" i="1"/>
  <c r="AU25" i="1"/>
  <c r="BI24" i="1"/>
  <c r="BJ47" i="1"/>
  <c r="BK24" i="1"/>
  <c r="AP23" i="1"/>
  <c r="BM36" i="1"/>
  <c r="AV14" i="1"/>
  <c r="AU45" i="1"/>
  <c r="AZ24" i="1"/>
  <c r="BS25" i="1"/>
  <c r="BM20" i="1"/>
  <c r="AO15" i="1"/>
  <c r="AV32" i="1"/>
  <c r="AV194" i="1" s="1"/>
  <c r="AR14" i="1"/>
  <c r="BV51" i="1"/>
  <c r="BG20" i="1"/>
  <c r="AO45" i="1"/>
  <c r="AO39" i="1"/>
  <c r="BT45" i="1"/>
  <c r="BH25" i="1"/>
  <c r="AQ46" i="1"/>
  <c r="AU22" i="1"/>
  <c r="BV153" i="1"/>
  <c r="D125" i="1"/>
  <c r="U124" i="1"/>
  <c r="K145" i="1"/>
  <c r="K180" i="1" s="1"/>
  <c r="AW13" i="1"/>
  <c r="AW36" i="1"/>
  <c r="BU46" i="1"/>
  <c r="AZ47" i="1"/>
  <c r="BQ25" i="1"/>
  <c r="BJ35" i="1"/>
  <c r="BS51" i="1"/>
  <c r="BN25" i="1"/>
  <c r="BI22" i="1"/>
  <c r="AT36" i="1"/>
  <c r="AQ36" i="1"/>
  <c r="BP39" i="1"/>
  <c r="BM46" i="1"/>
  <c r="AT25" i="1"/>
  <c r="AP47" i="1"/>
  <c r="BT47" i="1"/>
  <c r="BR21" i="1"/>
  <c r="BC13" i="1"/>
  <c r="AR25" i="1"/>
  <c r="AZ32" i="1"/>
  <c r="BI9" i="1"/>
  <c r="BV159" i="1"/>
  <c r="U127" i="1"/>
  <c r="BS46" i="1"/>
  <c r="BN47" i="1"/>
  <c r="BP25" i="1"/>
  <c r="AM73" i="1"/>
  <c r="BK32" i="1"/>
  <c r="BA8" i="1"/>
  <c r="AQ22" i="1"/>
  <c r="AI51" i="1"/>
  <c r="BP23" i="1"/>
  <c r="BG51" i="1"/>
  <c r="BS23" i="1"/>
  <c r="BK23" i="1"/>
  <c r="BV124" i="1"/>
  <c r="BW124" i="1" s="1"/>
  <c r="T145" i="1"/>
  <c r="T180" i="1" s="1"/>
  <c r="B144" i="1"/>
  <c r="B179" i="1" s="1"/>
  <c r="AQ23" i="1"/>
  <c r="AY8" i="1"/>
  <c r="AY10" i="1" s="1"/>
  <c r="BO46" i="1"/>
  <c r="BR14" i="1"/>
  <c r="BU13" i="1"/>
  <c r="AR35" i="1"/>
  <c r="BP24" i="1"/>
  <c r="AR8" i="1"/>
  <c r="AW46" i="1"/>
  <c r="BV118" i="1"/>
  <c r="BW118" i="1" s="1"/>
  <c r="R142" i="1"/>
  <c r="BI25" i="1"/>
  <c r="BV140" i="1"/>
  <c r="BW140" i="1" s="1"/>
  <c r="BX202" i="1" s="1"/>
  <c r="BV147" i="1"/>
  <c r="BW147" i="1" s="1"/>
  <c r="BV144" i="1"/>
  <c r="BV150" i="1"/>
  <c r="BW150" i="1" s="1"/>
  <c r="BV127" i="1"/>
  <c r="BW127" i="1" s="1"/>
  <c r="BV131" i="1"/>
  <c r="T150" i="1"/>
  <c r="N79" i="1"/>
  <c r="G144" i="1"/>
  <c r="G179" i="1" s="1"/>
  <c r="F146" i="1"/>
  <c r="I122" i="1"/>
  <c r="M140" i="1"/>
  <c r="T135" i="1"/>
  <c r="T131" i="1" s="1"/>
  <c r="B63" i="1"/>
  <c r="T172" i="1"/>
  <c r="E146" i="1"/>
  <c r="W127" i="1"/>
  <c r="C140" i="1"/>
  <c r="N67" i="1"/>
  <c r="P146" i="1"/>
  <c r="F67" i="1"/>
  <c r="C135" i="1"/>
  <c r="I79" i="1"/>
  <c r="Q132" i="1"/>
  <c r="Q126" i="1"/>
  <c r="Q154" i="1" s="1"/>
  <c r="V126" i="1"/>
  <c r="V154" i="1" s="1"/>
  <c r="K150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X194" i="1" s="1"/>
  <c r="AU8" i="1"/>
  <c r="BI36" i="1"/>
  <c r="AI45" i="1"/>
  <c r="BV32" i="1"/>
  <c r="AX21" i="1"/>
  <c r="AI21" i="1"/>
  <c r="BS14" i="1"/>
  <c r="BM24" i="1"/>
  <c r="BP20" i="1"/>
  <c r="BM32" i="1"/>
  <c r="BT14" i="1"/>
  <c r="BC39" i="1"/>
  <c r="BO22" i="1"/>
  <c r="BJ9" i="1"/>
  <c r="BJ10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118" i="1"/>
  <c r="BI118" i="1" s="1"/>
  <c r="BH160" i="1"/>
  <c r="N124" i="1"/>
  <c r="O125" i="1"/>
  <c r="H159" i="1"/>
  <c r="Q78" i="1"/>
  <c r="D74" i="1"/>
  <c r="I163" i="1"/>
  <c r="D147" i="1"/>
  <c r="K133" i="1"/>
  <c r="M118" i="1"/>
  <c r="H118" i="1"/>
  <c r="D172" i="1"/>
  <c r="E119" i="1"/>
  <c r="G140" i="1"/>
  <c r="N132" i="1"/>
  <c r="G127" i="1"/>
  <c r="G146" i="1"/>
  <c r="D140" i="1"/>
  <c r="F171" i="1"/>
  <c r="V118" i="1"/>
  <c r="N118" i="1"/>
  <c r="BP9" i="1"/>
  <c r="AR20" i="1"/>
  <c r="BR13" i="1"/>
  <c r="AT22" i="1"/>
  <c r="AT46" i="1"/>
  <c r="BB39" i="1"/>
  <c r="AV9" i="1"/>
  <c r="AV10" i="1" s="1"/>
  <c r="BK15" i="1"/>
  <c r="AP36" i="1"/>
  <c r="AP252" i="1" s="1"/>
  <c r="BG21" i="1"/>
  <c r="BQ21" i="1"/>
  <c r="BE45" i="1"/>
  <c r="AZ45" i="1"/>
  <c r="BN24" i="1"/>
  <c r="BS15" i="1"/>
  <c r="BK36" i="1"/>
  <c r="AO20" i="1"/>
  <c r="BS36" i="1"/>
  <c r="BS252" i="1" s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J145" i="1"/>
  <c r="J180" i="1" s="1"/>
  <c r="L127" i="1"/>
  <c r="U136" i="1"/>
  <c r="S135" i="1"/>
  <c r="S131" i="1" s="1"/>
  <c r="R151" i="1"/>
  <c r="F127" i="1"/>
  <c r="U73" i="1"/>
  <c r="D164" i="1"/>
  <c r="Q74" i="1"/>
  <c r="R172" i="1"/>
  <c r="Q73" i="1"/>
  <c r="I132" i="1"/>
  <c r="C146" i="1"/>
  <c r="M142" i="1"/>
  <c r="BK46" i="1"/>
  <c r="BE46" i="1"/>
  <c r="BT22" i="1"/>
  <c r="AI9" i="1"/>
  <c r="AI10" i="1" s="1"/>
  <c r="BR47" i="1"/>
  <c r="AR51" i="1"/>
  <c r="BR39" i="1"/>
  <c r="AN35" i="1"/>
  <c r="AP9" i="1"/>
  <c r="AP10" i="1" s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H143" i="1"/>
  <c r="BI143" i="1" s="1"/>
  <c r="BH135" i="1"/>
  <c r="BI135" i="1" s="1"/>
  <c r="BV163" i="1"/>
  <c r="BW163" i="1" s="1"/>
  <c r="U171" i="1"/>
  <c r="L124" i="1"/>
  <c r="B127" i="1"/>
  <c r="R153" i="1"/>
  <c r="R183" i="1" s="1"/>
  <c r="G145" i="1"/>
  <c r="G180" i="1" s="1"/>
  <c r="B150" i="1"/>
  <c r="J164" i="1"/>
  <c r="M67" i="1"/>
  <c r="Q122" i="1"/>
  <c r="R164" i="1"/>
  <c r="P118" i="1"/>
  <c r="T171" i="1"/>
  <c r="K127" i="1"/>
  <c r="I136" i="1"/>
  <c r="W150" i="1"/>
  <c r="Q163" i="1"/>
  <c r="B124" i="1"/>
  <c r="O117" i="1"/>
  <c r="K119" i="1"/>
  <c r="N140" i="1"/>
  <c r="BH36" i="1"/>
  <c r="BD22" i="1"/>
  <c r="AY22" i="1"/>
  <c r="BF47" i="1"/>
  <c r="AO51" i="1"/>
  <c r="BC20" i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N194" i="1" s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D118" i="1"/>
  <c r="U164" i="1"/>
  <c r="D145" i="1"/>
  <c r="D180" i="1" s="1"/>
  <c r="M137" i="1"/>
  <c r="W160" i="1"/>
  <c r="E145" i="1"/>
  <c r="E180" i="1" s="1"/>
  <c r="G132" i="1"/>
  <c r="C137" i="1"/>
  <c r="G79" i="1"/>
  <c r="N146" i="1"/>
  <c r="S140" i="1"/>
  <c r="L142" i="1"/>
  <c r="D142" i="1"/>
  <c r="V117" i="1"/>
  <c r="S117" i="1"/>
  <c r="I143" i="1"/>
  <c r="B78" i="1"/>
  <c r="M151" i="1"/>
  <c r="M147" i="1"/>
  <c r="H127" i="1"/>
  <c r="U135" i="1"/>
  <c r="U131" i="1" s="1"/>
  <c r="O160" i="1"/>
  <c r="BH32" i="1"/>
  <c r="BH194" i="1" s="1"/>
  <c r="AV51" i="1"/>
  <c r="BO25" i="1"/>
  <c r="BP32" i="1"/>
  <c r="BI8" i="1"/>
  <c r="BI231" i="1" s="1"/>
  <c r="AI46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AS13" i="1"/>
  <c r="AZ21" i="1"/>
  <c r="AI32" i="1"/>
  <c r="AI194" i="1" s="1"/>
  <c r="BV73" i="1"/>
  <c r="BV119" i="1"/>
  <c r="BV142" i="1"/>
  <c r="BW142" i="1" s="1"/>
  <c r="BH140" i="1"/>
  <c r="BI140" i="1" s="1"/>
  <c r="BJ202" i="1" s="1"/>
  <c r="BH127" i="1"/>
  <c r="BI127" i="1" s="1"/>
  <c r="K164" i="1"/>
  <c r="F164" i="1"/>
  <c r="O122" i="1"/>
  <c r="K137" i="1"/>
  <c r="O145" i="1"/>
  <c r="O180" i="1" s="1"/>
  <c r="F133" i="1"/>
  <c r="F135" i="1"/>
  <c r="F131" i="1" s="1"/>
  <c r="H67" i="1"/>
  <c r="P135" i="1"/>
  <c r="P131" i="1" s="1"/>
  <c r="O172" i="1"/>
  <c r="B172" i="1"/>
  <c r="W144" i="1"/>
  <c r="M119" i="1"/>
  <c r="K146" i="1"/>
  <c r="J142" i="1"/>
  <c r="V153" i="1"/>
  <c r="V183" i="1" s="1"/>
  <c r="E136" i="1"/>
  <c r="D170" i="1"/>
  <c r="H142" i="1"/>
  <c r="V136" i="1"/>
  <c r="BM14" i="1"/>
  <c r="BT25" i="1"/>
  <c r="BK8" i="1"/>
  <c r="BW23" i="1"/>
  <c r="BP45" i="1"/>
  <c r="AI15" i="1"/>
  <c r="BM15" i="1"/>
  <c r="BW21" i="1"/>
  <c r="BW9" i="1"/>
  <c r="BW10" i="1" s="1"/>
  <c r="BM39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B231" i="1" s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BN21" i="1"/>
  <c r="AX46" i="1"/>
  <c r="AM51" i="1"/>
  <c r="BJ74" i="1"/>
  <c r="AS21" i="1"/>
  <c r="AS26" i="1" s="1"/>
  <c r="AI35" i="1"/>
  <c r="AI37" i="1" s="1"/>
  <c r="AS46" i="1"/>
  <c r="BO8" i="1"/>
  <c r="BO10" i="1" s="1"/>
  <c r="AZ35" i="1"/>
  <c r="BH151" i="1"/>
  <c r="BI151" i="1" s="1"/>
  <c r="AI73" i="1"/>
  <c r="BH152" i="1"/>
  <c r="BI152" i="1" s="1"/>
  <c r="BV154" i="1"/>
  <c r="BW154" i="1" s="1"/>
  <c r="BV146" i="1"/>
  <c r="BW146" i="1" s="1"/>
  <c r="M124" i="1"/>
  <c r="T133" i="1"/>
  <c r="Q149" i="1"/>
  <c r="T78" i="1"/>
  <c r="G122" i="1"/>
  <c r="K118" i="1"/>
  <c r="O67" i="1"/>
  <c r="K77" i="1"/>
  <c r="E170" i="1"/>
  <c r="F163" i="1"/>
  <c r="F126" i="1"/>
  <c r="F154" i="1" s="1"/>
  <c r="C63" i="1"/>
  <c r="N73" i="1"/>
  <c r="V150" i="1"/>
  <c r="T132" i="1"/>
  <c r="S136" i="1"/>
  <c r="C144" i="1"/>
  <c r="C179" i="1" s="1"/>
  <c r="E163" i="1"/>
  <c r="P144" i="1"/>
  <c r="P179" i="1" s="1"/>
  <c r="BA47" i="1"/>
  <c r="BB35" i="1"/>
  <c r="BD9" i="1"/>
  <c r="BD25" i="1"/>
  <c r="AW32" i="1"/>
  <c r="AW194" i="1" s="1"/>
  <c r="AP39" i="1"/>
  <c r="AY35" i="1"/>
  <c r="BI23" i="1"/>
  <c r="BU39" i="1"/>
  <c r="AP22" i="1"/>
  <c r="AO46" i="1"/>
  <c r="BS9" i="1"/>
  <c r="BS10" i="1" s="1"/>
  <c r="BH8" i="1"/>
  <c r="AN46" i="1"/>
  <c r="AR47" i="1"/>
  <c r="BW35" i="1"/>
  <c r="AR32" i="1"/>
  <c r="AV25" i="1"/>
  <c r="BH22" i="1"/>
  <c r="AP45" i="1"/>
  <c r="BH15" i="1"/>
  <c r="BV20" i="1"/>
  <c r="BV26" i="1" s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H153" i="1"/>
  <c r="T74" i="1"/>
  <c r="S67" i="1"/>
  <c r="D160" i="1"/>
  <c r="M132" i="1"/>
  <c r="D126" i="1"/>
  <c r="D154" i="1" s="1"/>
  <c r="J143" i="1"/>
  <c r="E122" i="1"/>
  <c r="R127" i="1"/>
  <c r="L136" i="1"/>
  <c r="J73" i="1"/>
  <c r="H126" i="1"/>
  <c r="H154" i="1" s="1"/>
  <c r="W78" i="1"/>
  <c r="Q142" i="1"/>
  <c r="U117" i="1"/>
  <c r="E73" i="1"/>
  <c r="J125" i="1"/>
  <c r="V137" i="1"/>
  <c r="V147" i="1"/>
  <c r="H124" i="1"/>
  <c r="V78" i="1"/>
  <c r="U151" i="1"/>
  <c r="BO36" i="1"/>
  <c r="BO252" i="1" s="1"/>
  <c r="AU36" i="1"/>
  <c r="AU252" i="1" s="1"/>
  <c r="BS39" i="1"/>
  <c r="BU47" i="1"/>
  <c r="BU8" i="1"/>
  <c r="AY32" i="1"/>
  <c r="BH21" i="1"/>
  <c r="AY36" i="1"/>
  <c r="BO39" i="1"/>
  <c r="BP13" i="1"/>
  <c r="BS32" i="1"/>
  <c r="BA39" i="1"/>
  <c r="AR46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R253" i="1" s="1"/>
  <c r="BD21" i="1"/>
  <c r="AW14" i="1"/>
  <c r="AO14" i="1"/>
  <c r="AR24" i="1"/>
  <c r="AW24" i="1"/>
  <c r="BW24" i="1"/>
  <c r="BN36" i="1"/>
  <c r="BN32" i="1"/>
  <c r="AS14" i="1"/>
  <c r="BU20" i="1"/>
  <c r="BU26" i="1" s="1"/>
  <c r="AO8" i="1"/>
  <c r="AN13" i="1"/>
  <c r="BF39" i="1"/>
  <c r="AZ14" i="1"/>
  <c r="BC46" i="1"/>
  <c r="BI35" i="1"/>
  <c r="BO32" i="1"/>
  <c r="BO194" i="1" s="1"/>
  <c r="AU15" i="1"/>
  <c r="BG22" i="1"/>
  <c r="AX9" i="1"/>
  <c r="AX10" i="1" s="1"/>
  <c r="BM13" i="1"/>
  <c r="AU20" i="1"/>
  <c r="AU26" i="1" s="1"/>
  <c r="BT36" i="1"/>
  <c r="BT252" i="1" s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59" i="1"/>
  <c r="BH122" i="1"/>
  <c r="BI122" i="1" s="1"/>
  <c r="M145" i="1"/>
  <c r="M180" i="1" s="1"/>
  <c r="P124" i="1"/>
  <c r="V151" i="1"/>
  <c r="T170" i="1"/>
  <c r="S155" i="1"/>
  <c r="C159" i="1"/>
  <c r="H150" i="1"/>
  <c r="P142" i="1"/>
  <c r="I145" i="1"/>
  <c r="I180" i="1" s="1"/>
  <c r="M146" i="1"/>
  <c r="T77" i="1"/>
  <c r="K147" i="1"/>
  <c r="L119" i="1"/>
  <c r="H119" i="1"/>
  <c r="B135" i="1"/>
  <c r="Q147" i="1"/>
  <c r="W118" i="1"/>
  <c r="E150" i="1"/>
  <c r="S147" i="1"/>
  <c r="R132" i="1"/>
  <c r="H74" i="1"/>
  <c r="AJ73" i="1"/>
  <c r="AQ15" i="1"/>
  <c r="BA45" i="1"/>
  <c r="BI32" i="1"/>
  <c r="AQ20" i="1"/>
  <c r="BQ24" i="1"/>
  <c r="BR15" i="1"/>
  <c r="BJ73" i="1"/>
  <c r="AN39" i="1"/>
  <c r="BA51" i="1"/>
  <c r="BK20" i="1"/>
  <c r="AS32" i="1"/>
  <c r="AS194" i="1" s="1"/>
  <c r="BQ8" i="1"/>
  <c r="BR25" i="1"/>
  <c r="BT13" i="1"/>
  <c r="AO9" i="1"/>
  <c r="BA46" i="1"/>
  <c r="AU13" i="1"/>
  <c r="BG23" i="1"/>
  <c r="BN45" i="1"/>
  <c r="BB9" i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I149" i="1" s="1"/>
  <c r="BV145" i="1"/>
  <c r="BV125" i="1"/>
  <c r="BW125" i="1" s="1"/>
  <c r="BH126" i="1"/>
  <c r="BI126" i="1" s="1"/>
  <c r="BV151" i="1"/>
  <c r="BW151" i="1" s="1"/>
  <c r="BH131" i="1"/>
  <c r="U146" i="1"/>
  <c r="E137" i="1"/>
  <c r="U122" i="1"/>
  <c r="I171" i="1"/>
  <c r="S151" i="1"/>
  <c r="V122" i="1"/>
  <c r="G118" i="1"/>
  <c r="S127" i="1"/>
  <c r="D127" i="1"/>
  <c r="B153" i="1"/>
  <c r="B183" i="1" s="1"/>
  <c r="I126" i="1"/>
  <c r="I154" i="1" s="1"/>
  <c r="I118" i="1"/>
  <c r="Q164" i="1"/>
  <c r="H135" i="1"/>
  <c r="H131" i="1" s="1"/>
  <c r="J137" i="1"/>
  <c r="G149" i="1"/>
  <c r="B133" i="1"/>
  <c r="P151" i="1"/>
  <c r="BP51" i="1"/>
  <c r="BC36" i="1"/>
  <c r="BC252" i="1" s="1"/>
  <c r="BE51" i="1"/>
  <c r="AN47" i="1"/>
  <c r="AS51" i="1"/>
  <c r="BT51" i="1"/>
  <c r="BF25" i="1"/>
  <c r="BM9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AQ231" i="1" s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W25" i="1"/>
  <c r="AT45" i="1"/>
  <c r="AQ39" i="1"/>
  <c r="BJ32" i="1"/>
  <c r="BJ253" i="1" s="1"/>
  <c r="AS39" i="1"/>
  <c r="BH9" i="1"/>
  <c r="BQ22" i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44" i="1"/>
  <c r="E172" i="1"/>
  <c r="R133" i="1"/>
  <c r="J132" i="1"/>
  <c r="C117" i="1"/>
  <c r="F137" i="1"/>
  <c r="T119" i="1"/>
  <c r="B160" i="1"/>
  <c r="W126" i="1"/>
  <c r="W154" i="1" s="1"/>
  <c r="I125" i="1"/>
  <c r="L171" i="1"/>
  <c r="M79" i="1"/>
  <c r="N135" i="1"/>
  <c r="N131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V202" i="1" s="1"/>
  <c r="K122" i="1"/>
  <c r="G170" i="1"/>
  <c r="G173" i="1" s="1"/>
  <c r="Q150" i="1"/>
  <c r="O124" i="1"/>
  <c r="O128" i="1" s="1"/>
  <c r="L160" i="1"/>
  <c r="L161" i="1" s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Q134" i="1" s="1"/>
  <c r="J149" i="1"/>
  <c r="H160" i="1"/>
  <c r="H161" i="1" s="1"/>
  <c r="M133" i="1"/>
  <c r="E149" i="1"/>
  <c r="C160" i="1"/>
  <c r="C147" i="1"/>
  <c r="K135" i="1"/>
  <c r="K131" i="1" s="1"/>
  <c r="N145" i="1"/>
  <c r="N180" i="1" s="1"/>
  <c r="N160" i="1"/>
  <c r="S149" i="1"/>
  <c r="C132" i="1"/>
  <c r="M73" i="1"/>
  <c r="S171" i="1"/>
  <c r="S119" i="1"/>
  <c r="L155" i="1"/>
  <c r="C131" i="1"/>
  <c r="O132" i="1"/>
  <c r="D135" i="1"/>
  <c r="S160" i="1"/>
  <c r="S161" i="1" s="1"/>
  <c r="T209" i="1" s="1"/>
  <c r="D131" i="1"/>
  <c r="D134" i="1" s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P134" i="1" s="1"/>
  <c r="H170" i="1"/>
  <c r="I140" i="1"/>
  <c r="J202" i="1" s="1"/>
  <c r="G67" i="1"/>
  <c r="U163" i="1"/>
  <c r="E79" i="1"/>
  <c r="B117" i="1"/>
  <c r="B120" i="1" s="1"/>
  <c r="M122" i="1"/>
  <c r="P170" i="1"/>
  <c r="F140" i="1"/>
  <c r="G202" i="1" s="1"/>
  <c r="T147" i="1"/>
  <c r="O144" i="1"/>
  <c r="O179" i="1" s="1"/>
  <c r="S144" i="1"/>
  <c r="S179" i="1" s="1"/>
  <c r="O164" i="1"/>
  <c r="R147" i="1"/>
  <c r="N74" i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S202" i="1" s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17" i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H120" i="1" s="1"/>
  <c r="H54" i="1" s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B161" i="1" s="1"/>
  <c r="C209" i="1" s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BT131" i="1"/>
  <c r="BP155" i="1"/>
  <c r="BQ155" i="1" s="1"/>
  <c r="BF125" i="1"/>
  <c r="BG125" i="1" s="1"/>
  <c r="BI73" i="1"/>
  <c r="AX144" i="1"/>
  <c r="AZ152" i="1"/>
  <c r="BA152" i="1" s="1"/>
  <c r="BD135" i="1"/>
  <c r="BE135" i="1" s="1"/>
  <c r="AZ117" i="1"/>
  <c r="BA117" i="1" s="1"/>
  <c r="BN164" i="1"/>
  <c r="BO164" i="1" s="1"/>
  <c r="BT151" i="1"/>
  <c r="BU151" i="1" s="1"/>
  <c r="BW74" i="1"/>
  <c r="AX151" i="1"/>
  <c r="AY151" i="1" s="1"/>
  <c r="AZ131" i="1"/>
  <c r="AV135" i="1"/>
  <c r="AW135" i="1" s="1"/>
  <c r="AQ73" i="1"/>
  <c r="AZ160" i="1"/>
  <c r="AW73" i="1"/>
  <c r="BP126" i="1"/>
  <c r="BQ126" i="1" s="1"/>
  <c r="AZ142" i="1"/>
  <c r="BA142" i="1" s="1"/>
  <c r="BT117" i="1"/>
  <c r="BU117" i="1" s="1"/>
  <c r="BD149" i="1"/>
  <c r="BE149" i="1" s="1"/>
  <c r="BT152" i="1"/>
  <c r="BU152" i="1" s="1"/>
  <c r="BP144" i="1"/>
  <c r="AT159" i="1"/>
  <c r="BF164" i="1"/>
  <c r="BG164" i="1" s="1"/>
  <c r="AZ135" i="1"/>
  <c r="BA135" i="1" s="1"/>
  <c r="BT146" i="1"/>
  <c r="BU146" i="1" s="1"/>
  <c r="BP142" i="1"/>
  <c r="BQ142" i="1" s="1"/>
  <c r="BB124" i="1"/>
  <c r="BF117" i="1"/>
  <c r="BG117" i="1" s="1"/>
  <c r="AZ147" i="1"/>
  <c r="BA147" i="1" s="1"/>
  <c r="AV144" i="1"/>
  <c r="AV179" i="1" s="1"/>
  <c r="AW179" i="1" s="1"/>
  <c r="BP119" i="1"/>
  <c r="AT125" i="1"/>
  <c r="AU125" i="1" s="1"/>
  <c r="BF132" i="1"/>
  <c r="AT122" i="1"/>
  <c r="AU122" i="1" s="1"/>
  <c r="AP140" i="1"/>
  <c r="AV140" i="1"/>
  <c r="AV150" i="1"/>
  <c r="AW150" i="1" s="1"/>
  <c r="AN118" i="1"/>
  <c r="AO118" i="1" s="1"/>
  <c r="BE74" i="1"/>
  <c r="BR151" i="1"/>
  <c r="BS151" i="1" s="1"/>
  <c r="AX150" i="1"/>
  <c r="AY150" i="1" s="1"/>
  <c r="BN146" i="1"/>
  <c r="BO146" i="1" s="1"/>
  <c r="BR144" i="1"/>
  <c r="BD131" i="1"/>
  <c r="BA74" i="1"/>
  <c r="BP145" i="1"/>
  <c r="BC73" i="1"/>
  <c r="BD151" i="1"/>
  <c r="BE151" i="1" s="1"/>
  <c r="BR145" i="1"/>
  <c r="AV149" i="1"/>
  <c r="AW149" i="1" s="1"/>
  <c r="BN142" i="1"/>
  <c r="BO142" i="1" s="1"/>
  <c r="AZ144" i="1"/>
  <c r="AZ179" i="1" s="1"/>
  <c r="BA179" i="1" s="1"/>
  <c r="BP117" i="1"/>
  <c r="BQ117" i="1" s="1"/>
  <c r="BP132" i="1"/>
  <c r="BD164" i="1"/>
  <c r="BE164" i="1" s="1"/>
  <c r="AV117" i="1"/>
  <c r="AW117" i="1" s="1"/>
  <c r="AZ140" i="1"/>
  <c r="BA140" i="1" s="1"/>
  <c r="AV125" i="1"/>
  <c r="AW125" i="1" s="1"/>
  <c r="AV133" i="1"/>
  <c r="AR118" i="1"/>
  <c r="AS118" i="1" s="1"/>
  <c r="AN150" i="1"/>
  <c r="AO150" i="1" s="1"/>
  <c r="AV164" i="1"/>
  <c r="AW164" i="1" s="1"/>
  <c r="AV73" i="1"/>
  <c r="BT140" i="1"/>
  <c r="BF150" i="1"/>
  <c r="BG150" i="1" s="1"/>
  <c r="AV151" i="1"/>
  <c r="AW151" i="1" s="1"/>
  <c r="BB145" i="1"/>
  <c r="AT118" i="1"/>
  <c r="AU118" i="1" s="1"/>
  <c r="BO73" i="1"/>
  <c r="BB140" i="1"/>
  <c r="BC140" i="1" s="1"/>
  <c r="BD117" i="1"/>
  <c r="BR135" i="1"/>
  <c r="BS135" i="1" s="1"/>
  <c r="BF160" i="1"/>
  <c r="BP153" i="1"/>
  <c r="BN159" i="1"/>
  <c r="AZ126" i="1"/>
  <c r="BA126" i="1" s="1"/>
  <c r="BR118" i="1"/>
  <c r="BS118" i="1" s="1"/>
  <c r="BQ74" i="1"/>
  <c r="AT126" i="1"/>
  <c r="AU126" i="1" s="1"/>
  <c r="AZ122" i="1"/>
  <c r="BA122" i="1" s="1"/>
  <c r="BD163" i="1"/>
  <c r="BE163" i="1" s="1"/>
  <c r="BD122" i="1"/>
  <c r="BE122" i="1" s="1"/>
  <c r="BT119" i="1"/>
  <c r="AZ155" i="1"/>
  <c r="BA155" i="1" s="1"/>
  <c r="BF135" i="1"/>
  <c r="BG135" i="1" s="1"/>
  <c r="AQ74" i="1"/>
  <c r="BD146" i="1"/>
  <c r="BE146" i="1" s="1"/>
  <c r="BD124" i="1"/>
  <c r="BE124" i="1" s="1"/>
  <c r="BT135" i="1"/>
  <c r="BU135" i="1" s="1"/>
  <c r="BR164" i="1"/>
  <c r="BS164" i="1" s="1"/>
  <c r="AT150" i="1"/>
  <c r="AX132" i="1"/>
  <c r="BN133" i="1"/>
  <c r="AY73" i="1"/>
  <c r="BR142" i="1"/>
  <c r="BS142" i="1" s="1"/>
  <c r="BD145" i="1"/>
  <c r="BT154" i="1"/>
  <c r="BU154" i="1" s="1"/>
  <c r="BP151" i="1"/>
  <c r="BQ151" i="1" s="1"/>
  <c r="AZ118" i="1"/>
  <c r="BA118" i="1" s="1"/>
  <c r="AX126" i="1"/>
  <c r="AY126" i="1" s="1"/>
  <c r="BR155" i="1"/>
  <c r="BS155" i="1" s="1"/>
  <c r="AT154" i="1"/>
  <c r="AU154" i="1" s="1"/>
  <c r="AT117" i="1"/>
  <c r="AZ163" i="1"/>
  <c r="BA163" i="1" s="1"/>
  <c r="AZ150" i="1"/>
  <c r="BA150" i="1" s="1"/>
  <c r="BF119" i="1"/>
  <c r="BD119" i="1"/>
  <c r="BG74" i="1"/>
  <c r="BF122" i="1"/>
  <c r="BG122" i="1" s="1"/>
  <c r="BD142" i="1"/>
  <c r="BE142" i="1" s="1"/>
  <c r="BK73" i="1"/>
  <c r="BN153" i="1"/>
  <c r="BT145" i="1"/>
  <c r="BF126" i="1"/>
  <c r="BG126" i="1" s="1"/>
  <c r="BT150" i="1"/>
  <c r="BU150" i="1" s="1"/>
  <c r="AP144" i="1"/>
  <c r="AN152" i="1"/>
  <c r="AO152" i="1" s="1"/>
  <c r="BP125" i="1"/>
  <c r="BQ125" i="1" s="1"/>
  <c r="BP152" i="1"/>
  <c r="BQ152" i="1" s="1"/>
  <c r="AV74" i="1"/>
  <c r="AV118" i="1"/>
  <c r="AW118" i="1" s="1"/>
  <c r="BI74" i="1"/>
  <c r="AS74" i="1"/>
  <c r="AV127" i="1"/>
  <c r="AW127" i="1" s="1"/>
  <c r="AV152" i="1"/>
  <c r="AW152" i="1" s="1"/>
  <c r="BR124" i="1"/>
  <c r="BS124" i="1" s="1"/>
  <c r="AV142" i="1"/>
  <c r="AW142" i="1" s="1"/>
  <c r="BB73" i="1"/>
  <c r="AZ146" i="1"/>
  <c r="BA146" i="1" s="1"/>
  <c r="BD159" i="1"/>
  <c r="BR154" i="1"/>
  <c r="BS154" i="1" s="1"/>
  <c r="BT132" i="1"/>
  <c r="BK74" i="1"/>
  <c r="BB125" i="1"/>
  <c r="BC125" i="1" s="1"/>
  <c r="AT152" i="1"/>
  <c r="AU152" i="1" s="1"/>
  <c r="BC74" i="1"/>
  <c r="BF152" i="1"/>
  <c r="BG152" i="1" s="1"/>
  <c r="BD144" i="1"/>
  <c r="BB144" i="1"/>
  <c r="BT155" i="1"/>
  <c r="BU155" i="1" s="1"/>
  <c r="BP150" i="1"/>
  <c r="BQ150" i="1" s="1"/>
  <c r="BT73" i="1"/>
  <c r="AX159" i="1"/>
  <c r="AX164" i="1"/>
  <c r="AY164" i="1" s="1"/>
  <c r="BU73" i="1"/>
  <c r="BF127" i="1"/>
  <c r="BG127" i="1" s="1"/>
  <c r="BD133" i="1"/>
  <c r="BR152" i="1"/>
  <c r="BS152" i="1" s="1"/>
  <c r="BR119" i="1"/>
  <c r="BR125" i="1"/>
  <c r="BS125" i="1" s="1"/>
  <c r="BR117" i="1"/>
  <c r="BF149" i="1"/>
  <c r="BG149" i="1" s="1"/>
  <c r="BP160" i="1"/>
  <c r="BR147" i="1"/>
  <c r="BS147" i="1" s="1"/>
  <c r="BF133" i="1"/>
  <c r="BP147" i="1"/>
  <c r="BQ147" i="1" s="1"/>
  <c r="BM73" i="1"/>
  <c r="BR163" i="1"/>
  <c r="BS163" i="1" s="1"/>
  <c r="BR153" i="1"/>
  <c r="BB155" i="1"/>
  <c r="BC155" i="1" s="1"/>
  <c r="AZ159" i="1"/>
  <c r="BD155" i="1"/>
  <c r="BE155" i="1" s="1"/>
  <c r="AT160" i="1"/>
  <c r="AT124" i="1"/>
  <c r="AU124" i="1" s="1"/>
  <c r="AT142" i="1"/>
  <c r="AZ125" i="1"/>
  <c r="BA125" i="1" s="1"/>
  <c r="BP118" i="1"/>
  <c r="BQ118" i="1" s="1"/>
  <c r="BF159" i="1"/>
  <c r="BF73" i="1"/>
  <c r="BD125" i="1"/>
  <c r="BE125" i="1" s="1"/>
  <c r="BT122" i="1"/>
  <c r="BU122" i="1" s="1"/>
  <c r="BT142" i="1"/>
  <c r="BU142" i="1" s="1"/>
  <c r="AP164" i="1"/>
  <c r="AQ164" i="1" s="1"/>
  <c r="BD154" i="1"/>
  <c r="BE154" i="1" s="1"/>
  <c r="BT163" i="1"/>
  <c r="BU163" i="1" s="1"/>
  <c r="BP135" i="1"/>
  <c r="BQ135" i="1" s="1"/>
  <c r="BP164" i="1"/>
  <c r="BQ164" i="1" s="1"/>
  <c r="AP117" i="1"/>
  <c r="AQ117" i="1" s="1"/>
  <c r="AR140" i="1"/>
  <c r="AS140" i="1" s="1"/>
  <c r="AP131" i="1"/>
  <c r="AR132" i="1"/>
  <c r="BD132" i="1"/>
  <c r="AN144" i="1"/>
  <c r="AV119" i="1"/>
  <c r="BT149" i="1"/>
  <c r="BU149" i="1" s="1"/>
  <c r="AN149" i="1"/>
  <c r="AO149" i="1" s="1"/>
  <c r="AT132" i="1"/>
  <c r="AT73" i="1"/>
  <c r="AV147" i="1"/>
  <c r="AW147" i="1" s="1"/>
  <c r="AV143" i="1"/>
  <c r="AZ10" i="1"/>
  <c r="BR137" i="1"/>
  <c r="BS137" i="1" s="1"/>
  <c r="BF143" i="1"/>
  <c r="AP194" i="1"/>
  <c r="AP253" i="1"/>
  <c r="AZ231" i="1"/>
  <c r="AI183" i="1"/>
  <c r="AI185" i="1"/>
  <c r="AI182" i="1"/>
  <c r="BW253" i="1"/>
  <c r="BB194" i="1"/>
  <c r="AI203" i="1"/>
  <c r="AI201" i="1" s="1"/>
  <c r="BD252" i="1"/>
  <c r="AL98" i="1"/>
  <c r="AL99" i="1" s="1"/>
  <c r="AL104" i="1" s="1"/>
  <c r="AY231" i="1"/>
  <c r="AI180" i="1"/>
  <c r="AI33" i="1"/>
  <c r="AQ252" i="1"/>
  <c r="AQ10" i="1"/>
  <c r="BT194" i="1"/>
  <c r="BU194" i="1"/>
  <c r="BK253" i="1"/>
  <c r="BK194" i="1"/>
  <c r="BK33" i="1"/>
  <c r="BK203" i="1"/>
  <c r="BK201" i="1" s="1"/>
  <c r="BK231" i="1"/>
  <c r="AV252" i="1"/>
  <c r="BW231" i="1"/>
  <c r="BZ98" i="1"/>
  <c r="BZ99" i="1" s="1"/>
  <c r="AQ253" i="1"/>
  <c r="AQ194" i="1"/>
  <c r="BN10" i="1"/>
  <c r="BW252" i="1"/>
  <c r="AV253" i="1"/>
  <c r="BC253" i="1"/>
  <c r="BG231" i="1"/>
  <c r="BC26" i="1"/>
  <c r="AX231" i="1"/>
  <c r="AZ253" i="1"/>
  <c r="AZ194" i="1"/>
  <c r="BA194" i="1"/>
  <c r="AW252" i="1"/>
  <c r="AI179" i="1"/>
  <c r="AI231" i="1"/>
  <c r="BI202" i="1"/>
  <c r="CQ134" i="1"/>
  <c r="DB77" i="1"/>
  <c r="CY65" i="1"/>
  <c r="CZ63" i="1"/>
  <c r="C65" i="1" l="1"/>
  <c r="BM26" i="1"/>
  <c r="D202" i="1"/>
  <c r="U120" i="1"/>
  <c r="E128" i="1"/>
  <c r="J161" i="1"/>
  <c r="M161" i="1"/>
  <c r="G161" i="1"/>
  <c r="J173" i="1"/>
  <c r="K202" i="1"/>
  <c r="N173" i="1"/>
  <c r="AX140" i="1"/>
  <c r="AY140" i="1" s="1"/>
  <c r="AZ153" i="1"/>
  <c r="AZ183" i="1" s="1"/>
  <c r="BA183" i="1" s="1"/>
  <c r="BR126" i="1"/>
  <c r="BS126" i="1" s="1"/>
  <c r="AZ154" i="1"/>
  <c r="BA154" i="1" s="1"/>
  <c r="BP73" i="1"/>
  <c r="AP146" i="1"/>
  <c r="AQ146" i="1" s="1"/>
  <c r="BR159" i="1"/>
  <c r="BF74" i="1"/>
  <c r="BF147" i="1"/>
  <c r="BG147" i="1" s="1"/>
  <c r="BN119" i="1"/>
  <c r="AX118" i="1"/>
  <c r="AY118" i="1" s="1"/>
  <c r="BN126" i="1"/>
  <c r="BO126" i="1" s="1"/>
  <c r="AP125" i="1"/>
  <c r="AQ125" i="1" s="1"/>
  <c r="AT131" i="1"/>
  <c r="BF154" i="1"/>
  <c r="BG154" i="1" s="1"/>
  <c r="BR127" i="1"/>
  <c r="BS127" i="1" s="1"/>
  <c r="BD147" i="1"/>
  <c r="BE147" i="1" s="1"/>
  <c r="AP143" i="1"/>
  <c r="AQ143" i="1" s="1"/>
  <c r="BB135" i="1"/>
  <c r="BC135" i="1" s="1"/>
  <c r="AN117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BD152" i="1"/>
  <c r="BE152" i="1" s="1"/>
  <c r="BG73" i="1"/>
  <c r="BD160" i="1"/>
  <c r="BM74" i="1"/>
  <c r="BN127" i="1"/>
  <c r="BO127" i="1" s="1"/>
  <c r="BR132" i="1"/>
  <c r="BP124" i="1"/>
  <c r="BQ124" i="1" s="1"/>
  <c r="BT74" i="1"/>
  <c r="AR143" i="1"/>
  <c r="AS143" i="1" s="1"/>
  <c r="BF118" i="1"/>
  <c r="BG118" i="1" s="1"/>
  <c r="AX73" i="1"/>
  <c r="AX147" i="1"/>
  <c r="AY147" i="1" s="1"/>
  <c r="AX152" i="1"/>
  <c r="AY152" i="1" s="1"/>
  <c r="BP131" i="1"/>
  <c r="BW73" i="1"/>
  <c r="BN155" i="1"/>
  <c r="BO155" i="1" s="1"/>
  <c r="BR149" i="1"/>
  <c r="BS149" i="1" s="1"/>
  <c r="BR73" i="1"/>
  <c r="BB74" i="1"/>
  <c r="BD74" i="1"/>
  <c r="BN125" i="1"/>
  <c r="BO125" i="1" s="1"/>
  <c r="BB146" i="1"/>
  <c r="BC146" i="1" s="1"/>
  <c r="BB132" i="1"/>
  <c r="AN122" i="1"/>
  <c r="AO122" i="1" s="1"/>
  <c r="BB126" i="1"/>
  <c r="BC126" i="1" s="1"/>
  <c r="BP140" i="1"/>
  <c r="BQ140" i="1" s="1"/>
  <c r="AN74" i="1"/>
  <c r="AX122" i="1"/>
  <c r="AY122" i="1" s="1"/>
  <c r="AX160" i="1"/>
  <c r="BB119" i="1"/>
  <c r="AZ145" i="1"/>
  <c r="AZ180" i="1" s="1"/>
  <c r="BA180" i="1" s="1"/>
  <c r="BT144" i="1"/>
  <c r="AP119" i="1"/>
  <c r="AT133" i="1"/>
  <c r="BN132" i="1"/>
  <c r="AY74" i="1"/>
  <c r="BB160" i="1"/>
  <c r="BT153" i="1"/>
  <c r="BR146" i="1"/>
  <c r="BS146" i="1" s="1"/>
  <c r="BB127" i="1"/>
  <c r="BC127" i="1" s="1"/>
  <c r="AT144" i="1"/>
  <c r="BT159" i="1"/>
  <c r="AP124" i="1"/>
  <c r="AQ124" i="1" s="1"/>
  <c r="BD126" i="1"/>
  <c r="BE126" i="1" s="1"/>
  <c r="AP150" i="1"/>
  <c r="AQ150" i="1" s="1"/>
  <c r="AV159" i="1"/>
  <c r="AR119" i="1"/>
  <c r="AR142" i="1"/>
  <c r="AS142" i="1" s="1"/>
  <c r="AP163" i="1"/>
  <c r="AQ163" i="1" s="1"/>
  <c r="AP142" i="1"/>
  <c r="AN137" i="1"/>
  <c r="AO137" i="1" s="1"/>
  <c r="AV126" i="1"/>
  <c r="AW126" i="1" s="1"/>
  <c r="AR154" i="1"/>
  <c r="AS154" i="1" s="1"/>
  <c r="AR152" i="1"/>
  <c r="AS152" i="1" s="1"/>
  <c r="BP159" i="1"/>
  <c r="AR124" i="1"/>
  <c r="AN160" i="1"/>
  <c r="AR153" i="1"/>
  <c r="AR183" i="1" s="1"/>
  <c r="AN126" i="1"/>
  <c r="AO126" i="1" s="1"/>
  <c r="AR122" i="1"/>
  <c r="AS122" i="1" s="1"/>
  <c r="AR146" i="1"/>
  <c r="AS146" i="1" s="1"/>
  <c r="BB131" i="1"/>
  <c r="AU73" i="1"/>
  <c r="AR160" i="1"/>
  <c r="AV153" i="1"/>
  <c r="AV183" i="1" s="1"/>
  <c r="AT153" i="1"/>
  <c r="AR73" i="1"/>
  <c r="BO74" i="1"/>
  <c r="AP133" i="1"/>
  <c r="BN73" i="1"/>
  <c r="AV160" i="1"/>
  <c r="AR144" i="1"/>
  <c r="AR179" i="1" s="1"/>
  <c r="AS179" i="1" s="1"/>
  <c r="BP149" i="1"/>
  <c r="BQ149" i="1" s="1"/>
  <c r="BT127" i="1"/>
  <c r="BU127" i="1" s="1"/>
  <c r="AR147" i="1"/>
  <c r="AS147" i="1" s="1"/>
  <c r="AX163" i="1"/>
  <c r="AY163" i="1" s="1"/>
  <c r="BB153" i="1"/>
  <c r="AX155" i="1"/>
  <c r="AY155" i="1" s="1"/>
  <c r="AX131" i="1"/>
  <c r="BN144" i="1"/>
  <c r="BF145" i="1"/>
  <c r="BS73" i="1"/>
  <c r="AT135" i="1"/>
  <c r="AU135" i="1" s="1"/>
  <c r="BB154" i="1"/>
  <c r="BC154" i="1" s="1"/>
  <c r="AX119" i="1"/>
  <c r="AX135" i="1"/>
  <c r="AY135" i="1" s="1"/>
  <c r="AX145" i="1"/>
  <c r="AX180" i="1" s="1"/>
  <c r="AY180" i="1" s="1"/>
  <c r="AZ133" i="1"/>
  <c r="BF153" i="1"/>
  <c r="BD150" i="1"/>
  <c r="BE150" i="1" s="1"/>
  <c r="BN150" i="1"/>
  <c r="BO150" i="1" s="1"/>
  <c r="BR74" i="1"/>
  <c r="AZ127" i="1"/>
  <c r="BA127" i="1" s="1"/>
  <c r="BP74" i="1"/>
  <c r="AV154" i="1"/>
  <c r="AW154" i="1" s="1"/>
  <c r="BN74" i="1"/>
  <c r="AN164" i="1"/>
  <c r="AO164" i="1" s="1"/>
  <c r="AO73" i="1"/>
  <c r="AX149" i="1"/>
  <c r="AX137" i="1"/>
  <c r="AY137" i="1" s="1"/>
  <c r="BE73" i="1"/>
  <c r="BN163" i="1"/>
  <c r="BO163" i="1" s="1"/>
  <c r="BN124" i="1"/>
  <c r="BN145" i="1"/>
  <c r="BN154" i="1"/>
  <c r="BO154" i="1" s="1"/>
  <c r="BB149" i="1"/>
  <c r="BC149" i="1" s="1"/>
  <c r="AZ151" i="1"/>
  <c r="BA151" i="1" s="1"/>
  <c r="BF142" i="1"/>
  <c r="BG142" i="1" s="1"/>
  <c r="BT160" i="1"/>
  <c r="BP143" i="1"/>
  <c r="BQ143" i="1" s="1"/>
  <c r="AP118" i="1"/>
  <c r="AQ118" i="1" s="1"/>
  <c r="BN147" i="1"/>
  <c r="BO147" i="1" s="1"/>
  <c r="BR133" i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BB150" i="1"/>
  <c r="BC150" i="1" s="1"/>
  <c r="BD140" i="1"/>
  <c r="BE140" i="1" s="1"/>
  <c r="AP74" i="1"/>
  <c r="AZ164" i="1"/>
  <c r="BA164" i="1" s="1"/>
  <c r="BF140" i="1"/>
  <c r="BG140" i="1" s="1"/>
  <c r="BP122" i="1"/>
  <c r="BQ122" i="1" s="1"/>
  <c r="AP122" i="1"/>
  <c r="AQ122" i="1" s="1"/>
  <c r="AT143" i="1"/>
  <c r="AU143" i="1" s="1"/>
  <c r="AT119" i="1"/>
  <c r="BB133" i="1"/>
  <c r="BB142" i="1"/>
  <c r="BC142" i="1" s="1"/>
  <c r="AZ149" i="1"/>
  <c r="BA149" i="1" s="1"/>
  <c r="BP146" i="1"/>
  <c r="BQ146" i="1" s="1"/>
  <c r="AN146" i="1"/>
  <c r="AO146" i="1" s="1"/>
  <c r="BD153" i="1"/>
  <c r="AN159" i="1"/>
  <c r="AP126" i="1"/>
  <c r="AQ126" i="1" s="1"/>
  <c r="AV146" i="1"/>
  <c r="AW146" i="1" s="1"/>
  <c r="AR125" i="1"/>
  <c r="AS125" i="1" s="1"/>
  <c r="AR74" i="1"/>
  <c r="BT147" i="1"/>
  <c r="BU147" i="1" s="1"/>
  <c r="AN163" i="1"/>
  <c r="AO163" i="1" s="1"/>
  <c r="AP127" i="1"/>
  <c r="AQ127" i="1" s="1"/>
  <c r="AV163" i="1"/>
  <c r="AW163" i="1" s="1"/>
  <c r="AR117" i="1"/>
  <c r="BD73" i="1"/>
  <c r="AP153" i="1"/>
  <c r="BP133" i="1"/>
  <c r="AN147" i="1"/>
  <c r="AO147" i="1" s="1"/>
  <c r="AR137" i="1"/>
  <c r="AS137" i="1" s="1"/>
  <c r="AR150" i="1"/>
  <c r="AS150" i="1" s="1"/>
  <c r="AP160" i="1"/>
  <c r="AN154" i="1"/>
  <c r="AO154" i="1" s="1"/>
  <c r="BP154" i="1"/>
  <c r="BQ154" i="1" s="1"/>
  <c r="AN151" i="1"/>
  <c r="AO151" i="1" s="1"/>
  <c r="AN135" i="1"/>
  <c r="AO135" i="1" s="1"/>
  <c r="AR127" i="1"/>
  <c r="AS127" i="1" s="1"/>
  <c r="BQ73" i="1"/>
  <c r="BS74" i="1"/>
  <c r="AR149" i="1"/>
  <c r="AS149" i="1" s="1"/>
  <c r="AP73" i="1"/>
  <c r="AN143" i="1"/>
  <c r="AO143" i="1" s="1"/>
  <c r="AN132" i="1"/>
  <c r="AR163" i="1"/>
  <c r="AS163" i="1" s="1"/>
  <c r="AV145" i="1"/>
  <c r="AN142" i="1"/>
  <c r="AR126" i="1"/>
  <c r="AS126" i="1" s="1"/>
  <c r="AX153" i="1"/>
  <c r="AX117" i="1"/>
  <c r="AX154" i="1"/>
  <c r="AY154" i="1" s="1"/>
  <c r="BF144" i="1"/>
  <c r="BT125" i="1"/>
  <c r="BU125" i="1" s="1"/>
  <c r="AX124" i="1"/>
  <c r="BR140" i="1"/>
  <c r="BT124" i="1"/>
  <c r="AP155" i="1"/>
  <c r="AQ155" i="1" s="1"/>
  <c r="AT164" i="1"/>
  <c r="AU164" i="1" s="1"/>
  <c r="AZ124" i="1"/>
  <c r="BA124" i="1" s="1"/>
  <c r="AT74" i="1"/>
  <c r="BB147" i="1"/>
  <c r="BC147" i="1" s="1"/>
  <c r="AN140" i="1"/>
  <c r="AN133" i="1"/>
  <c r="AP145" i="1"/>
  <c r="AV131" i="1"/>
  <c r="BD127" i="1"/>
  <c r="BE127" i="1" s="1"/>
  <c r="AX125" i="1"/>
  <c r="AY125" i="1" s="1"/>
  <c r="BB163" i="1"/>
  <c r="BC163" i="1" s="1"/>
  <c r="AZ74" i="1"/>
  <c r="BF146" i="1"/>
  <c r="BG146" i="1" s="1"/>
  <c r="BN140" i="1"/>
  <c r="BB164" i="1"/>
  <c r="BC164" i="1" s="1"/>
  <c r="AZ119" i="1"/>
  <c r="BD118" i="1"/>
  <c r="BE118" i="1" s="1"/>
  <c r="BT164" i="1"/>
  <c r="BU164" i="1" s="1"/>
  <c r="AP132" i="1"/>
  <c r="AV132" i="1"/>
  <c r="BN131" i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T118" i="1"/>
  <c r="BU118" i="1" s="1"/>
  <c r="BP163" i="1"/>
  <c r="BQ163" i="1" s="1"/>
  <c r="AX127" i="1"/>
  <c r="AY127" i="1" s="1"/>
  <c r="BN151" i="1"/>
  <c r="BO151" i="1" s="1"/>
  <c r="BN117" i="1"/>
  <c r="BO117" i="1" s="1"/>
  <c r="BR131" i="1"/>
  <c r="BT133" i="1"/>
  <c r="AP151" i="1"/>
  <c r="AQ151" i="1" s="1"/>
  <c r="AT140" i="1"/>
  <c r="AU140" i="1" s="1"/>
  <c r="BN135" i="1"/>
  <c r="BO135" i="1" s="1"/>
  <c r="BB152" i="1"/>
  <c r="BC152" i="1" s="1"/>
  <c r="BU74" i="1"/>
  <c r="BF155" i="1"/>
  <c r="BG155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B117" i="1"/>
  <c r="AN145" i="1"/>
  <c r="AP135" i="1"/>
  <c r="AQ135" i="1" s="1"/>
  <c r="AN124" i="1"/>
  <c r="AN119" i="1"/>
  <c r="AV122" i="1"/>
  <c r="AW122" i="1" s="1"/>
  <c r="AR135" i="1"/>
  <c r="AS135" i="1" s="1"/>
  <c r="AR133" i="1"/>
  <c r="AP159" i="1"/>
  <c r="AP147" i="1"/>
  <c r="AQ147" i="1" s="1"/>
  <c r="AN153" i="1"/>
  <c r="AV155" i="1"/>
  <c r="AW155" i="1" s="1"/>
  <c r="AR131" i="1"/>
  <c r="AR159" i="1"/>
  <c r="AR145" i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N73" i="1"/>
  <c r="AN125" i="1"/>
  <c r="AO125" i="1" s="1"/>
  <c r="AO74" i="1"/>
  <c r="AV137" i="1"/>
  <c r="AW137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T137" i="1"/>
  <c r="BU137" i="1" s="1"/>
  <c r="BB137" i="1"/>
  <c r="BC137" i="1" s="1"/>
  <c r="BT143" i="1"/>
  <c r="BB143" i="1"/>
  <c r="AX143" i="1"/>
  <c r="BD143" i="1"/>
  <c r="AZ143" i="1"/>
  <c r="BR143" i="1"/>
  <c r="BN143" i="1"/>
  <c r="U128" i="1"/>
  <c r="BI26" i="1"/>
  <c r="AN252" i="1"/>
  <c r="BM37" i="1"/>
  <c r="D148" i="1"/>
  <c r="E173" i="1"/>
  <c r="BS26" i="1"/>
  <c r="BG252" i="1"/>
  <c r="AX252" i="1"/>
  <c r="BH161" i="1"/>
  <c r="P128" i="1"/>
  <c r="C161" i="1"/>
  <c r="C173" i="1"/>
  <c r="I156" i="1"/>
  <c r="R202" i="1"/>
  <c r="V173" i="1"/>
  <c r="O161" i="1"/>
  <c r="N161" i="1"/>
  <c r="O209" i="1" s="1"/>
  <c r="M173" i="1"/>
  <c r="AR164" i="1"/>
  <c r="AS164" i="1" s="1"/>
  <c r="BN152" i="1"/>
  <c r="BO152" i="1" s="1"/>
  <c r="AT149" i="1"/>
  <c r="AU149" i="1" s="1"/>
  <c r="BF131" i="1"/>
  <c r="BB151" i="1"/>
  <c r="BC151" i="1" s="1"/>
  <c r="AX142" i="1"/>
  <c r="AY142" i="1" s="1"/>
  <c r="AZ137" i="1"/>
  <c r="BA137" i="1" s="1"/>
  <c r="AV124" i="1"/>
  <c r="BG253" i="1"/>
  <c r="BV183" i="1"/>
  <c r="BY98" i="1"/>
  <c r="BY99" i="1" s="1"/>
  <c r="AR252" i="1"/>
  <c r="N128" i="1"/>
  <c r="H128" i="1"/>
  <c r="B65" i="1"/>
  <c r="BG26" i="1"/>
  <c r="AO26" i="1"/>
  <c r="BT26" i="1"/>
  <c r="BH252" i="1"/>
  <c r="AZ26" i="1"/>
  <c r="AQ26" i="1"/>
  <c r="BK26" i="1"/>
  <c r="BQ10" i="1"/>
  <c r="BA26" i="1"/>
  <c r="BQ26" i="1"/>
  <c r="BQ27" i="1" s="1"/>
  <c r="F202" i="1"/>
  <c r="Q161" i="1"/>
  <c r="K161" i="1"/>
  <c r="J120" i="1"/>
  <c r="W134" i="1"/>
  <c r="J134" i="1"/>
  <c r="O134" i="1"/>
  <c r="W202" i="1"/>
  <c r="I202" i="1"/>
  <c r="L156" i="1"/>
  <c r="F120" i="1"/>
  <c r="BN183" i="1"/>
  <c r="BO183" i="1" s="1"/>
  <c r="BT180" i="1"/>
  <c r="BU180" i="1" s="1"/>
  <c r="BV161" i="1"/>
  <c r="BV179" i="1"/>
  <c r="BW179" i="1" s="1"/>
  <c r="BV134" i="1"/>
  <c r="BV252" i="1"/>
  <c r="R134" i="1"/>
  <c r="BV10" i="1"/>
  <c r="V134" i="1"/>
  <c r="AP26" i="1"/>
  <c r="AP27" i="1" s="1"/>
  <c r="AW26" i="1"/>
  <c r="BQ98" i="1"/>
  <c r="BQ99" i="1" s="1"/>
  <c r="BQ102" i="1" s="1"/>
  <c r="BH26" i="1"/>
  <c r="BO26" i="1"/>
  <c r="BO27" i="1" s="1"/>
  <c r="BQ252" i="1"/>
  <c r="AT26" i="1"/>
  <c r="BG98" i="1"/>
  <c r="BG99" i="1" s="1"/>
  <c r="BR26" i="1"/>
  <c r="AY252" i="1"/>
  <c r="N202" i="1"/>
  <c r="T134" i="1"/>
  <c r="BP26" i="1"/>
  <c r="K134" i="1"/>
  <c r="S134" i="1"/>
  <c r="BT10" i="1"/>
  <c r="BE252" i="1"/>
  <c r="S120" i="1"/>
  <c r="B107" i="1"/>
  <c r="BP253" i="1"/>
  <c r="AX26" i="1"/>
  <c r="BG10" i="1"/>
  <c r="BK10" i="1"/>
  <c r="AN26" i="1"/>
  <c r="AY26" i="1"/>
  <c r="AY27" i="1" s="1"/>
  <c r="BN26" i="1"/>
  <c r="BW26" i="1"/>
  <c r="AX98" i="1"/>
  <c r="AX99" i="1" s="1"/>
  <c r="BU252" i="1"/>
  <c r="BD26" i="1"/>
  <c r="K120" i="1"/>
  <c r="BE26" i="1"/>
  <c r="AI26" i="1"/>
  <c r="AI27" i="1" s="1"/>
  <c r="BV180" i="1"/>
  <c r="BW180" i="1" s="1"/>
  <c r="BW128" i="1"/>
  <c r="G120" i="1"/>
  <c r="S128" i="1"/>
  <c r="D128" i="1"/>
  <c r="BF26" i="1"/>
  <c r="AR26" i="1"/>
  <c r="AV26" i="1"/>
  <c r="BI128" i="1"/>
  <c r="BH179" i="1"/>
  <c r="BI179" i="1" s="1"/>
  <c r="C202" i="1"/>
  <c r="L128" i="1"/>
  <c r="C148" i="1"/>
  <c r="D173" i="1"/>
  <c r="O120" i="1"/>
  <c r="F156" i="1"/>
  <c r="M134" i="1"/>
  <c r="C134" i="1"/>
  <c r="R120" i="1"/>
  <c r="P173" i="1"/>
  <c r="T128" i="1"/>
  <c r="D161" i="1"/>
  <c r="U134" i="1"/>
  <c r="V128" i="1"/>
  <c r="R161" i="1"/>
  <c r="P202" i="1"/>
  <c r="T120" i="1"/>
  <c r="O173" i="1"/>
  <c r="L120" i="1"/>
  <c r="P156" i="1"/>
  <c r="P185" i="1" s="1"/>
  <c r="P184" i="1" s="1"/>
  <c r="Q173" i="1"/>
  <c r="O148" i="1"/>
  <c r="G134" i="1"/>
  <c r="U202" i="1"/>
  <c r="R148" i="1"/>
  <c r="D120" i="1"/>
  <c r="I120" i="1"/>
  <c r="U173" i="1"/>
  <c r="I173" i="1"/>
  <c r="N148" i="1"/>
  <c r="T156" i="1"/>
  <c r="G148" i="1"/>
  <c r="V148" i="1"/>
  <c r="J128" i="1"/>
  <c r="M128" i="1"/>
  <c r="B148" i="1"/>
  <c r="C128" i="1"/>
  <c r="C37" i="1" s="1"/>
  <c r="S148" i="1"/>
  <c r="S182" i="1" s="1"/>
  <c r="I134" i="1"/>
  <c r="L148" i="1"/>
  <c r="R156" i="1"/>
  <c r="M148" i="1"/>
  <c r="M182" i="1" s="1"/>
  <c r="K128" i="1"/>
  <c r="V156" i="1"/>
  <c r="V185" i="1" s="1"/>
  <c r="AX179" i="1"/>
  <c r="AY179" i="1" s="1"/>
  <c r="AP179" i="1"/>
  <c r="AQ179" i="1" s="1"/>
  <c r="AN183" i="1"/>
  <c r="AO183" i="1" s="1"/>
  <c r="AN179" i="1"/>
  <c r="AO179" i="1" s="1"/>
  <c r="AZ16" i="1"/>
  <c r="BB26" i="1"/>
  <c r="BA231" i="1"/>
  <c r="BA10" i="1"/>
  <c r="BA12" i="1" s="1"/>
  <c r="AR231" i="1"/>
  <c r="AR10" i="1"/>
  <c r="AU231" i="1"/>
  <c r="AU10" i="1"/>
  <c r="BV194" i="1"/>
  <c r="BV253" i="1"/>
  <c r="BM33" i="1"/>
  <c r="BM194" i="1"/>
  <c r="BM203" i="1"/>
  <c r="BM201" i="1" s="1"/>
  <c r="BJ16" i="1"/>
  <c r="BJ27" i="1"/>
  <c r="BK252" i="1"/>
  <c r="BK37" i="1"/>
  <c r="BT231" i="1"/>
  <c r="BT253" i="1"/>
  <c r="BW98" i="1"/>
  <c r="BW99" i="1" s="1"/>
  <c r="BV98" i="1"/>
  <c r="BV99" i="1" s="1"/>
  <c r="AT252" i="1"/>
  <c r="AT10" i="1"/>
  <c r="BN98" i="1"/>
  <c r="BN99" i="1" s="1"/>
  <c r="BP98" i="1"/>
  <c r="BP99" i="1" s="1"/>
  <c r="BH231" i="1"/>
  <c r="BJ98" i="1"/>
  <c r="BJ99" i="1" s="1"/>
  <c r="BH180" i="1"/>
  <c r="BI180" i="1" s="1"/>
  <c r="BH10" i="1"/>
  <c r="AR194" i="1"/>
  <c r="AR253" i="1"/>
  <c r="AN253" i="1"/>
  <c r="AN98" i="1"/>
  <c r="AN99" i="1" s="1"/>
  <c r="AN10" i="1"/>
  <c r="AN231" i="1"/>
  <c r="AP98" i="1"/>
  <c r="AP99" i="1" s="1"/>
  <c r="BU231" i="1"/>
  <c r="BU253" i="1"/>
  <c r="BU10" i="1"/>
  <c r="BX98" i="1"/>
  <c r="BX99" i="1" s="1"/>
  <c r="AY194" i="1"/>
  <c r="AY253" i="1"/>
  <c r="BS194" i="1"/>
  <c r="BS253" i="1"/>
  <c r="BN33" i="1"/>
  <c r="BN194" i="1"/>
  <c r="AQ98" i="1"/>
  <c r="AQ99" i="1" s="1"/>
  <c r="AO10" i="1"/>
  <c r="BF252" i="1"/>
  <c r="BF10" i="1"/>
  <c r="BF231" i="1"/>
  <c r="BF253" i="1"/>
  <c r="BI194" i="1"/>
  <c r="BI253" i="1"/>
  <c r="BW117" i="1"/>
  <c r="BV120" i="1"/>
  <c r="BV92" i="1" s="1"/>
  <c r="AW231" i="1"/>
  <c r="BE253" i="1"/>
  <c r="AV98" i="1"/>
  <c r="AV99" i="1" s="1"/>
  <c r="BR98" i="1"/>
  <c r="BR99" i="1" s="1"/>
  <c r="S156" i="1"/>
  <c r="H134" i="1"/>
  <c r="H33" i="1" s="1"/>
  <c r="E134" i="1"/>
  <c r="E33" i="1" s="1"/>
  <c r="P148" i="1"/>
  <c r="I128" i="1"/>
  <c r="N134" i="1"/>
  <c r="N138" i="1" s="1"/>
  <c r="T173" i="1"/>
  <c r="AO231" i="1"/>
  <c r="AW98" i="1"/>
  <c r="AW99" i="1" s="1"/>
  <c r="BM252" i="1"/>
  <c r="BD98" i="1"/>
  <c r="BD99" i="1" s="1"/>
  <c r="BM253" i="1"/>
  <c r="BN231" i="1"/>
  <c r="AO253" i="1"/>
  <c r="BR183" i="1"/>
  <c r="BS183" i="1" s="1"/>
  <c r="BR179" i="1"/>
  <c r="BS179" i="1" s="1"/>
  <c r="W128" i="1"/>
  <c r="E148" i="1"/>
  <c r="E182" i="1" s="1"/>
  <c r="E181" i="1" s="1"/>
  <c r="P120" i="1"/>
  <c r="S173" i="1"/>
  <c r="R128" i="1"/>
  <c r="R37" i="1" s="1"/>
  <c r="O156" i="1"/>
  <c r="W173" i="1"/>
  <c r="V161" i="1"/>
  <c r="W209" i="1" s="1"/>
  <c r="F161" i="1"/>
  <c r="E156" i="1"/>
  <c r="E185" i="1" s="1"/>
  <c r="B134" i="1"/>
  <c r="D65" i="1"/>
  <c r="L173" i="1"/>
  <c r="F173" i="1"/>
  <c r="AM48" i="1"/>
  <c r="AY98" i="1"/>
  <c r="AY99" i="1" s="1"/>
  <c r="AY102" i="1" s="1"/>
  <c r="BN253" i="1"/>
  <c r="BE98" i="1"/>
  <c r="BE99" i="1" s="1"/>
  <c r="BE104" i="1" s="1"/>
  <c r="AO252" i="1"/>
  <c r="AW10" i="1"/>
  <c r="F148" i="1"/>
  <c r="G128" i="1"/>
  <c r="F128" i="1"/>
  <c r="L134" i="1"/>
  <c r="G156" i="1"/>
  <c r="J148" i="1"/>
  <c r="J182" i="1" s="1"/>
  <c r="J181" i="1" s="1"/>
  <c r="BR180" i="1"/>
  <c r="BS180" i="1" s="1"/>
  <c r="H173" i="1"/>
  <c r="I161" i="1"/>
  <c r="J209" i="1" s="1"/>
  <c r="AS253" i="1"/>
  <c r="BJ194" i="1"/>
  <c r="AU253" i="1"/>
  <c r="BL98" i="1"/>
  <c r="BL99" i="1" s="1"/>
  <c r="BR10" i="1"/>
  <c r="AZ98" i="1"/>
  <c r="AZ99" i="1" s="1"/>
  <c r="BD231" i="1"/>
  <c r="BB253" i="1"/>
  <c r="BM231" i="1"/>
  <c r="BM98" i="1"/>
  <c r="BM99" i="1" s="1"/>
  <c r="AT253" i="1"/>
  <c r="BB98" i="1"/>
  <c r="BB99" i="1" s="1"/>
  <c r="BI98" i="1"/>
  <c r="BI99" i="1" s="1"/>
  <c r="BR252" i="1"/>
  <c r="BF98" i="1"/>
  <c r="BF99" i="1" s="1"/>
  <c r="AR98" i="1"/>
  <c r="AR99" i="1" s="1"/>
  <c r="BC10" i="1"/>
  <c r="BC27" i="1" s="1"/>
  <c r="BD253" i="1"/>
  <c r="BC98" i="1"/>
  <c r="BC99" i="1" s="1"/>
  <c r="BB179" i="1"/>
  <c r="BC179" i="1" s="1"/>
  <c r="BD180" i="1"/>
  <c r="BE180" i="1" s="1"/>
  <c r="BP179" i="1"/>
  <c r="BQ179" i="1" s="1"/>
  <c r="M202" i="1"/>
  <c r="BM10" i="1"/>
  <c r="B156" i="1"/>
  <c r="B185" i="1" s="1"/>
  <c r="B184" i="1" s="1"/>
  <c r="B173" i="1"/>
  <c r="J156" i="1"/>
  <c r="BH98" i="1"/>
  <c r="BH99" i="1" s="1"/>
  <c r="BH103" i="1" s="1"/>
  <c r="BN252" i="1"/>
  <c r="U156" i="1"/>
  <c r="U185" i="1" s="1"/>
  <c r="BA98" i="1"/>
  <c r="BA99" i="1" s="1"/>
  <c r="BH183" i="1"/>
  <c r="BI183" i="1" s="1"/>
  <c r="BO253" i="1"/>
  <c r="AX253" i="1"/>
  <c r="BR194" i="1"/>
  <c r="AW253" i="1"/>
  <c r="BU98" i="1"/>
  <c r="BU99" i="1" s="1"/>
  <c r="BD10" i="1"/>
  <c r="BS98" i="1"/>
  <c r="BS99" i="1" s="1"/>
  <c r="BP180" i="1"/>
  <c r="BQ180" i="1" s="1"/>
  <c r="BH148" i="1"/>
  <c r="V120" i="1"/>
  <c r="H148" i="1"/>
  <c r="BB252" i="1"/>
  <c r="BB10" i="1"/>
  <c r="BK98" i="1"/>
  <c r="BK99" i="1" s="1"/>
  <c r="BE10" i="1"/>
  <c r="BP10" i="1"/>
  <c r="BT98" i="1"/>
  <c r="BT99" i="1" s="1"/>
  <c r="BQ231" i="1"/>
  <c r="AN33" i="1"/>
  <c r="BI252" i="1"/>
  <c r="BD179" i="1"/>
  <c r="BE179" i="1" s="1"/>
  <c r="BO98" i="1"/>
  <c r="BO99" i="1" s="1"/>
  <c r="Q120" i="1"/>
  <c r="Q156" i="1"/>
  <c r="K156" i="1"/>
  <c r="AS98" i="1"/>
  <c r="AS99" i="1" s="1"/>
  <c r="K173" i="1"/>
  <c r="BH253" i="1"/>
  <c r="AO98" i="1"/>
  <c r="AO99" i="1" s="1"/>
  <c r="BQ253" i="1"/>
  <c r="BP194" i="1"/>
  <c r="BI10" i="1"/>
  <c r="BI188" i="1" s="1"/>
  <c r="AT98" i="1"/>
  <c r="AT99" i="1" s="1"/>
  <c r="AT103" i="1" s="1"/>
  <c r="H202" i="1"/>
  <c r="BA252" i="1"/>
  <c r="T148" i="1"/>
  <c r="BA253" i="1"/>
  <c r="AT231" i="1"/>
  <c r="C156" i="1"/>
  <c r="N156" i="1"/>
  <c r="AS10" i="1"/>
  <c r="BO231" i="1"/>
  <c r="BP252" i="1"/>
  <c r="AU98" i="1"/>
  <c r="AU99" i="1" s="1"/>
  <c r="BB180" i="1"/>
  <c r="BC180" i="1" s="1"/>
  <c r="BV156" i="1"/>
  <c r="BV185" i="1" s="1"/>
  <c r="BV184" i="1" s="1"/>
  <c r="BH120" i="1"/>
  <c r="BW202" i="1"/>
  <c r="S181" i="1"/>
  <c r="BH134" i="1"/>
  <c r="BH138" i="1" s="1"/>
  <c r="D249" i="1"/>
  <c r="D251" i="1" s="1"/>
  <c r="BH128" i="1"/>
  <c r="BV148" i="1"/>
  <c r="BV182" i="1" s="1"/>
  <c r="BV128" i="1"/>
  <c r="BW206" i="1" s="1"/>
  <c r="D206" i="1"/>
  <c r="BH156" i="1"/>
  <c r="BH185" i="1" s="1"/>
  <c r="M181" i="1"/>
  <c r="H156" i="1"/>
  <c r="H185" i="1" s="1"/>
  <c r="H184" i="1" s="1"/>
  <c r="BI117" i="1"/>
  <c r="P138" i="1"/>
  <c r="P33" i="1"/>
  <c r="I148" i="1"/>
  <c r="I182" i="1" s="1"/>
  <c r="I181" i="1" s="1"/>
  <c r="M120" i="1"/>
  <c r="M248" i="1" s="1"/>
  <c r="M156" i="1"/>
  <c r="B128" i="1"/>
  <c r="L202" i="1"/>
  <c r="O202" i="1"/>
  <c r="Q128" i="1"/>
  <c r="Q206" i="1" s="1"/>
  <c r="D156" i="1"/>
  <c r="Q202" i="1"/>
  <c r="C120" i="1"/>
  <c r="U161" i="1"/>
  <c r="T202" i="1"/>
  <c r="Q148" i="1"/>
  <c r="Q182" i="1" s="1"/>
  <c r="Q181" i="1" s="1"/>
  <c r="U148" i="1"/>
  <c r="U182" i="1" s="1"/>
  <c r="U181" i="1" s="1"/>
  <c r="N120" i="1"/>
  <c r="R173" i="1"/>
  <c r="E202" i="1"/>
  <c r="BP183" i="1"/>
  <c r="BQ183" i="1" s="1"/>
  <c r="K148" i="1"/>
  <c r="E120" i="1"/>
  <c r="F207" i="1" s="1"/>
  <c r="F134" i="1"/>
  <c r="P209" i="1"/>
  <c r="R138" i="1"/>
  <c r="R33" i="1"/>
  <c r="N209" i="1"/>
  <c r="U209" i="1"/>
  <c r="H175" i="1"/>
  <c r="J33" i="1"/>
  <c r="J138" i="1"/>
  <c r="S33" i="1"/>
  <c r="S138" i="1"/>
  <c r="I209" i="1"/>
  <c r="H248" i="1"/>
  <c r="C66" i="1"/>
  <c r="C108" i="1"/>
  <c r="C107" i="1"/>
  <c r="F54" i="1"/>
  <c r="F175" i="1"/>
  <c r="O206" i="1"/>
  <c r="J248" i="1"/>
  <c r="K209" i="1"/>
  <c r="G54" i="1"/>
  <c r="U54" i="1"/>
  <c r="H37" i="1"/>
  <c r="H129" i="1"/>
  <c r="H55" i="1" s="1"/>
  <c r="H168" i="1"/>
  <c r="H109" i="1" s="1"/>
  <c r="R209" i="1"/>
  <c r="K207" i="1"/>
  <c r="G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U175" i="1"/>
  <c r="M138" i="1"/>
  <c r="M33" i="1"/>
  <c r="S129" i="1"/>
  <c r="S55" i="1" s="1"/>
  <c r="S207" i="1"/>
  <c r="S54" i="1"/>
  <c r="D182" i="1"/>
  <c r="D181" i="1" s="1"/>
  <c r="K33" i="1"/>
  <c r="K138" i="1"/>
  <c r="M206" i="1"/>
  <c r="L129" i="1"/>
  <c r="L55" i="1" s="1"/>
  <c r="W138" i="1"/>
  <c r="X203" i="1" s="1"/>
  <c r="X201" i="1" s="1"/>
  <c r="W33" i="1"/>
  <c r="S209" i="1"/>
  <c r="L182" i="1"/>
  <c r="M196" i="1"/>
  <c r="P182" i="1"/>
  <c r="Q33" i="1"/>
  <c r="Q138" i="1"/>
  <c r="P175" i="1"/>
  <c r="G129" i="1"/>
  <c r="G55" i="1" s="1"/>
  <c r="G37" i="1"/>
  <c r="G168" i="1"/>
  <c r="G109" i="1" s="1"/>
  <c r="U37" i="1"/>
  <c r="U129" i="1"/>
  <c r="U55" i="1" s="1"/>
  <c r="S248" i="1"/>
  <c r="S175" i="1"/>
  <c r="R249" i="1"/>
  <c r="R251" i="1" s="1"/>
  <c r="I185" i="1"/>
  <c r="P129" i="1"/>
  <c r="P55" i="1" s="1"/>
  <c r="P206" i="1"/>
  <c r="P168" i="1"/>
  <c r="P109" i="1" s="1"/>
  <c r="P249" i="1"/>
  <c r="P251" i="1" s="1"/>
  <c r="P37" i="1"/>
  <c r="H209" i="1"/>
  <c r="G248" i="1"/>
  <c r="F206" i="1"/>
  <c r="E168" i="1"/>
  <c r="E109" i="1" s="1"/>
  <c r="E37" i="1"/>
  <c r="O249" i="1"/>
  <c r="O251" i="1" s="1"/>
  <c r="N249" i="1"/>
  <c r="N251" i="1" s="1"/>
  <c r="N37" i="1"/>
  <c r="N168" i="1"/>
  <c r="N109" i="1" s="1"/>
  <c r="O138" i="1"/>
  <c r="O33" i="1"/>
  <c r="M209" i="1"/>
  <c r="AZ161" i="1"/>
  <c r="BA209" i="1" s="1"/>
  <c r="AQ140" i="1"/>
  <c r="AW140" i="1"/>
  <c r="AU117" i="1"/>
  <c r="BF161" i="1"/>
  <c r="BG209" i="1" s="1"/>
  <c r="BD134" i="1"/>
  <c r="AU142" i="1"/>
  <c r="BC124" i="1"/>
  <c r="BU140" i="1"/>
  <c r="BV202" i="1" s="1"/>
  <c r="BE117" i="1"/>
  <c r="AU150" i="1"/>
  <c r="BS117" i="1"/>
  <c r="BR120" i="1"/>
  <c r="BR92" i="1" s="1"/>
  <c r="AI186" i="1"/>
  <c r="AT161" i="1"/>
  <c r="AU209" i="1" s="1"/>
  <c r="AS202" i="1"/>
  <c r="BP120" i="1"/>
  <c r="BP92" i="1" s="1"/>
  <c r="BP94" i="1" s="1"/>
  <c r="BG128" i="1"/>
  <c r="BR128" i="1"/>
  <c r="AV120" i="1"/>
  <c r="AI184" i="1"/>
  <c r="AW143" i="1"/>
  <c r="BG143" i="1"/>
  <c r="BB202" i="1"/>
  <c r="BA202" i="1"/>
  <c r="AY202" i="1"/>
  <c r="AZ202" i="1"/>
  <c r="AQ12" i="1"/>
  <c r="AZ12" i="1"/>
  <c r="AY16" i="1"/>
  <c r="AP16" i="1"/>
  <c r="AP11" i="1"/>
  <c r="AQ188" i="1"/>
  <c r="BC202" i="1"/>
  <c r="BO16" i="1"/>
  <c r="N58" i="1"/>
  <c r="AL244" i="1"/>
  <c r="AJ12" i="1"/>
  <c r="AM11" i="1"/>
  <c r="AL225" i="1"/>
  <c r="AI16" i="1"/>
  <c r="BW11" i="1"/>
  <c r="BS16" i="1"/>
  <c r="BS11" i="1"/>
  <c r="AY12" i="1"/>
  <c r="AI181" i="1"/>
  <c r="BY103" i="1"/>
  <c r="AL102" i="1"/>
  <c r="AL103" i="1"/>
  <c r="BN11" i="1"/>
  <c r="BN16" i="1"/>
  <c r="BZ103" i="1"/>
  <c r="BZ102" i="1"/>
  <c r="BZ104" i="1"/>
  <c r="BO12" i="1"/>
  <c r="AX16" i="1"/>
  <c r="AQ16" i="1"/>
  <c r="AQ11" i="1"/>
  <c r="BI209" i="1"/>
  <c r="CB188" i="1"/>
  <c r="X58" i="1"/>
  <c r="BW16" i="1"/>
  <c r="BZ244" i="1"/>
  <c r="CA11" i="1"/>
  <c r="BZ225" i="1"/>
  <c r="BX12" i="1"/>
  <c r="AV16" i="1"/>
  <c r="AZ11" i="1"/>
  <c r="AN11" i="1"/>
  <c r="AO225" i="1"/>
  <c r="AN16" i="1"/>
  <c r="AN12" i="1"/>
  <c r="AN225" i="1"/>
  <c r="AO12" i="1"/>
  <c r="BV138" i="1"/>
  <c r="BW33" i="1"/>
  <c r="BW134" i="1"/>
  <c r="AN188" i="1"/>
  <c r="AQ27" i="1"/>
  <c r="CQ138" i="1"/>
  <c r="CR32" i="1"/>
  <c r="AE77" i="1"/>
  <c r="AB125" i="1"/>
  <c r="AB128" i="1" s="1"/>
  <c r="AB249" i="1" s="1"/>
  <c r="AD142" i="1"/>
  <c r="CZ65" i="1"/>
  <c r="DA63" i="1"/>
  <c r="BH202" i="1" l="1"/>
  <c r="BT179" i="1"/>
  <c r="BU179" i="1" s="1"/>
  <c r="BT183" i="1"/>
  <c r="BU183" i="1" s="1"/>
  <c r="BF180" i="1"/>
  <c r="BG180" i="1" s="1"/>
  <c r="BF183" i="1"/>
  <c r="BG183" i="1" s="1"/>
  <c r="AP183" i="1"/>
  <c r="AQ183" i="1" s="1"/>
  <c r="AV180" i="1"/>
  <c r="AW180" i="1" s="1"/>
  <c r="AX183" i="1"/>
  <c r="AY183" i="1" s="1"/>
  <c r="BF179" i="1"/>
  <c r="BG179" i="1" s="1"/>
  <c r="AP180" i="1"/>
  <c r="AQ180" i="1" s="1"/>
  <c r="AN180" i="1"/>
  <c r="AO180" i="1" s="1"/>
  <c r="BN180" i="1"/>
  <c r="BO180" i="1" s="1"/>
  <c r="BF120" i="1"/>
  <c r="BQ128" i="1"/>
  <c r="BD202" i="1"/>
  <c r="AW183" i="1"/>
  <c r="BD183" i="1"/>
  <c r="BE183" i="1" s="1"/>
  <c r="AT179" i="1"/>
  <c r="AU179" i="1" s="1"/>
  <c r="BN179" i="1"/>
  <c r="BO179" i="1" s="1"/>
  <c r="BB183" i="1"/>
  <c r="BC183" i="1" s="1"/>
  <c r="AT180" i="1"/>
  <c r="AU180" i="1" s="1"/>
  <c r="AT183" i="1"/>
  <c r="AU183" i="1" s="1"/>
  <c r="BD161" i="1"/>
  <c r="BE209" i="1" s="1"/>
  <c r="BP128" i="1"/>
  <c r="AN161" i="1"/>
  <c r="AO209" i="1" s="1"/>
  <c r="AV161" i="1"/>
  <c r="AW209" i="1" s="1"/>
  <c r="BN161" i="1"/>
  <c r="BO209" i="1" s="1"/>
  <c r="BR134" i="1"/>
  <c r="AX161" i="1"/>
  <c r="AY209" i="1" s="1"/>
  <c r="BS128" i="1"/>
  <c r="AZ134" i="1"/>
  <c r="BP134" i="1"/>
  <c r="BT161" i="1"/>
  <c r="BU209" i="1" s="1"/>
  <c r="BP161" i="1"/>
  <c r="BQ209" i="1" s="1"/>
  <c r="BB161" i="1"/>
  <c r="BF128" i="1"/>
  <c r="AS183" i="1"/>
  <c r="BG202" i="1"/>
  <c r="BA27" i="1"/>
  <c r="BH27" i="1"/>
  <c r="AT27" i="1"/>
  <c r="BA11" i="1"/>
  <c r="H138" i="1"/>
  <c r="R54" i="1"/>
  <c r="T33" i="1"/>
  <c r="T138" i="1"/>
  <c r="C249" i="1"/>
  <c r="C251" i="1" s="1"/>
  <c r="E196" i="1"/>
  <c r="O207" i="1"/>
  <c r="AR134" i="1"/>
  <c r="AS33" i="1" s="1"/>
  <c r="L196" i="1"/>
  <c r="O54" i="1"/>
  <c r="O175" i="1"/>
  <c r="O248" i="1"/>
  <c r="D54" i="1"/>
  <c r="D129" i="1"/>
  <c r="D55" i="1" s="1"/>
  <c r="E207" i="1"/>
  <c r="D175" i="1"/>
  <c r="L175" i="1"/>
  <c r="T248" i="1"/>
  <c r="V37" i="1"/>
  <c r="V168" i="1"/>
  <c r="V109" i="1" s="1"/>
  <c r="T175" i="1"/>
  <c r="T207" i="1"/>
  <c r="T54" i="1"/>
  <c r="I54" i="1"/>
  <c r="S37" i="1"/>
  <c r="S168" i="1"/>
  <c r="S109" i="1" s="1"/>
  <c r="T168" i="1"/>
  <c r="T109" i="1" s="1"/>
  <c r="T206" i="1"/>
  <c r="U249" i="1"/>
  <c r="U251" i="1" s="1"/>
  <c r="O129" i="1"/>
  <c r="O55" i="1" s="1"/>
  <c r="H207" i="1"/>
  <c r="G207" i="1"/>
  <c r="G175" i="1"/>
  <c r="J168" i="1"/>
  <c r="J109" i="1" s="1"/>
  <c r="U207" i="1"/>
  <c r="Q248" i="1"/>
  <c r="G138" i="1"/>
  <c r="I33" i="1"/>
  <c r="I138" i="1"/>
  <c r="V182" i="1"/>
  <c r="V181" i="1" s="1"/>
  <c r="T196" i="1"/>
  <c r="BE128" i="1"/>
  <c r="AR161" i="1"/>
  <c r="AS209" i="1" s="1"/>
  <c r="AQ142" i="1"/>
  <c r="AP148" i="1"/>
  <c r="AP182" i="1" s="1"/>
  <c r="AS124" i="1"/>
  <c r="AS128" i="1" s="1"/>
  <c r="AR128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34" i="1"/>
  <c r="AV134" i="1"/>
  <c r="AP134" i="1"/>
  <c r="R185" i="1"/>
  <c r="R157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8" i="1"/>
  <c r="BB128" i="1"/>
  <c r="BD12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F202" i="1"/>
  <c r="AQ128" i="1"/>
  <c r="AT202" i="1"/>
  <c r="AN134" i="1"/>
  <c r="AP161" i="1"/>
  <c r="BT156" i="1"/>
  <c r="BT185" i="1" s="1"/>
  <c r="BN134" i="1"/>
  <c r="AX134" i="1"/>
  <c r="BB134" i="1"/>
  <c r="AZ120" i="1"/>
  <c r="BR161" i="1"/>
  <c r="AR156" i="1"/>
  <c r="BN120" i="1"/>
  <c r="BP156" i="1"/>
  <c r="BP185" i="1" s="1"/>
  <c r="BT120" i="1"/>
  <c r="BE202" i="1"/>
  <c r="BR156" i="1"/>
  <c r="BR185" i="1" s="1"/>
  <c r="BP148" i="1"/>
  <c r="BP182" i="1" s="1"/>
  <c r="AZ128" i="1"/>
  <c r="BQ202" i="1"/>
  <c r="AP128" i="1"/>
  <c r="AP120" i="1"/>
  <c r="AP92" i="1" s="1"/>
  <c r="BD156" i="1"/>
  <c r="BD185" i="1" s="1"/>
  <c r="AN156" i="1"/>
  <c r="AN185" i="1" s="1"/>
  <c r="BA128" i="1"/>
  <c r="AT128" i="1"/>
  <c r="AP156" i="1"/>
  <c r="BF156" i="1"/>
  <c r="BF185" i="1" s="1"/>
  <c r="AV156" i="1"/>
  <c r="AV185" i="1" s="1"/>
  <c r="AV184" i="1" s="1"/>
  <c r="BD128" i="1"/>
  <c r="AZ156" i="1"/>
  <c r="AZ185" i="1" s="1"/>
  <c r="AZ184" i="1" s="1"/>
  <c r="AU128" i="1"/>
  <c r="AV148" i="1"/>
  <c r="BC143" i="1"/>
  <c r="BB148" i="1"/>
  <c r="BF148" i="1"/>
  <c r="BE143" i="1"/>
  <c r="BD148" i="1"/>
  <c r="BO143" i="1"/>
  <c r="BN148" i="1"/>
  <c r="BU143" i="1"/>
  <c r="BT148" i="1"/>
  <c r="AY143" i="1"/>
  <c r="BS143" i="1"/>
  <c r="BR148" i="1"/>
  <c r="BA143" i="1"/>
  <c r="AZ148" i="1"/>
  <c r="AU202" i="1"/>
  <c r="AV202" i="1"/>
  <c r="BS27" i="1"/>
  <c r="BW183" i="1"/>
  <c r="BY104" i="1"/>
  <c r="BY102" i="1"/>
  <c r="BW12" i="1"/>
  <c r="BY225" i="1"/>
  <c r="BX225" i="1"/>
  <c r="BH16" i="1"/>
  <c r="BL11" i="1"/>
  <c r="BO188" i="1"/>
  <c r="BG27" i="1"/>
  <c r="BH12" i="1"/>
  <c r="BG16" i="1"/>
  <c r="BW27" i="1"/>
  <c r="BF184" i="1"/>
  <c r="CA188" i="1"/>
  <c r="AP102" i="1"/>
  <c r="AP104" i="1"/>
  <c r="AP103" i="1"/>
  <c r="BK27" i="1"/>
  <c r="AW27" i="1"/>
  <c r="BR27" i="1"/>
  <c r="BE27" i="1"/>
  <c r="C157" i="1"/>
  <c r="V157" i="1"/>
  <c r="BB27" i="1"/>
  <c r="AP225" i="1"/>
  <c r="P196" i="1"/>
  <c r="R175" i="1"/>
  <c r="R248" i="1"/>
  <c r="N196" i="1"/>
  <c r="O196" i="1"/>
  <c r="P157" i="1"/>
  <c r="R182" i="1"/>
  <c r="R181" i="1" s="1"/>
  <c r="S196" i="1"/>
  <c r="O182" i="1"/>
  <c r="O181" i="1" s="1"/>
  <c r="O157" i="1"/>
  <c r="U206" i="1"/>
  <c r="V206" i="1"/>
  <c r="J197" i="1"/>
  <c r="BB156" i="1"/>
  <c r="BB185" i="1" s="1"/>
  <c r="BN156" i="1"/>
  <c r="BN185" i="1" s="1"/>
  <c r="AZ27" i="1"/>
  <c r="BK11" i="1"/>
  <c r="AX148" i="1"/>
  <c r="O58" i="1"/>
  <c r="BZ11" i="1"/>
  <c r="BT27" i="1"/>
  <c r="BQ103" i="1"/>
  <c r="BQ104" i="1"/>
  <c r="AX27" i="1"/>
  <c r="BX11" i="1"/>
  <c r="BT16" i="1"/>
  <c r="AX102" i="1"/>
  <c r="AX104" i="1"/>
  <c r="AX103" i="1"/>
  <c r="AV27" i="1"/>
  <c r="BN27" i="1"/>
  <c r="B108" i="1"/>
  <c r="B66" i="1"/>
  <c r="T58" i="1"/>
  <c r="BL188" i="1"/>
  <c r="BF27" i="1"/>
  <c r="AR27" i="1"/>
  <c r="BU11" i="1"/>
  <c r="BQ16" i="1"/>
  <c r="BQ28" i="1" s="1"/>
  <c r="BW209" i="1"/>
  <c r="BV248" i="1"/>
  <c r="BV16" i="1"/>
  <c r="BV28" i="1" s="1"/>
  <c r="BV188" i="1"/>
  <c r="BV27" i="1"/>
  <c r="BG102" i="1"/>
  <c r="BG104" i="1"/>
  <c r="BG103" i="1"/>
  <c r="BL12" i="1"/>
  <c r="BK16" i="1"/>
  <c r="BM225" i="1"/>
  <c r="BO11" i="1"/>
  <c r="BK12" i="1"/>
  <c r="BX249" i="1"/>
  <c r="BX206" i="1"/>
  <c r="BJ206" i="1"/>
  <c r="BJ249" i="1"/>
  <c r="L206" i="1"/>
  <c r="L37" i="1"/>
  <c r="L168" i="1"/>
  <c r="L109" i="1" s="1"/>
  <c r="L249" i="1"/>
  <c r="L251" i="1" s="1"/>
  <c r="F185" i="1"/>
  <c r="F184" i="1" s="1"/>
  <c r="G197" i="1"/>
  <c r="C33" i="1"/>
  <c r="C138" i="1"/>
  <c r="D168" i="1"/>
  <c r="D109" i="1" s="1"/>
  <c r="E209" i="1"/>
  <c r="D248" i="1"/>
  <c r="U138" i="1"/>
  <c r="U33" i="1"/>
  <c r="V129" i="1"/>
  <c r="V55" i="1" s="1"/>
  <c r="V249" i="1"/>
  <c r="V251" i="1" s="1"/>
  <c r="L54" i="1"/>
  <c r="L248" i="1"/>
  <c r="I207" i="1"/>
  <c r="I175" i="1"/>
  <c r="N182" i="1"/>
  <c r="N157" i="1"/>
  <c r="N165" i="1" s="1"/>
  <c r="U197" i="1"/>
  <c r="T185" i="1"/>
  <c r="T184" i="1" s="1"/>
  <c r="G182" i="1"/>
  <c r="G181" i="1" s="1"/>
  <c r="G157" i="1"/>
  <c r="G165" i="1" s="1"/>
  <c r="G166" i="1" s="1"/>
  <c r="J37" i="1"/>
  <c r="J129" i="1"/>
  <c r="J55" i="1" s="1"/>
  <c r="M249" i="1"/>
  <c r="M251" i="1" s="1"/>
  <c r="M37" i="1"/>
  <c r="M129" i="1"/>
  <c r="M55" i="1" s="1"/>
  <c r="M168" i="1"/>
  <c r="M109" i="1" s="1"/>
  <c r="N206" i="1"/>
  <c r="B182" i="1"/>
  <c r="C196" i="1"/>
  <c r="C198" i="1" s="1"/>
  <c r="C199" i="1" s="1"/>
  <c r="B157" i="1"/>
  <c r="AS225" i="1"/>
  <c r="AR16" i="1"/>
  <c r="AU225" i="1"/>
  <c r="AR12" i="1"/>
  <c r="AR11" i="1"/>
  <c r="AV11" i="1"/>
  <c r="AS12" i="1"/>
  <c r="AY188" i="1"/>
  <c r="AV12" i="1"/>
  <c r="BW103" i="1"/>
  <c r="BW102" i="1"/>
  <c r="BW104" i="1"/>
  <c r="BV103" i="1"/>
  <c r="BV102" i="1"/>
  <c r="BV104" i="1"/>
  <c r="AW225" i="1"/>
  <c r="AT11" i="1"/>
  <c r="AT188" i="1"/>
  <c r="AU12" i="1"/>
  <c r="BN102" i="1"/>
  <c r="BN104" i="1"/>
  <c r="BN103" i="1"/>
  <c r="BP102" i="1"/>
  <c r="BP103" i="1"/>
  <c r="BP104" i="1"/>
  <c r="BJ102" i="1"/>
  <c r="BJ103" i="1"/>
  <c r="BJ104" i="1"/>
  <c r="BU16" i="1"/>
  <c r="BV12" i="1"/>
  <c r="BU27" i="1"/>
  <c r="BY11" i="1"/>
  <c r="BU188" i="1"/>
  <c r="BX104" i="1"/>
  <c r="BX103" i="1"/>
  <c r="BX102" i="1"/>
  <c r="AQ104" i="1"/>
  <c r="AQ103" i="1"/>
  <c r="AQ102" i="1"/>
  <c r="BJ11" i="1"/>
  <c r="BF16" i="1"/>
  <c r="BR103" i="1"/>
  <c r="BR102" i="1"/>
  <c r="BR104" i="1"/>
  <c r="S185" i="1"/>
  <c r="T197" i="1"/>
  <c r="T198" i="1" s="1"/>
  <c r="T199" i="1" s="1"/>
  <c r="AW102" i="1"/>
  <c r="AW104" i="1"/>
  <c r="AW103" i="1"/>
  <c r="P248" i="1"/>
  <c r="P54" i="1"/>
  <c r="P207" i="1"/>
  <c r="P205" i="1" s="1"/>
  <c r="P197" i="1"/>
  <c r="O185" i="1"/>
  <c r="F248" i="1"/>
  <c r="G209" i="1"/>
  <c r="B33" i="1"/>
  <c r="B138" i="1"/>
  <c r="C203" i="1" s="1"/>
  <c r="C201" i="1" s="1"/>
  <c r="F157" i="1"/>
  <c r="F182" i="1"/>
  <c r="G206" i="1"/>
  <c r="G205" i="1" s="1"/>
  <c r="H249" i="1"/>
  <c r="H251" i="1" s="1"/>
  <c r="H206" i="1"/>
  <c r="H205" i="1" s="1"/>
  <c r="F37" i="1"/>
  <c r="F129" i="1"/>
  <c r="F55" i="1" s="1"/>
  <c r="F168" i="1"/>
  <c r="F109" i="1" s="1"/>
  <c r="F249" i="1"/>
  <c r="F251" i="1" s="1"/>
  <c r="L33" i="1"/>
  <c r="L138" i="1"/>
  <c r="G185" i="1"/>
  <c r="H197" i="1"/>
  <c r="BU225" i="1"/>
  <c r="BT225" i="1"/>
  <c r="BS12" i="1"/>
  <c r="BV11" i="1"/>
  <c r="BQ11" i="1"/>
  <c r="BM12" i="1"/>
  <c r="BM16" i="1"/>
  <c r="BM27" i="1"/>
  <c r="BD27" i="1"/>
  <c r="BD11" i="1"/>
  <c r="BG225" i="1"/>
  <c r="BE12" i="1"/>
  <c r="BD16" i="1"/>
  <c r="BH11" i="1"/>
  <c r="V207" i="1"/>
  <c r="V175" i="1"/>
  <c r="BQ12" i="1"/>
  <c r="BP12" i="1"/>
  <c r="V58" i="1"/>
  <c r="BR225" i="1"/>
  <c r="BT102" i="1"/>
  <c r="BT104" i="1"/>
  <c r="BT103" i="1"/>
  <c r="BO102" i="1"/>
  <c r="BO104" i="1"/>
  <c r="L197" i="1"/>
  <c r="K185" i="1"/>
  <c r="K184" i="1" s="1"/>
  <c r="N185" i="1"/>
  <c r="N184" i="1" s="1"/>
  <c r="O197" i="1"/>
  <c r="AW11" i="1"/>
  <c r="AS16" i="1"/>
  <c r="AT12" i="1"/>
  <c r="M157" i="1"/>
  <c r="N197" i="1"/>
  <c r="M197" i="1"/>
  <c r="M198" i="1" s="1"/>
  <c r="M199" i="1" s="1"/>
  <c r="BI206" i="1"/>
  <c r="BH206" i="1"/>
  <c r="V138" i="1"/>
  <c r="V33" i="1"/>
  <c r="AM52" i="1"/>
  <c r="AM119" i="1"/>
  <c r="AM120" i="1" s="1"/>
  <c r="AM193" i="1"/>
  <c r="AM195" i="1" s="1"/>
  <c r="AM66" i="1"/>
  <c r="AM69" i="1" s="1"/>
  <c r="BF103" i="1"/>
  <c r="BF104" i="1"/>
  <c r="BF102" i="1"/>
  <c r="BC102" i="1"/>
  <c r="BC104" i="1"/>
  <c r="BC103" i="1"/>
  <c r="BU102" i="1"/>
  <c r="BU104" i="1"/>
  <c r="BU103" i="1"/>
  <c r="BS102" i="1"/>
  <c r="BS103" i="1"/>
  <c r="BS104" i="1"/>
  <c r="R244" i="1"/>
  <c r="R246" i="1"/>
  <c r="E206" i="1"/>
  <c r="D37" i="1"/>
  <c r="BJ17" i="1"/>
  <c r="BJ28" i="1"/>
  <c r="G249" i="1"/>
  <c r="G251" i="1" s="1"/>
  <c r="J157" i="1"/>
  <c r="I168" i="1"/>
  <c r="I109" i="1" s="1"/>
  <c r="BV186" i="1"/>
  <c r="BZ189" i="1" s="1"/>
  <c r="BH184" i="1"/>
  <c r="P246" i="1"/>
  <c r="K197" i="1"/>
  <c r="BX188" i="1"/>
  <c r="BT12" i="1"/>
  <c r="AZ28" i="1"/>
  <c r="AZ17" i="1"/>
  <c r="BA16" i="1"/>
  <c r="R58" i="1"/>
  <c r="BD225" i="1"/>
  <c r="BB12" i="1"/>
  <c r="BA225" i="1"/>
  <c r="BE11" i="1"/>
  <c r="P58" i="1"/>
  <c r="AT225" i="1"/>
  <c r="AU27" i="1"/>
  <c r="AU16" i="1"/>
  <c r="Q58" i="1"/>
  <c r="AV188" i="1"/>
  <c r="AX225" i="1"/>
  <c r="AU188" i="1"/>
  <c r="AU11" i="1"/>
  <c r="AZ188" i="1"/>
  <c r="AY11" i="1"/>
  <c r="AT16" i="1"/>
  <c r="AX11" i="1"/>
  <c r="BH188" i="1"/>
  <c r="BK225" i="1"/>
  <c r="AN102" i="1"/>
  <c r="AN103" i="1"/>
  <c r="AN104" i="1"/>
  <c r="AQ225" i="1"/>
  <c r="AR188" i="1"/>
  <c r="AN27" i="1"/>
  <c r="BY188" i="1"/>
  <c r="W58" i="1"/>
  <c r="BX244" i="1"/>
  <c r="BV225" i="1"/>
  <c r="BW225" i="1"/>
  <c r="BZ188" i="1"/>
  <c r="BU12" i="1"/>
  <c r="AR225" i="1"/>
  <c r="AS11" i="1"/>
  <c r="AO188" i="1"/>
  <c r="AO16" i="1"/>
  <c r="AO11" i="1"/>
  <c r="AO27" i="1"/>
  <c r="AP12" i="1"/>
  <c r="AP188" i="1"/>
  <c r="BK188" i="1"/>
  <c r="BF188" i="1"/>
  <c r="BG12" i="1"/>
  <c r="AV103" i="1"/>
  <c r="AV104" i="1"/>
  <c r="AV102" i="1"/>
  <c r="BD104" i="1"/>
  <c r="BD102" i="1"/>
  <c r="BD103" i="1"/>
  <c r="X206" i="1"/>
  <c r="X249" i="1"/>
  <c r="X251" i="1" s="1"/>
  <c r="W37" i="1"/>
  <c r="W206" i="1"/>
  <c r="W249" i="1"/>
  <c r="W251" i="1" s="1"/>
  <c r="D107" i="1"/>
  <c r="D66" i="1"/>
  <c r="D108" i="1"/>
  <c r="AW16" i="1"/>
  <c r="AY225" i="1"/>
  <c r="AX188" i="1"/>
  <c r="AX12" i="1"/>
  <c r="AZ225" i="1"/>
  <c r="AW188" i="1"/>
  <c r="BA188" i="1"/>
  <c r="AW12" i="1"/>
  <c r="BL103" i="1"/>
  <c r="BL104" i="1"/>
  <c r="BL102" i="1"/>
  <c r="BR12" i="1"/>
  <c r="BR16" i="1"/>
  <c r="BW188" i="1"/>
  <c r="BR11" i="1"/>
  <c r="BR188" i="1"/>
  <c r="BS188" i="1"/>
  <c r="AZ102" i="1"/>
  <c r="AZ103" i="1"/>
  <c r="AZ104" i="1"/>
  <c r="BM104" i="1"/>
  <c r="BM102" i="1"/>
  <c r="BM103" i="1"/>
  <c r="BB103" i="1"/>
  <c r="BB104" i="1"/>
  <c r="BB102" i="1"/>
  <c r="BI103" i="1"/>
  <c r="BI104" i="1"/>
  <c r="BI102" i="1"/>
  <c r="AR102" i="1"/>
  <c r="AR103" i="1"/>
  <c r="AR104" i="1"/>
  <c r="BD12" i="1"/>
  <c r="BG11" i="1"/>
  <c r="BC11" i="1"/>
  <c r="BF225" i="1"/>
  <c r="BC16" i="1"/>
  <c r="BC188" i="1"/>
  <c r="S58" i="1"/>
  <c r="BG188" i="1"/>
  <c r="BP225" i="1"/>
  <c r="BN188" i="1"/>
  <c r="BN225" i="1"/>
  <c r="BN12" i="1"/>
  <c r="U58" i="1"/>
  <c r="BO225" i="1"/>
  <c r="BA102" i="1"/>
  <c r="BA104" i="1"/>
  <c r="BA103" i="1"/>
  <c r="BH182" i="1"/>
  <c r="BH157" i="1"/>
  <c r="BH165" i="1" s="1"/>
  <c r="H182" i="1"/>
  <c r="H196" i="1"/>
  <c r="H157" i="1"/>
  <c r="BC12" i="1"/>
  <c r="BF11" i="1"/>
  <c r="BC225" i="1"/>
  <c r="BB11" i="1"/>
  <c r="BB225" i="1"/>
  <c r="BB188" i="1"/>
  <c r="BB16" i="1"/>
  <c r="BE225" i="1"/>
  <c r="BK104" i="1"/>
  <c r="BK102" i="1"/>
  <c r="BK103" i="1"/>
  <c r="BI11" i="1"/>
  <c r="BH225" i="1"/>
  <c r="BF12" i="1"/>
  <c r="BE188" i="1"/>
  <c r="BE16" i="1"/>
  <c r="BP11" i="1"/>
  <c r="BP188" i="1"/>
  <c r="BP27" i="1"/>
  <c r="BQ225" i="1"/>
  <c r="BT11" i="1"/>
  <c r="BT188" i="1"/>
  <c r="BQ188" i="1"/>
  <c r="BS225" i="1"/>
  <c r="BP16" i="1"/>
  <c r="Q207" i="1"/>
  <c r="Q205" i="1" s="1"/>
  <c r="Q54" i="1"/>
  <c r="R197" i="1"/>
  <c r="Q197" i="1"/>
  <c r="Q185" i="1"/>
  <c r="AS102" i="1"/>
  <c r="AS104" i="1"/>
  <c r="AS103" i="1"/>
  <c r="AO102" i="1"/>
  <c r="AO104" i="1"/>
  <c r="AO103" i="1"/>
  <c r="BL225" i="1"/>
  <c r="BI27" i="1"/>
  <c r="BJ188" i="1"/>
  <c r="BJ225" i="1"/>
  <c r="U196" i="1"/>
  <c r="T157" i="1"/>
  <c r="T182" i="1"/>
  <c r="C197" i="1"/>
  <c r="C185" i="1"/>
  <c r="AS188" i="1"/>
  <c r="AV225" i="1"/>
  <c r="AS27" i="1"/>
  <c r="AU103" i="1"/>
  <c r="AU102" i="1"/>
  <c r="AU104" i="1"/>
  <c r="BH92" i="1"/>
  <c r="BH94" i="1" s="1"/>
  <c r="BH248" i="1"/>
  <c r="C175" i="1"/>
  <c r="C248" i="1"/>
  <c r="V209" i="1"/>
  <c r="U248" i="1"/>
  <c r="U168" i="1"/>
  <c r="U109" i="1" s="1"/>
  <c r="BH104" i="1"/>
  <c r="BL244" i="1"/>
  <c r="V197" i="1"/>
  <c r="R206" i="1"/>
  <c r="Q175" i="1"/>
  <c r="F196" i="1"/>
  <c r="R207" i="1"/>
  <c r="V248" i="1"/>
  <c r="J249" i="1"/>
  <c r="J251" i="1" s="1"/>
  <c r="BI134" i="1"/>
  <c r="BE102" i="1"/>
  <c r="BI16" i="1"/>
  <c r="BO103" i="1"/>
  <c r="BM11" i="1"/>
  <c r="V54" i="1"/>
  <c r="Q249" i="1"/>
  <c r="Q251" i="1" s="1"/>
  <c r="P244" i="1"/>
  <c r="J206" i="1"/>
  <c r="J205" i="1" s="1"/>
  <c r="E129" i="1"/>
  <c r="E55" i="1" s="1"/>
  <c r="D207" i="1"/>
  <c r="D205" i="1" s="1"/>
  <c r="E157" i="1"/>
  <c r="I206" i="1"/>
  <c r="F197" i="1"/>
  <c r="I37" i="1"/>
  <c r="BJ244" i="1"/>
  <c r="V196" i="1"/>
  <c r="V198" i="1" s="1"/>
  <c r="V199" i="1" s="1"/>
  <c r="S157" i="1"/>
  <c r="S165" i="1" s="1"/>
  <c r="S166" i="1" s="1"/>
  <c r="D197" i="1"/>
  <c r="I129" i="1"/>
  <c r="I55" i="1" s="1"/>
  <c r="S197" i="1"/>
  <c r="BI33" i="1"/>
  <c r="BI225" i="1"/>
  <c r="AY104" i="1"/>
  <c r="AT102" i="1"/>
  <c r="U157" i="1"/>
  <c r="I197" i="1"/>
  <c r="I249" i="1"/>
  <c r="I251" i="1" s="1"/>
  <c r="S249" i="1"/>
  <c r="S251" i="1" s="1"/>
  <c r="R129" i="1"/>
  <c r="R55" i="1" s="1"/>
  <c r="N33" i="1"/>
  <c r="BE103" i="1"/>
  <c r="AY103" i="1"/>
  <c r="AT104" i="1"/>
  <c r="BD188" i="1"/>
  <c r="J185" i="1"/>
  <c r="G196" i="1"/>
  <c r="S206" i="1"/>
  <c r="S205" i="1" s="1"/>
  <c r="R168" i="1"/>
  <c r="R109" i="1" s="1"/>
  <c r="BH129" i="1"/>
  <c r="BI12" i="1"/>
  <c r="BH102" i="1"/>
  <c r="BM188" i="1"/>
  <c r="BJ12" i="1"/>
  <c r="BU202" i="1"/>
  <c r="Q37" i="1"/>
  <c r="N129" i="1"/>
  <c r="N55" i="1" s="1"/>
  <c r="I248" i="1"/>
  <c r="BV181" i="1"/>
  <c r="BV129" i="1"/>
  <c r="BH168" i="1"/>
  <c r="M207" i="1"/>
  <c r="M205" i="1" s="1"/>
  <c r="BV157" i="1"/>
  <c r="BV165" i="1" s="1"/>
  <c r="BV166" i="1" s="1"/>
  <c r="BW249" i="1"/>
  <c r="R203" i="1"/>
  <c r="R201" i="1" s="1"/>
  <c r="BI249" i="1"/>
  <c r="BV168" i="1"/>
  <c r="M185" i="1"/>
  <c r="Q157" i="1"/>
  <c r="Q165" i="1" s="1"/>
  <c r="I196" i="1"/>
  <c r="I198" i="1" s="1"/>
  <c r="I199" i="1" s="1"/>
  <c r="Q168" i="1"/>
  <c r="Q109" i="1" s="1"/>
  <c r="R196" i="1"/>
  <c r="E197" i="1"/>
  <c r="D157" i="1"/>
  <c r="B129" i="1"/>
  <c r="B55" i="1" s="1"/>
  <c r="I157" i="1"/>
  <c r="D185" i="1"/>
  <c r="D184" i="1" s="1"/>
  <c r="B168" i="1"/>
  <c r="B109" i="1" s="1"/>
  <c r="BR249" i="1"/>
  <c r="K157" i="1"/>
  <c r="C206" i="1"/>
  <c r="Q196" i="1"/>
  <c r="K196" i="1"/>
  <c r="C54" i="1"/>
  <c r="C129" i="1"/>
  <c r="C55" i="1" s="1"/>
  <c r="M54" i="1"/>
  <c r="M175" i="1"/>
  <c r="K182" i="1"/>
  <c r="K181" i="1" s="1"/>
  <c r="B37" i="1"/>
  <c r="F33" i="1"/>
  <c r="F138" i="1"/>
  <c r="F203" i="1" s="1"/>
  <c r="F201" i="1" s="1"/>
  <c r="N175" i="1"/>
  <c r="N54" i="1"/>
  <c r="N248" i="1"/>
  <c r="N207" i="1"/>
  <c r="C207" i="1"/>
  <c r="Q129" i="1"/>
  <c r="Q55" i="1" s="1"/>
  <c r="J196" i="1"/>
  <c r="J198" i="1" s="1"/>
  <c r="J199" i="1" s="1"/>
  <c r="E54" i="1"/>
  <c r="E175" i="1"/>
  <c r="K205" i="1"/>
  <c r="N246" i="1"/>
  <c r="N244" i="1"/>
  <c r="AX202" i="1"/>
  <c r="AW202" i="1"/>
  <c r="D198" i="1"/>
  <c r="D199" i="1" s="1"/>
  <c r="F198" i="1"/>
  <c r="F199" i="1" s="1"/>
  <c r="F205" i="1"/>
  <c r="R205" i="1"/>
  <c r="K203" i="1"/>
  <c r="K201" i="1" s="1"/>
  <c r="J244" i="1"/>
  <c r="J246" i="1"/>
  <c r="T203" i="1"/>
  <c r="T201" i="1" s="1"/>
  <c r="S244" i="1"/>
  <c r="S203" i="1"/>
  <c r="S201" i="1" s="1"/>
  <c r="S246" i="1"/>
  <c r="C68" i="1"/>
  <c r="C69" i="1"/>
  <c r="D165" i="1"/>
  <c r="E165" i="1"/>
  <c r="E166" i="1" s="1"/>
  <c r="E244" i="1"/>
  <c r="E246" i="1"/>
  <c r="B110" i="1"/>
  <c r="B113" i="1" s="1"/>
  <c r="C110" i="1"/>
  <c r="C113" i="1" s="1"/>
  <c r="C111" i="1"/>
  <c r="C114" i="1" s="1"/>
  <c r="N203" i="1"/>
  <c r="N201" i="1" s="1"/>
  <c r="M244" i="1"/>
  <c r="M246" i="1"/>
  <c r="K165" i="1"/>
  <c r="K166" i="1" s="1"/>
  <c r="E203" i="1"/>
  <c r="E201" i="1" s="1"/>
  <c r="L181" i="1"/>
  <c r="L186" i="1"/>
  <c r="H181" i="1"/>
  <c r="H186" i="1"/>
  <c r="M165" i="1"/>
  <c r="AR202" i="1"/>
  <c r="AQ202" i="1"/>
  <c r="K244" i="1"/>
  <c r="K246" i="1"/>
  <c r="BS33" i="1"/>
  <c r="BS134" i="1"/>
  <c r="BR138" i="1"/>
  <c r="P186" i="1"/>
  <c r="P181" i="1"/>
  <c r="Q246" i="1"/>
  <c r="Q244" i="1"/>
  <c r="Q203" i="1"/>
  <c r="Q201" i="1" s="1"/>
  <c r="O246" i="1"/>
  <c r="P203" i="1"/>
  <c r="P201" i="1" s="1"/>
  <c r="I184" i="1"/>
  <c r="I186" i="1"/>
  <c r="E184" i="1"/>
  <c r="E186" i="1"/>
  <c r="U184" i="1"/>
  <c r="U186" i="1"/>
  <c r="V184" i="1"/>
  <c r="V186" i="1"/>
  <c r="V189" i="1" s="1"/>
  <c r="V190" i="1" s="1"/>
  <c r="O203" i="1"/>
  <c r="O201" i="1" s="1"/>
  <c r="O244" i="1"/>
  <c r="BE33" i="1"/>
  <c r="BE134" i="1"/>
  <c r="BD138" i="1"/>
  <c r="R184" i="1"/>
  <c r="BP168" i="1"/>
  <c r="BR129" i="1"/>
  <c r="BS249" i="1"/>
  <c r="BS206" i="1"/>
  <c r="BA134" i="1"/>
  <c r="BA33" i="1"/>
  <c r="AZ138" i="1"/>
  <c r="BQ33" i="1"/>
  <c r="BP138" i="1"/>
  <c r="BQ134" i="1"/>
  <c r="BC209" i="1"/>
  <c r="AV92" i="1"/>
  <c r="AV248" i="1"/>
  <c r="BG249" i="1"/>
  <c r="BH249" i="1"/>
  <c r="BR206" i="1"/>
  <c r="BF129" i="1"/>
  <c r="BF92" i="1"/>
  <c r="BF248" i="1"/>
  <c r="BP96" i="1"/>
  <c r="BQ249" i="1"/>
  <c r="BP248" i="1"/>
  <c r="BP129" i="1"/>
  <c r="BG206" i="1"/>
  <c r="BQ206" i="1"/>
  <c r="BP95" i="1"/>
  <c r="AX182" i="1"/>
  <c r="BV96" i="1"/>
  <c r="BV95" i="1"/>
  <c r="BV94" i="1"/>
  <c r="AY28" i="1"/>
  <c r="AY17" i="1"/>
  <c r="AZ19" i="1"/>
  <c r="AP28" i="1"/>
  <c r="AP18" i="1"/>
  <c r="AP17" i="1"/>
  <c r="BQ17" i="1"/>
  <c r="BQ34" i="1"/>
  <c r="BQ38" i="1" s="1"/>
  <c r="BQ29" i="1"/>
  <c r="BQ232" i="1"/>
  <c r="BQ233" i="1" s="1"/>
  <c r="BN184" i="1"/>
  <c r="BS19" i="1"/>
  <c r="BE28" i="1"/>
  <c r="BE17" i="1"/>
  <c r="BC19" i="1"/>
  <c r="BT19" i="1"/>
  <c r="BW18" i="1"/>
  <c r="BO28" i="1"/>
  <c r="V59" i="1"/>
  <c r="BP19" i="1"/>
  <c r="BS18" i="1"/>
  <c r="BO18" i="1"/>
  <c r="BO17" i="1"/>
  <c r="AJ19" i="1"/>
  <c r="AI17" i="1"/>
  <c r="AM18" i="1"/>
  <c r="AI28" i="1"/>
  <c r="N59" i="1"/>
  <c r="BS28" i="1"/>
  <c r="BS17" i="1"/>
  <c r="BC28" i="1"/>
  <c r="BC17" i="1"/>
  <c r="BC18" i="1"/>
  <c r="BR28" i="1"/>
  <c r="BR19" i="1"/>
  <c r="BR17" i="1"/>
  <c r="AQ19" i="1"/>
  <c r="BB18" i="1"/>
  <c r="AX19" i="1"/>
  <c r="AX17" i="1"/>
  <c r="AX28" i="1"/>
  <c r="AT95" i="1"/>
  <c r="AT96" i="1"/>
  <c r="AT94" i="1"/>
  <c r="BN18" i="1"/>
  <c r="BR18" i="1"/>
  <c r="BN28" i="1"/>
  <c r="BN17" i="1"/>
  <c r="BO19" i="1"/>
  <c r="AN28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T28" i="1"/>
  <c r="BX18" i="1"/>
  <c r="BT17" i="1"/>
  <c r="BT18" i="1"/>
  <c r="BW138" i="1"/>
  <c r="BX33" i="1"/>
  <c r="AY19" i="1"/>
  <c r="BV244" i="1"/>
  <c r="BV246" i="1"/>
  <c r="BR96" i="1"/>
  <c r="BR94" i="1"/>
  <c r="BR95" i="1"/>
  <c r="BH246" i="1"/>
  <c r="BH244" i="1"/>
  <c r="AQ28" i="1"/>
  <c r="AQ18" i="1"/>
  <c r="AQ17" i="1"/>
  <c r="AR19" i="1"/>
  <c r="BB17" i="1"/>
  <c r="BB28" i="1"/>
  <c r="BF18" i="1"/>
  <c r="BB19" i="1"/>
  <c r="CR194" i="1"/>
  <c r="CR132" i="1"/>
  <c r="CQ203" i="1"/>
  <c r="CQ201" i="1" s="1"/>
  <c r="AB206" i="1"/>
  <c r="DB63" i="1"/>
  <c r="DB65" i="1" s="1"/>
  <c r="DA65" i="1"/>
  <c r="AU134" i="1" l="1"/>
  <c r="BD92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F206" i="1"/>
  <c r="BF168" i="1"/>
  <c r="BP249" i="1"/>
  <c r="BP206" i="1"/>
  <c r="BB248" i="1"/>
  <c r="AR248" i="1"/>
  <c r="AX206" i="1"/>
  <c r="AX168" i="1"/>
  <c r="AX129" i="1"/>
  <c r="AX249" i="1"/>
  <c r="BO202" i="1"/>
  <c r="BP202" i="1"/>
  <c r="AT138" i="1"/>
  <c r="AU33" i="1"/>
  <c r="BD248" i="1"/>
  <c r="BO206" i="1"/>
  <c r="BO249" i="1"/>
  <c r="BN249" i="1"/>
  <c r="BN206" i="1"/>
  <c r="AW249" i="1"/>
  <c r="AW206" i="1"/>
  <c r="L198" i="1"/>
  <c r="L199" i="1" s="1"/>
  <c r="O198" i="1"/>
  <c r="O199" i="1" s="1"/>
  <c r="N198" i="1"/>
  <c r="N199" i="1" s="1"/>
  <c r="AP181" i="1"/>
  <c r="AX184" i="1"/>
  <c r="BT184" i="1"/>
  <c r="E205" i="1"/>
  <c r="H246" i="1"/>
  <c r="T246" i="1"/>
  <c r="BP181" i="1"/>
  <c r="BB184" i="1"/>
  <c r="BD184" i="1"/>
  <c r="H165" i="1"/>
  <c r="H166" i="1" s="1"/>
  <c r="T165" i="1"/>
  <c r="T166" i="1" s="1"/>
  <c r="BR184" i="1"/>
  <c r="H244" i="1"/>
  <c r="P198" i="1"/>
  <c r="P199" i="1" s="1"/>
  <c r="T244" i="1"/>
  <c r="AR138" i="1"/>
  <c r="AR246" i="1" s="1"/>
  <c r="P165" i="1"/>
  <c r="P166" i="1" s="1"/>
  <c r="AT184" i="1"/>
  <c r="AS134" i="1"/>
  <c r="AS138" i="1" s="1"/>
  <c r="E198" i="1"/>
  <c r="E199" i="1" s="1"/>
  <c r="I244" i="1"/>
  <c r="M166" i="1"/>
  <c r="AV168" i="1"/>
  <c r="AQ249" i="1"/>
  <c r="AN248" i="1"/>
  <c r="AO134" i="1"/>
  <c r="BC33" i="1"/>
  <c r="AV206" i="1"/>
  <c r="BO33" i="1"/>
  <c r="AY33" i="1"/>
  <c r="BN248" i="1"/>
  <c r="BR168" i="1"/>
  <c r="BG17" i="1"/>
  <c r="T59" i="1"/>
  <c r="I165" i="1"/>
  <c r="I166" i="1" s="1"/>
  <c r="BP184" i="1"/>
  <c r="G246" i="1"/>
  <c r="I246" i="1"/>
  <c r="B186" i="1"/>
  <c r="BB168" i="1"/>
  <c r="AV249" i="1"/>
  <c r="AR249" i="1"/>
  <c r="AO33" i="1"/>
  <c r="BB138" i="1"/>
  <c r="BN168" i="1"/>
  <c r="BC206" i="1"/>
  <c r="BB129" i="1"/>
  <c r="BN138" i="1"/>
  <c r="AR185" i="1"/>
  <c r="BN92" i="1"/>
  <c r="BN19" i="1"/>
  <c r="BG18" i="1"/>
  <c r="R165" i="1"/>
  <c r="O205" i="1"/>
  <c r="T205" i="1"/>
  <c r="V205" i="1"/>
  <c r="S186" i="1"/>
  <c r="S184" i="1"/>
  <c r="S198" i="1"/>
  <c r="S199" i="1" s="1"/>
  <c r="U205" i="1"/>
  <c r="L205" i="1"/>
  <c r="G244" i="1"/>
  <c r="H203" i="1"/>
  <c r="H201" i="1" s="1"/>
  <c r="I203" i="1"/>
  <c r="I201" i="1" s="1"/>
  <c r="J203" i="1"/>
  <c r="J201" i="1" s="1"/>
  <c r="B111" i="1"/>
  <c r="B114" i="1" s="1"/>
  <c r="B181" i="1"/>
  <c r="AN92" i="1"/>
  <c r="AN95" i="1" s="1"/>
  <c r="AR206" i="1"/>
  <c r="AN138" i="1"/>
  <c r="AN246" i="1" s="1"/>
  <c r="BC134" i="1"/>
  <c r="BT129" i="1"/>
  <c r="BN129" i="1"/>
  <c r="BC249" i="1"/>
  <c r="BO134" i="1"/>
  <c r="AY134" i="1"/>
  <c r="AX138" i="1"/>
  <c r="AR157" i="1"/>
  <c r="U59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Q206" i="1"/>
  <c r="AP206" i="1"/>
  <c r="AP249" i="1"/>
  <c r="BB206" i="1"/>
  <c r="BA249" i="1"/>
  <c r="BB249" i="1"/>
  <c r="BA206" i="1"/>
  <c r="AU206" i="1"/>
  <c r="AU249" i="1"/>
  <c r="BP186" i="1"/>
  <c r="BP189" i="1" s="1"/>
  <c r="AY206" i="1"/>
  <c r="AY249" i="1"/>
  <c r="AQ209" i="1"/>
  <c r="AP248" i="1"/>
  <c r="AZ92" i="1"/>
  <c r="AZ248" i="1"/>
  <c r="BS209" i="1"/>
  <c r="BR248" i="1"/>
  <c r="BT92" i="1"/>
  <c r="BT248" i="1"/>
  <c r="BF249" i="1"/>
  <c r="AP168" i="1"/>
  <c r="AP129" i="1"/>
  <c r="AP95" i="1"/>
  <c r="AP94" i="1"/>
  <c r="AP96" i="1"/>
  <c r="AP185" i="1"/>
  <c r="AP157" i="1"/>
  <c r="AV129" i="1"/>
  <c r="BP157" i="1"/>
  <c r="AV182" i="1"/>
  <c r="AV186" i="1" s="1"/>
  <c r="AV157" i="1"/>
  <c r="BB182" i="1"/>
  <c r="BB157" i="1"/>
  <c r="BD182" i="1"/>
  <c r="BD157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K19" i="1"/>
  <c r="BH28" i="1"/>
  <c r="BH17" i="1"/>
  <c r="BL18" i="1"/>
  <c r="BG19" i="1"/>
  <c r="BH19" i="1"/>
  <c r="BK18" i="1"/>
  <c r="BG28" i="1"/>
  <c r="BU19" i="1"/>
  <c r="B165" i="1"/>
  <c r="G198" i="1"/>
  <c r="G199" i="1" s="1"/>
  <c r="D110" i="1"/>
  <c r="D113" i="1" s="1"/>
  <c r="I205" i="1"/>
  <c r="N166" i="1"/>
  <c r="D111" i="1"/>
  <c r="D114" i="1" s="1"/>
  <c r="BV18" i="1"/>
  <c r="H198" i="1"/>
  <c r="H199" i="1" s="1"/>
  <c r="BE18" i="1"/>
  <c r="U198" i="1"/>
  <c r="U199" i="1" s="1"/>
  <c r="K198" i="1"/>
  <c r="K199" i="1" s="1"/>
  <c r="J165" i="1"/>
  <c r="O165" i="1"/>
  <c r="O166" i="1" s="1"/>
  <c r="R186" i="1"/>
  <c r="AP19" i="1"/>
  <c r="AT18" i="1"/>
  <c r="AU18" i="1"/>
  <c r="Q59" i="1"/>
  <c r="AU19" i="1"/>
  <c r="AV19" i="1"/>
  <c r="AU28" i="1"/>
  <c r="AU17" i="1"/>
  <c r="AZ29" i="1"/>
  <c r="AZ34" i="1"/>
  <c r="AZ38" i="1" s="1"/>
  <c r="AO28" i="1"/>
  <c r="AO17" i="1"/>
  <c r="O59" i="1"/>
  <c r="R59" i="1"/>
  <c r="AY18" i="1"/>
  <c r="AZ232" i="1"/>
  <c r="AZ233" i="1" s="1"/>
  <c r="AX18" i="1"/>
  <c r="AO19" i="1"/>
  <c r="AO18" i="1"/>
  <c r="AS18" i="1"/>
  <c r="P59" i="1"/>
  <c r="BV232" i="1"/>
  <c r="BV233" i="1" s="1"/>
  <c r="BZ30" i="1"/>
  <c r="BV29" i="1"/>
  <c r="BV34" i="1"/>
  <c r="BV38" i="1" s="1"/>
  <c r="B69" i="1"/>
  <c r="B68" i="1"/>
  <c r="BV17" i="1"/>
  <c r="BZ18" i="1"/>
  <c r="U165" i="1"/>
  <c r="U166" i="1" s="1"/>
  <c r="Q166" i="1"/>
  <c r="R198" i="1"/>
  <c r="R199" i="1" s="1"/>
  <c r="Q198" i="1"/>
  <c r="Q199" i="1" s="1"/>
  <c r="N205" i="1"/>
  <c r="J166" i="1"/>
  <c r="BL19" i="1"/>
  <c r="BK28" i="1"/>
  <c r="BK17" i="1"/>
  <c r="C165" i="1"/>
  <c r="C244" i="1" s="1"/>
  <c r="D203" i="1"/>
  <c r="D201" i="1" s="1"/>
  <c r="U203" i="1"/>
  <c r="U201" i="1" s="1"/>
  <c r="U246" i="1"/>
  <c r="U244" i="1"/>
  <c r="N181" i="1"/>
  <c r="N186" i="1"/>
  <c r="AR28" i="1"/>
  <c r="AR17" i="1"/>
  <c r="AS19" i="1"/>
  <c r="BY18" i="1"/>
  <c r="BV19" i="1"/>
  <c r="BU18" i="1"/>
  <c r="BU28" i="1"/>
  <c r="BU17" i="1"/>
  <c r="BF28" i="1"/>
  <c r="BF17" i="1"/>
  <c r="BJ18" i="1"/>
  <c r="BF19" i="1"/>
  <c r="O186" i="1"/>
  <c r="O184" i="1"/>
  <c r="F181" i="1"/>
  <c r="F186" i="1"/>
  <c r="L246" i="1"/>
  <c r="M203" i="1"/>
  <c r="M201" i="1" s="1"/>
  <c r="L244" i="1"/>
  <c r="L165" i="1"/>
  <c r="L166" i="1" s="1"/>
  <c r="L203" i="1"/>
  <c r="L201" i="1" s="1"/>
  <c r="G186" i="1"/>
  <c r="G184" i="1"/>
  <c r="BM17" i="1"/>
  <c r="BM19" i="1"/>
  <c r="BQ18" i="1"/>
  <c r="BM28" i="1"/>
  <c r="BD17" i="1"/>
  <c r="BD28" i="1"/>
  <c r="BE19" i="1"/>
  <c r="S59" i="1"/>
  <c r="BD19" i="1"/>
  <c r="BH18" i="1"/>
  <c r="BD18" i="1"/>
  <c r="AS28" i="1"/>
  <c r="AT19" i="1"/>
  <c r="AW18" i="1"/>
  <c r="AS17" i="1"/>
  <c r="V165" i="1"/>
  <c r="V166" i="1" s="1"/>
  <c r="W203" i="1"/>
  <c r="W201" i="1" s="1"/>
  <c r="BA19" i="1"/>
  <c r="BA28" i="1"/>
  <c r="BA17" i="1"/>
  <c r="AT17" i="1"/>
  <c r="AT28" i="1"/>
  <c r="BP17" i="1"/>
  <c r="BQ19" i="1"/>
  <c r="BP28" i="1"/>
  <c r="BP18" i="1"/>
  <c r="Q186" i="1"/>
  <c r="Q184" i="1"/>
  <c r="T181" i="1"/>
  <c r="T186" i="1"/>
  <c r="P213" i="1"/>
  <c r="V203" i="1"/>
  <c r="V201" i="1" s="1"/>
  <c r="V244" i="1"/>
  <c r="V246" i="1"/>
  <c r="AM129" i="1"/>
  <c r="AM55" i="1" s="1"/>
  <c r="AM54" i="1"/>
  <c r="AM207" i="1"/>
  <c r="AM205" i="1" s="1"/>
  <c r="AM92" i="1"/>
  <c r="AM85" i="1"/>
  <c r="AM87" i="1"/>
  <c r="AM86" i="1"/>
  <c r="D69" i="1"/>
  <c r="D68" i="1"/>
  <c r="C184" i="1"/>
  <c r="C186" i="1"/>
  <c r="BI138" i="1"/>
  <c r="BJ33" i="1"/>
  <c r="BH109" i="1"/>
  <c r="BI37" i="1"/>
  <c r="BV109" i="1"/>
  <c r="BW37" i="1"/>
  <c r="BJ232" i="1"/>
  <c r="BJ233" i="1" s="1"/>
  <c r="BJ34" i="1"/>
  <c r="BJ38" i="1" s="1"/>
  <c r="BJ29" i="1"/>
  <c r="BA18" i="1"/>
  <c r="AW28" i="1"/>
  <c r="AW17" i="1"/>
  <c r="BH181" i="1"/>
  <c r="BH186" i="1"/>
  <c r="BL189" i="1" s="1"/>
  <c r="BH95" i="1"/>
  <c r="BH96" i="1"/>
  <c r="BH166" i="1"/>
  <c r="BM18" i="1"/>
  <c r="BI18" i="1"/>
  <c r="BI17" i="1"/>
  <c r="J184" i="1"/>
  <c r="J186" i="1"/>
  <c r="M186" i="1"/>
  <c r="M184" i="1"/>
  <c r="R166" i="1"/>
  <c r="BJ19" i="1"/>
  <c r="BI28" i="1"/>
  <c r="AR165" i="1"/>
  <c r="AR166" i="1" s="1"/>
  <c r="G203" i="1"/>
  <c r="G201" i="1" s="1"/>
  <c r="G213" i="1" s="1"/>
  <c r="BI19" i="1"/>
  <c r="D186" i="1"/>
  <c r="E189" i="1" s="1"/>
  <c r="E190" i="1" s="1"/>
  <c r="K186" i="1"/>
  <c r="L189" i="1" s="1"/>
  <c r="L190" i="1" s="1"/>
  <c r="T210" i="1"/>
  <c r="T211" i="1" s="1"/>
  <c r="C205" i="1"/>
  <c r="C210" i="1" s="1"/>
  <c r="C211" i="1" s="1"/>
  <c r="AT33" i="1"/>
  <c r="F244" i="1"/>
  <c r="F246" i="1"/>
  <c r="F165" i="1"/>
  <c r="F166" i="1" s="1"/>
  <c r="T213" i="1"/>
  <c r="S213" i="1"/>
  <c r="S210" i="1"/>
  <c r="S211" i="1" s="1"/>
  <c r="D70" i="1"/>
  <c r="H210" i="1"/>
  <c r="H211" i="1" s="1"/>
  <c r="B244" i="1"/>
  <c r="B166" i="1"/>
  <c r="K213" i="1"/>
  <c r="K210" i="1"/>
  <c r="K211" i="1" s="1"/>
  <c r="C87" i="1"/>
  <c r="C85" i="1"/>
  <c r="C70" i="1"/>
  <c r="C86" i="1"/>
  <c r="B89" i="1"/>
  <c r="D244" i="1"/>
  <c r="D166" i="1"/>
  <c r="I210" i="1"/>
  <c r="I211" i="1" s="1"/>
  <c r="I213" i="1"/>
  <c r="N213" i="1"/>
  <c r="J210" i="1"/>
  <c r="J211" i="1" s="1"/>
  <c r="H213" i="1"/>
  <c r="J213" i="1"/>
  <c r="P210" i="1"/>
  <c r="P211" i="1" s="1"/>
  <c r="I189" i="1"/>
  <c r="I190" i="1" s="1"/>
  <c r="F213" i="1"/>
  <c r="F210" i="1"/>
  <c r="F211" i="1" s="1"/>
  <c r="E210" i="1"/>
  <c r="E211" i="1" s="1"/>
  <c r="E213" i="1"/>
  <c r="C213" i="1"/>
  <c r="AW37" i="1"/>
  <c r="AV109" i="1"/>
  <c r="BS138" i="1"/>
  <c r="BT33" i="1"/>
  <c r="BR246" i="1"/>
  <c r="BR244" i="1"/>
  <c r="AP33" i="1"/>
  <c r="AO138" i="1"/>
  <c r="O213" i="1"/>
  <c r="Q189" i="1"/>
  <c r="Q190" i="1" s="1"/>
  <c r="O210" i="1"/>
  <c r="O211" i="1" s="1"/>
  <c r="BB109" i="1"/>
  <c r="BC37" i="1"/>
  <c r="AN165" i="1"/>
  <c r="AN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AS203" i="1"/>
  <c r="AS201" i="1" s="1"/>
  <c r="AT203" i="1"/>
  <c r="AT201" i="1" s="1"/>
  <c r="BF250" i="1"/>
  <c r="BF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232" i="1"/>
  <c r="BM233" i="1" s="1"/>
  <c r="BM250" i="1"/>
  <c r="BM251" i="1" s="1"/>
  <c r="BD250" i="1"/>
  <c r="BD251" i="1" s="1"/>
  <c r="O60" i="1"/>
  <c r="AP31" i="1"/>
  <c r="BE232" i="1"/>
  <c r="BE233" i="1" s="1"/>
  <c r="BE29" i="1"/>
  <c r="BE34" i="1"/>
  <c r="BE38" i="1" s="1"/>
  <c r="BF31" i="1"/>
  <c r="BO29" i="1"/>
  <c r="BO34" i="1"/>
  <c r="BO38" i="1" s="1"/>
  <c r="BO232" i="1"/>
  <c r="BO233" i="1" s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BS250" i="1"/>
  <c r="BS251" i="1" s="1"/>
  <c r="BG30" i="1"/>
  <c r="BC34" i="1"/>
  <c r="BC29" i="1"/>
  <c r="BC232" i="1"/>
  <c r="BC233" i="1" s="1"/>
  <c r="BC30" i="1"/>
  <c r="BV30" i="1"/>
  <c r="BT226" i="1"/>
  <c r="BR250" i="1"/>
  <c r="BR251" i="1" s="1"/>
  <c r="BR29" i="1"/>
  <c r="BR31" i="1"/>
  <c r="BS31" i="1"/>
  <c r="BR232" i="1"/>
  <c r="BR233" i="1" s="1"/>
  <c r="BR34" i="1"/>
  <c r="AY31" i="1"/>
  <c r="AY250" i="1"/>
  <c r="BT112" i="1"/>
  <c r="BT31" i="1"/>
  <c r="AV34" i="1"/>
  <c r="AZ30" i="1"/>
  <c r="AV29" i="1"/>
  <c r="AV232" i="1"/>
  <c r="AV233" i="1" s="1"/>
  <c r="BW30" i="1"/>
  <c r="AN250" i="1"/>
  <c r="AN251" i="1" s="1"/>
  <c r="AN34" i="1"/>
  <c r="AN31" i="1"/>
  <c r="AN29" i="1"/>
  <c r="AN232" i="1"/>
  <c r="AN233" i="1" s="1"/>
  <c r="AN226" i="1"/>
  <c r="AN112" i="1"/>
  <c r="AN30" i="1"/>
  <c r="BW31" i="1"/>
  <c r="BN34" i="1"/>
  <c r="BR30" i="1"/>
  <c r="BN29" i="1"/>
  <c r="BO31" i="1"/>
  <c r="BN232" i="1"/>
  <c r="BN233" i="1" s="1"/>
  <c r="BO250" i="1"/>
  <c r="BO251" i="1" s="1"/>
  <c r="BN30" i="1"/>
  <c r="AX232" i="1"/>
  <c r="AX233" i="1" s="1"/>
  <c r="BB30" i="1"/>
  <c r="AX34" i="1"/>
  <c r="AX29" i="1"/>
  <c r="BB34" i="1"/>
  <c r="BB232" i="1"/>
  <c r="BB233" i="1" s="1"/>
  <c r="BB29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AQ29" i="1"/>
  <c r="AQ232" i="1"/>
  <c r="AQ233" i="1" s="1"/>
  <c r="AQ34" i="1"/>
  <c r="AQ30" i="1"/>
  <c r="BT34" i="1"/>
  <c r="BT29" i="1"/>
  <c r="BX30" i="1"/>
  <c r="BT232" i="1"/>
  <c r="BT233" i="1" s="1"/>
  <c r="BQ40" i="1"/>
  <c r="BQ41" i="1"/>
  <c r="CR134" i="1"/>
  <c r="AE142" i="1"/>
  <c r="AC124" i="1"/>
  <c r="BV189" i="1" l="1"/>
  <c r="AR244" i="1"/>
  <c r="AN94" i="1"/>
  <c r="AN96" i="1"/>
  <c r="BR165" i="1"/>
  <c r="BR166" i="1" s="1"/>
  <c r="BP165" i="1"/>
  <c r="BP166" i="1" s="1"/>
  <c r="AQ226" i="1"/>
  <c r="AZ41" i="1"/>
  <c r="AZ40" i="1"/>
  <c r="BV226" i="1"/>
  <c r="BN112" i="1"/>
  <c r="BN226" i="1"/>
  <c r="BA112" i="1"/>
  <c r="AX112" i="1"/>
  <c r="AY112" i="1"/>
  <c r="AY226" i="1"/>
  <c r="AY251" i="1"/>
  <c r="AZ112" i="1"/>
  <c r="BV112" i="1"/>
  <c r="AQ112" i="1"/>
  <c r="AR226" i="1"/>
  <c r="AP226" i="1"/>
  <c r="AP250" i="1"/>
  <c r="AP251" i="1" s="1"/>
  <c r="AP112" i="1"/>
  <c r="BX112" i="1"/>
  <c r="Q60" i="1"/>
  <c r="BV40" i="1"/>
  <c r="BV41" i="1"/>
  <c r="AW250" i="1"/>
  <c r="AW251" i="1" s="1"/>
  <c r="AW31" i="1"/>
  <c r="BG29" i="1"/>
  <c r="BH226" i="1"/>
  <c r="BG112" i="1"/>
  <c r="BG250" i="1"/>
  <c r="BG251" i="1" s="1"/>
  <c r="BG34" i="1"/>
  <c r="BG232" i="1"/>
  <c r="BG233" i="1" s="1"/>
  <c r="BH112" i="1"/>
  <c r="BH31" i="1"/>
  <c r="BG31" i="1"/>
  <c r="BL30" i="1"/>
  <c r="BH29" i="1"/>
  <c r="BH34" i="1"/>
  <c r="BH38" i="1" s="1"/>
  <c r="BH232" i="1"/>
  <c r="BH233" i="1" s="1"/>
  <c r="BH250" i="1"/>
  <c r="BH251" i="1" s="1"/>
  <c r="AO226" i="1"/>
  <c r="AR30" i="1"/>
  <c r="AO112" i="1"/>
  <c r="AO31" i="1"/>
  <c r="BF30" i="1"/>
  <c r="BC251" i="1"/>
  <c r="AR31" i="1"/>
  <c r="AR250" i="1"/>
  <c r="AR251" i="1" s="1"/>
  <c r="AO232" i="1"/>
  <c r="AO233" i="1" s="1"/>
  <c r="AO34" i="1"/>
  <c r="AO38" i="1" s="1"/>
  <c r="AO40" i="1" s="1"/>
  <c r="AR112" i="1"/>
  <c r="AO250" i="1"/>
  <c r="AO251" i="1" s="1"/>
  <c r="AO30" i="1"/>
  <c r="AO29" i="1"/>
  <c r="AV30" i="1"/>
  <c r="Q213" i="1"/>
  <c r="Q210" i="1"/>
  <c r="Q211" i="1" s="1"/>
  <c r="BJ30" i="1"/>
  <c r="AX226" i="1"/>
  <c r="M213" i="1"/>
  <c r="C166" i="1"/>
  <c r="D210" i="1"/>
  <c r="D211" i="1" s="1"/>
  <c r="D213" i="1"/>
  <c r="U213" i="1"/>
  <c r="U210" i="1"/>
  <c r="U211" i="1" s="1"/>
  <c r="BA226" i="1"/>
  <c r="N210" i="1"/>
  <c r="N211" i="1" s="1"/>
  <c r="M210" i="1"/>
  <c r="M211" i="1" s="1"/>
  <c r="J189" i="1"/>
  <c r="J190" i="1" s="1"/>
  <c r="R210" i="1"/>
  <c r="R211" i="1" s="1"/>
  <c r="R213" i="1"/>
  <c r="L213" i="1"/>
  <c r="L210" i="1"/>
  <c r="L211" i="1" s="1"/>
  <c r="F189" i="1"/>
  <c r="F190" i="1" s="1"/>
  <c r="H189" i="1"/>
  <c r="H190" i="1" s="1"/>
  <c r="G189" i="1"/>
  <c r="G190" i="1" s="1"/>
  <c r="P189" i="1"/>
  <c r="P190" i="1" s="1"/>
  <c r="O189" i="1"/>
  <c r="O190" i="1" s="1"/>
  <c r="AS112" i="1"/>
  <c r="S60" i="1"/>
  <c r="U60" i="1"/>
  <c r="AS232" i="1"/>
  <c r="AS233" i="1" s="1"/>
  <c r="AS34" i="1"/>
  <c r="AS38" i="1" s="1"/>
  <c r="AT31" i="1"/>
  <c r="AS250" i="1"/>
  <c r="AS251" i="1" s="1"/>
  <c r="AS29" i="1"/>
  <c r="AT250" i="1"/>
  <c r="AT251" i="1" s="1"/>
  <c r="AS226" i="1"/>
  <c r="BE30" i="1"/>
  <c r="AV112" i="1"/>
  <c r="BD226" i="1"/>
  <c r="BC112" i="1"/>
  <c r="BC226" i="1"/>
  <c r="BB226" i="1"/>
  <c r="R60" i="1"/>
  <c r="AR29" i="1"/>
  <c r="AR34" i="1"/>
  <c r="AR38" i="1" s="1"/>
  <c r="AR232" i="1"/>
  <c r="AR233" i="1" s="1"/>
  <c r="B86" i="1"/>
  <c r="B85" i="1"/>
  <c r="B87" i="1"/>
  <c r="BF34" i="1"/>
  <c r="BF38" i="1" s="1"/>
  <c r="BF232" i="1"/>
  <c r="BF233" i="1" s="1"/>
  <c r="BF29" i="1"/>
  <c r="BA31" i="1"/>
  <c r="BA34" i="1"/>
  <c r="BA38" i="1" s="1"/>
  <c r="BA232" i="1"/>
  <c r="BA233" i="1" s="1"/>
  <c r="BA29" i="1"/>
  <c r="BA250" i="1"/>
  <c r="BA251" i="1" s="1"/>
  <c r="AT232" i="1"/>
  <c r="AT233" i="1" s="1"/>
  <c r="AT29" i="1"/>
  <c r="AT34" i="1"/>
  <c r="AT38" i="1" s="1"/>
  <c r="BW112" i="1"/>
  <c r="BU31" i="1"/>
  <c r="BU250" i="1"/>
  <c r="BU251" i="1" s="1"/>
  <c r="BW226" i="1"/>
  <c r="BU112" i="1"/>
  <c r="BN31" i="1"/>
  <c r="BO226" i="1"/>
  <c r="BO112" i="1"/>
  <c r="BP226" i="1"/>
  <c r="BN250" i="1"/>
  <c r="BN251" i="1" s="1"/>
  <c r="BP112" i="1"/>
  <c r="BD30" i="1"/>
  <c r="BD232" i="1"/>
  <c r="BD233" i="1" s="1"/>
  <c r="BE31" i="1"/>
  <c r="BD34" i="1"/>
  <c r="BD38" i="1" s="1"/>
  <c r="BD29" i="1"/>
  <c r="BH30" i="1"/>
  <c r="BE250" i="1"/>
  <c r="BE251" i="1" s="1"/>
  <c r="BE112" i="1"/>
  <c r="BE226" i="1"/>
  <c r="BG226" i="1"/>
  <c r="BD31" i="1"/>
  <c r="BF112" i="1"/>
  <c r="BF226" i="1"/>
  <c r="AS31" i="1"/>
  <c r="AT112" i="1"/>
  <c r="AS30" i="1"/>
  <c r="AU112" i="1"/>
  <c r="AV226" i="1"/>
  <c r="AU226" i="1"/>
  <c r="AT226" i="1"/>
  <c r="P60" i="1"/>
  <c r="BB112" i="1"/>
  <c r="BD112" i="1"/>
  <c r="BB250" i="1"/>
  <c r="BB251" i="1" s="1"/>
  <c r="BB31" i="1"/>
  <c r="AU250" i="1"/>
  <c r="AU251" i="1" s="1"/>
  <c r="AX30" i="1"/>
  <c r="AU31" i="1"/>
  <c r="AW112" i="1"/>
  <c r="AW226" i="1"/>
  <c r="BR226" i="1"/>
  <c r="BS112" i="1"/>
  <c r="V60" i="1"/>
  <c r="BQ226" i="1"/>
  <c r="BR112" i="1"/>
  <c r="BQ112" i="1"/>
  <c r="BP250" i="1"/>
  <c r="BP251" i="1" s="1"/>
  <c r="BT30" i="1"/>
  <c r="BP31" i="1"/>
  <c r="M189" i="1"/>
  <c r="M190" i="1" s="1"/>
  <c r="N189" i="1"/>
  <c r="N190" i="1" s="1"/>
  <c r="BI31" i="1"/>
  <c r="BJ226" i="1"/>
  <c r="V210" i="1"/>
  <c r="V211" i="1" s="1"/>
  <c r="V213" i="1"/>
  <c r="AM94" i="1"/>
  <c r="AM95" i="1"/>
  <c r="AM96" i="1"/>
  <c r="D85" i="1"/>
  <c r="D86" i="1"/>
  <c r="D87" i="1"/>
  <c r="C89" i="1"/>
  <c r="C189" i="1"/>
  <c r="C190" i="1" s="1"/>
  <c r="D189" i="1"/>
  <c r="D190" i="1" s="1"/>
  <c r="BJ203" i="1"/>
  <c r="BJ201" i="1" s="1"/>
  <c r="BI203" i="1"/>
  <c r="BI201" i="1" s="1"/>
  <c r="BH110" i="1"/>
  <c r="BH113" i="1" s="1"/>
  <c r="BH111" i="1"/>
  <c r="BH114" i="1" s="1"/>
  <c r="BV110" i="1"/>
  <c r="BV113" i="1" s="1"/>
  <c r="BV111" i="1"/>
  <c r="BV114" i="1" s="1"/>
  <c r="BJ41" i="1"/>
  <c r="BJ40" i="1"/>
  <c r="AW34" i="1"/>
  <c r="AW29" i="1"/>
  <c r="AW232" i="1"/>
  <c r="AW233" i="1" s="1"/>
  <c r="BA30" i="1"/>
  <c r="AW30" i="1"/>
  <c r="AX250" i="1"/>
  <c r="AX251" i="1" s="1"/>
  <c r="AZ226" i="1"/>
  <c r="AX31" i="1"/>
  <c r="BL226" i="1"/>
  <c r="BI232" i="1"/>
  <c r="BI233" i="1" s="1"/>
  <c r="BI34" i="1"/>
  <c r="K189" i="1"/>
  <c r="K190" i="1" s="1"/>
  <c r="T60" i="1"/>
  <c r="BI29" i="1"/>
  <c r="G210" i="1"/>
  <c r="G211" i="1" s="1"/>
  <c r="BI250" i="1"/>
  <c r="BI251" i="1" s="1"/>
  <c r="BK112" i="1"/>
  <c r="BI112" i="1"/>
  <c r="BL112" i="1"/>
  <c r="BI226" i="1"/>
  <c r="BJ250" i="1"/>
  <c r="BJ251" i="1" s="1"/>
  <c r="BJ112" i="1"/>
  <c r="BJ113" i="1" s="1"/>
  <c r="BM30" i="1"/>
  <c r="BJ31" i="1"/>
  <c r="BK226" i="1"/>
  <c r="BI30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4" i="1" s="1"/>
  <c r="BN110" i="1"/>
  <c r="BN113" i="1" s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BK41" i="1"/>
  <c r="BK40" i="1"/>
  <c r="AY40" i="1"/>
  <c r="AY41" i="1"/>
  <c r="AP40" i="1"/>
  <c r="AP41" i="1"/>
  <c r="AP43" i="1" s="1"/>
  <c r="BU41" i="1"/>
  <c r="BY43" i="1" s="1"/>
  <c r="BU40" i="1"/>
  <c r="BP40" i="1"/>
  <c r="BP41" i="1"/>
  <c r="BQ44" i="1" s="1"/>
  <c r="BM40" i="1"/>
  <c r="BM41" i="1"/>
  <c r="BE40" i="1"/>
  <c r="BE41" i="1"/>
  <c r="BV55" i="1"/>
  <c r="BO41" i="1"/>
  <c r="BO40" i="1"/>
  <c r="AL114" i="1"/>
  <c r="AL113" i="1"/>
  <c r="AI38" i="1"/>
  <c r="AL55" i="1"/>
  <c r="AU41" i="1"/>
  <c r="AU40" i="1"/>
  <c r="BC38" i="1"/>
  <c r="BR38" i="1"/>
  <c r="BR55" i="1"/>
  <c r="AX38" i="1"/>
  <c r="BN38" i="1"/>
  <c r="BP55" i="1"/>
  <c r="AQ38" i="1"/>
  <c r="BX55" i="1"/>
  <c r="BZ55" i="1"/>
  <c r="BW38" i="1"/>
  <c r="BB38" i="1"/>
  <c r="AN55" i="1"/>
  <c r="AN38" i="1"/>
  <c r="AV38" i="1"/>
  <c r="BT38" i="1"/>
  <c r="BT55" i="1"/>
  <c r="BN55" i="1"/>
  <c r="BY55" i="1"/>
  <c r="BZ113" i="1"/>
  <c r="BZ114" i="1"/>
  <c r="BS40" i="1"/>
  <c r="BS41" i="1"/>
  <c r="BQ42" i="1"/>
  <c r="BQ245" i="1" s="1"/>
  <c r="BQ48" i="1"/>
  <c r="BQ234" i="1"/>
  <c r="CR138" i="1"/>
  <c r="CS32" i="1"/>
  <c r="AT114" i="1" l="1"/>
  <c r="AT113" i="1"/>
  <c r="BD114" i="1"/>
  <c r="BD113" i="1"/>
  <c r="AX113" i="1"/>
  <c r="AX114" i="1"/>
  <c r="AP113" i="1"/>
  <c r="AP114" i="1"/>
  <c r="AZ113" i="1"/>
  <c r="AZ114" i="1"/>
  <c r="AS40" i="1"/>
  <c r="AS41" i="1"/>
  <c r="BX113" i="1"/>
  <c r="BX114" i="1"/>
  <c r="AZ234" i="1"/>
  <c r="AZ48" i="1"/>
  <c r="AZ42" i="1"/>
  <c r="AZ245" i="1" s="1"/>
  <c r="AP55" i="1"/>
  <c r="AO41" i="1"/>
  <c r="BV42" i="1"/>
  <c r="BV245" i="1" s="1"/>
  <c r="BV48" i="1"/>
  <c r="BV234" i="1"/>
  <c r="BZ43" i="1"/>
  <c r="BH41" i="1"/>
  <c r="BH40" i="1"/>
  <c r="BG38" i="1"/>
  <c r="AR41" i="1"/>
  <c r="AR40" i="1"/>
  <c r="AV113" i="1"/>
  <c r="AV114" i="1"/>
  <c r="BB114" i="1"/>
  <c r="BB113" i="1"/>
  <c r="BP113" i="1"/>
  <c r="BP114" i="1"/>
  <c r="BF114" i="1"/>
  <c r="BF113" i="1"/>
  <c r="BR113" i="1"/>
  <c r="BR114" i="1"/>
  <c r="BD55" i="1"/>
  <c r="BD40" i="1"/>
  <c r="BD41" i="1"/>
  <c r="BF55" i="1"/>
  <c r="AR55" i="1"/>
  <c r="AT55" i="1"/>
  <c r="BB55" i="1"/>
  <c r="AV55" i="1"/>
  <c r="BH55" i="1"/>
  <c r="BF40" i="1"/>
  <c r="BF41" i="1"/>
  <c r="BF44" i="1" s="1"/>
  <c r="BA40" i="1"/>
  <c r="BA41" i="1"/>
  <c r="BE43" i="1" s="1"/>
  <c r="AT40" i="1"/>
  <c r="AT41" i="1"/>
  <c r="BJ48" i="1"/>
  <c r="BJ42" i="1"/>
  <c r="BJ245" i="1" s="1"/>
  <c r="BJ234" i="1"/>
  <c r="AW38" i="1"/>
  <c r="AZ55" i="1"/>
  <c r="AX55" i="1"/>
  <c r="BI38" i="1"/>
  <c r="BL55" i="1"/>
  <c r="BJ55" i="1"/>
  <c r="BL113" i="1"/>
  <c r="BL114" i="1"/>
  <c r="BJ114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BP48" i="1"/>
  <c r="BP43" i="1"/>
  <c r="BP234" i="1"/>
  <c r="BP42" i="1"/>
  <c r="BP245" i="1" s="1"/>
  <c r="BM48" i="1"/>
  <c r="BM44" i="1"/>
  <c r="BM234" i="1"/>
  <c r="BM227" i="1"/>
  <c r="BQ43" i="1"/>
  <c r="BM42" i="1"/>
  <c r="BM245" i="1" s="1"/>
  <c r="BE42" i="1"/>
  <c r="BE245" i="1" s="1"/>
  <c r="BE48" i="1"/>
  <c r="BE234" i="1"/>
  <c r="BC41" i="1"/>
  <c r="BC40" i="1"/>
  <c r="BS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P44" i="1"/>
  <c r="AO48" i="1"/>
  <c r="AZ66" i="1"/>
  <c r="AZ52" i="1"/>
  <c r="AZ193" i="1"/>
  <c r="AZ195" i="1" s="1"/>
  <c r="BR41" i="1"/>
  <c r="BR40" i="1"/>
  <c r="AO43" i="1"/>
  <c r="AO234" i="1"/>
  <c r="AS43" i="1"/>
  <c r="AO42" i="1"/>
  <c r="AO245" i="1" s="1"/>
  <c r="BW41" i="1"/>
  <c r="BW43" i="1" s="1"/>
  <c r="BW40" i="1"/>
  <c r="BN41" i="1"/>
  <c r="BN40" i="1"/>
  <c r="AQ41" i="1"/>
  <c r="AQ40" i="1"/>
  <c r="BT41" i="1"/>
  <c r="BT40" i="1"/>
  <c r="AV40" i="1"/>
  <c r="AV41" i="1"/>
  <c r="AN41" i="1"/>
  <c r="AN40" i="1"/>
  <c r="AX41" i="1"/>
  <c r="AX40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CS194" i="1"/>
  <c r="CS132" i="1"/>
  <c r="CR203" i="1"/>
  <c r="CR201" i="1" s="1"/>
  <c r="AC125" i="1"/>
  <c r="AC128" i="1" s="1"/>
  <c r="AC249" i="1" s="1"/>
  <c r="BH48" i="1" l="1"/>
  <c r="BL43" i="1"/>
  <c r="BH234" i="1"/>
  <c r="BH42" i="1"/>
  <c r="BH245" i="1" s="1"/>
  <c r="BV193" i="1"/>
  <c r="BV195" i="1" s="1"/>
  <c r="BV66" i="1"/>
  <c r="BV52" i="1"/>
  <c r="BG40" i="1"/>
  <c r="BG41" i="1"/>
  <c r="AR234" i="1"/>
  <c r="AR48" i="1"/>
  <c r="AR42" i="1"/>
  <c r="AR245" i="1" s="1"/>
  <c r="AS44" i="1"/>
  <c r="AT44" i="1"/>
  <c r="BH43" i="1"/>
  <c r="BF42" i="1"/>
  <c r="BF245" i="1" s="1"/>
  <c r="BF48" i="1"/>
  <c r="BF234" i="1"/>
  <c r="BJ43" i="1"/>
  <c r="BA48" i="1"/>
  <c r="BA44" i="1"/>
  <c r="BA42" i="1"/>
  <c r="BA245" i="1" s="1"/>
  <c r="BA234" i="1"/>
  <c r="AT42" i="1"/>
  <c r="AT245" i="1" s="1"/>
  <c r="AT234" i="1"/>
  <c r="AT48" i="1"/>
  <c r="AU227" i="1"/>
  <c r="AU44" i="1"/>
  <c r="BJ66" i="1"/>
  <c r="BJ193" i="1"/>
  <c r="BJ195" i="1" s="1"/>
  <c r="BJ52" i="1"/>
  <c r="AW40" i="1"/>
  <c r="AW41" i="1"/>
  <c r="BI41" i="1"/>
  <c r="BI40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M66" i="1"/>
  <c r="BM52" i="1"/>
  <c r="BP52" i="1"/>
  <c r="BP193" i="1"/>
  <c r="BP195" i="1" s="1"/>
  <c r="BP66" i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V43" i="1"/>
  <c r="AV44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Y44" i="1"/>
  <c r="AX43" i="1"/>
  <c r="BA227" i="1"/>
  <c r="BH52" i="1"/>
  <c r="BT227" i="1"/>
  <c r="BT44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BH66" i="1" l="1"/>
  <c r="BH193" i="1"/>
  <c r="BH195" i="1" s="1"/>
  <c r="BK43" i="1"/>
  <c r="BG48" i="1"/>
  <c r="BH227" i="1"/>
  <c r="BG43" i="1"/>
  <c r="BG42" i="1"/>
  <c r="BG245" i="1" s="1"/>
  <c r="BH44" i="1"/>
  <c r="BG227" i="1"/>
  <c r="BG234" i="1"/>
  <c r="BG44" i="1"/>
  <c r="AR66" i="1"/>
  <c r="AR193" i="1"/>
  <c r="AR195" i="1" s="1"/>
  <c r="AR52" i="1"/>
  <c r="BF66" i="1"/>
  <c r="BF193" i="1"/>
  <c r="BF195" i="1" s="1"/>
  <c r="BF52" i="1"/>
  <c r="BA66" i="1"/>
  <c r="BA119" i="1"/>
  <c r="BA120" i="1" s="1"/>
  <c r="BA54" i="1" s="1"/>
  <c r="BA193" i="1"/>
  <c r="BA195" i="1" s="1"/>
  <c r="BA52" i="1"/>
  <c r="AT52" i="1"/>
  <c r="AT193" i="1"/>
  <c r="AT195" i="1" s="1"/>
  <c r="AT66" i="1"/>
  <c r="AW227" i="1"/>
  <c r="AX227" i="1"/>
  <c r="AY227" i="1"/>
  <c r="AW44" i="1"/>
  <c r="AZ227" i="1"/>
  <c r="AX44" i="1"/>
  <c r="BI44" i="1"/>
  <c r="BI43" i="1"/>
  <c r="BK227" i="1"/>
  <c r="BM43" i="1"/>
  <c r="BL227" i="1"/>
  <c r="BI48" i="1"/>
  <c r="BI234" i="1"/>
  <c r="BJ44" i="1"/>
  <c r="BI42" i="1"/>
  <c r="BI245" i="1" s="1"/>
  <c r="BJ227" i="1"/>
  <c r="BI227" i="1"/>
  <c r="AW43" i="1"/>
  <c r="BA43" i="1"/>
  <c r="AW42" i="1"/>
  <c r="AW245" i="1" s="1"/>
  <c r="AW234" i="1"/>
  <c r="AW48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M54" i="1"/>
  <c r="BM207" i="1"/>
  <c r="BM205" i="1" s="1"/>
  <c r="BM129" i="1"/>
  <c r="BM55" i="1" s="1"/>
  <c r="BM92" i="1"/>
  <c r="BF207" i="1"/>
  <c r="BF205" i="1" s="1"/>
  <c r="BE92" i="1"/>
  <c r="BE129" i="1"/>
  <c r="BE55" i="1" s="1"/>
  <c r="BE207" i="1"/>
  <c r="BE205" i="1" s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BT54" i="1"/>
  <c r="BR52" i="1"/>
  <c r="BR193" i="1"/>
  <c r="BR195" i="1" s="1"/>
  <c r="BR66" i="1"/>
  <c r="BR54" i="1"/>
  <c r="V61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BV69" i="1" s="1"/>
  <c r="BR89" i="1" s="1"/>
  <c r="AX52" i="1"/>
  <c r="AX66" i="1"/>
  <c r="AX193" i="1"/>
  <c r="AX195" i="1" s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AU69" i="1" l="1"/>
  <c r="BG52" i="1"/>
  <c r="BG66" i="1"/>
  <c r="BG119" i="1"/>
  <c r="BG120" i="1" s="1"/>
  <c r="BH54" i="1"/>
  <c r="BG193" i="1"/>
  <c r="BG195" i="1" s="1"/>
  <c r="BK54" i="1"/>
  <c r="BL54" i="1"/>
  <c r="BI52" i="1"/>
  <c r="BI193" i="1"/>
  <c r="BI195" i="1" s="1"/>
  <c r="BI66" i="1"/>
  <c r="BI119" i="1"/>
  <c r="BI120" i="1" s="1"/>
  <c r="BA129" i="1"/>
  <c r="BA55" i="1" s="1"/>
  <c r="BA92" i="1"/>
  <c r="BA207" i="1"/>
  <c r="BA205" i="1" s="1"/>
  <c r="BB207" i="1"/>
  <c r="BB205" i="1" s="1"/>
  <c r="BF69" i="1"/>
  <c r="BJ54" i="1"/>
  <c r="T61" i="1"/>
  <c r="AY54" i="1"/>
  <c r="Q61" i="1"/>
  <c r="AX54" i="1"/>
  <c r="AZ54" i="1"/>
  <c r="AW52" i="1"/>
  <c r="AW119" i="1"/>
  <c r="AW120" i="1" s="1"/>
  <c r="AW66" i="1"/>
  <c r="AW193" i="1"/>
  <c r="AW195" i="1" s="1"/>
  <c r="BM85" i="1"/>
  <c r="BM87" i="1"/>
  <c r="BM86" i="1"/>
  <c r="BK96" i="1"/>
  <c r="BK94" i="1"/>
  <c r="BK95" i="1"/>
  <c r="BU94" i="1"/>
  <c r="BU96" i="1"/>
  <c r="BU95" i="1"/>
  <c r="AY94" i="1"/>
  <c r="AY95" i="1"/>
  <c r="AY96" i="1"/>
  <c r="BR69" i="1"/>
  <c r="BR86" i="1" s="1"/>
  <c r="BT69" i="1"/>
  <c r="BS69" i="1"/>
  <c r="AS95" i="1"/>
  <c r="AS96" i="1"/>
  <c r="AS94" i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V69" i="1"/>
  <c r="AT69" i="1"/>
  <c r="AR69" i="1"/>
  <c r="AS69" i="1"/>
  <c r="BQ69" i="1"/>
  <c r="BO69" i="1"/>
  <c r="BN69" i="1"/>
  <c r="BP69" i="1"/>
  <c r="AQ69" i="1"/>
  <c r="AN69" i="1"/>
  <c r="AP69" i="1"/>
  <c r="AO69" i="1"/>
  <c r="BE69" i="1"/>
  <c r="BE86" i="1" s="1"/>
  <c r="BD69" i="1"/>
  <c r="BB69" i="1"/>
  <c r="BC69" i="1"/>
  <c r="BZ69" i="1"/>
  <c r="BX69" i="1"/>
  <c r="BY69" i="1"/>
  <c r="BW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AU87" i="1" l="1"/>
  <c r="AU86" i="1"/>
  <c r="AQ89" i="1"/>
  <c r="AU85" i="1"/>
  <c r="BK69" i="1"/>
  <c r="BB89" i="1"/>
  <c r="BF85" i="1"/>
  <c r="AY69" i="1"/>
  <c r="AY86" i="1" s="1"/>
  <c r="AX69" i="1"/>
  <c r="AW69" i="1"/>
  <c r="BJ69" i="1"/>
  <c r="BF89" i="1" s="1"/>
  <c r="BG69" i="1"/>
  <c r="BH69" i="1"/>
  <c r="BI69" i="1"/>
  <c r="BG207" i="1"/>
  <c r="BG205" i="1" s="1"/>
  <c r="BG129" i="1"/>
  <c r="BG55" i="1" s="1"/>
  <c r="BG54" i="1"/>
  <c r="BH207" i="1"/>
  <c r="BH205" i="1" s="1"/>
  <c r="BG92" i="1"/>
  <c r="BI92" i="1"/>
  <c r="BL69" i="1"/>
  <c r="AZ69" i="1"/>
  <c r="BI129" i="1"/>
  <c r="BI55" i="1" s="1"/>
  <c r="BI207" i="1"/>
  <c r="BI205" i="1" s="1"/>
  <c r="BI54" i="1"/>
  <c r="BJ207" i="1"/>
  <c r="BJ205" i="1" s="1"/>
  <c r="BF87" i="1"/>
  <c r="BF86" i="1"/>
  <c r="BA96" i="1"/>
  <c r="BA94" i="1"/>
  <c r="BA95" i="1"/>
  <c r="AW54" i="1"/>
  <c r="AX207" i="1"/>
  <c r="AX205" i="1" s="1"/>
  <c r="AW92" i="1"/>
  <c r="AW207" i="1"/>
  <c r="AW205" i="1" s="1"/>
  <c r="AW129" i="1"/>
  <c r="AW55" i="1" s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G94" i="1" l="1"/>
  <c r="BG95" i="1"/>
  <c r="BG96" i="1"/>
  <c r="BH89" i="1"/>
  <c r="BL87" i="1"/>
  <c r="AW96" i="1"/>
  <c r="AW94" i="1"/>
  <c r="AW95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232" i="1" l="1"/>
  <c r="CU233" i="1" s="1"/>
  <c r="CU157" i="1"/>
  <c r="CV196" i="1"/>
  <c r="CY145" i="1"/>
  <c r="CY16" i="1"/>
  <c r="CY153" i="1"/>
  <c r="CY146" i="1"/>
  <c r="CY152" i="1"/>
  <c r="CY156" i="1" s="1"/>
  <c r="CY26" i="1"/>
  <c r="CY23" i="1" s="1"/>
  <c r="CY144" i="1"/>
  <c r="CY148" i="1" s="1"/>
  <c r="CU34" i="1"/>
  <c r="CU29" i="1"/>
  <c r="CU30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9" i="1" l="1"/>
  <c r="CY34" i="1"/>
  <c r="CY30" i="1"/>
  <c r="CY250" i="1"/>
  <c r="CY251" i="1" s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7" i="1"/>
  <c r="AA110" i="1"/>
  <c r="AA87" i="1"/>
  <c r="AA85" i="1"/>
  <c r="AA113" i="1"/>
  <c r="AA108" i="1"/>
  <c r="AA111" i="1"/>
  <c r="AA114" i="1"/>
  <c r="AA86" i="1"/>
  <c r="AA92" i="1"/>
  <c r="AA99" i="1"/>
  <c r="AA94" i="1"/>
  <c r="AA96" i="1"/>
  <c r="AA95" i="1"/>
  <c r="AA102" i="1"/>
  <c r="AA104" i="1"/>
  <c r="AA103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X65" i="1"/>
  <c r="Z69" i="1"/>
  <c r="Z104" i="1"/>
  <c r="Z103" i="1"/>
  <c r="X99" i="1"/>
  <c r="X107" i="1"/>
  <c r="X108" i="1"/>
  <c r="W65" i="1"/>
  <c r="W92" i="1"/>
  <c r="W94" i="1"/>
  <c r="AD99" i="1"/>
  <c r="P65" i="1"/>
  <c r="P66" i="1"/>
  <c r="P69" i="1"/>
  <c r="V65" i="1"/>
  <c r="V92" i="1"/>
  <c r="V96" i="1"/>
  <c r="Q65" i="1"/>
  <c r="Q107" i="1"/>
  <c r="Q110" i="1"/>
  <c r="Z89" i="1"/>
  <c r="AD107" i="1"/>
  <c r="X110" i="1"/>
  <c r="V95" i="1"/>
  <c r="N65" i="1"/>
  <c r="N107" i="1"/>
  <c r="N110" i="1"/>
  <c r="N113" i="1"/>
  <c r="AB108" i="1"/>
  <c r="L65" i="1"/>
  <c r="L107" i="1"/>
  <c r="L110" i="1"/>
  <c r="W66" i="1"/>
  <c r="AC66" i="1"/>
  <c r="O89" i="1"/>
  <c r="AE99" i="1"/>
  <c r="AC68" i="1"/>
  <c r="AD66" i="1"/>
  <c r="AE66" i="1"/>
  <c r="AE104" i="1"/>
  <c r="Z68" i="1"/>
  <c r="G65" i="1"/>
  <c r="G92" i="1"/>
  <c r="G95" i="1"/>
  <c r="Q66" i="1"/>
  <c r="Q69" i="1"/>
  <c r="Q70" i="1"/>
  <c r="P107" i="1"/>
  <c r="J65" i="1"/>
  <c r="J66" i="1"/>
  <c r="J69" i="1"/>
  <c r="S65" i="1"/>
  <c r="S66" i="1"/>
  <c r="S68" i="1"/>
  <c r="X66" i="1"/>
  <c r="Y68" i="1"/>
  <c r="Y69" i="1"/>
  <c r="Y103" i="1"/>
  <c r="Y102" i="1"/>
  <c r="Y104" i="1"/>
  <c r="Y95" i="1"/>
  <c r="Y94" i="1"/>
  <c r="Y96" i="1"/>
  <c r="Z86" i="1"/>
  <c r="Z85" i="1"/>
  <c r="Z87" i="1"/>
  <c r="Y85" i="1"/>
  <c r="Y86" i="1"/>
  <c r="Y87" i="1"/>
  <c r="X69" i="1"/>
  <c r="Y70" i="1"/>
  <c r="X68" i="1"/>
  <c r="Z70" i="1"/>
  <c r="X104" i="1"/>
  <c r="X103" i="1"/>
  <c r="X102" i="1"/>
  <c r="X85" i="1"/>
  <c r="X87" i="1"/>
  <c r="X86" i="1"/>
  <c r="I65" i="1"/>
  <c r="I99" i="1"/>
  <c r="Q99" i="1"/>
  <c r="U65" i="1"/>
  <c r="U99" i="1"/>
  <c r="F63" i="1"/>
  <c r="F65" i="1"/>
  <c r="F99" i="1"/>
  <c r="R65" i="1"/>
  <c r="R99" i="1"/>
  <c r="N66" i="1"/>
  <c r="N69" i="1"/>
  <c r="T65" i="1"/>
  <c r="E63" i="1"/>
  <c r="E65" i="1"/>
  <c r="E99" i="1"/>
  <c r="H65" i="1"/>
  <c r="H99" i="1"/>
  <c r="V99" i="1"/>
  <c r="G66" i="1"/>
  <c r="G69" i="1"/>
  <c r="K65" i="1"/>
  <c r="R66" i="1"/>
  <c r="R69" i="1"/>
  <c r="K99" i="1"/>
  <c r="L99" i="1"/>
  <c r="T99" i="1"/>
  <c r="G99" i="1"/>
  <c r="S99" i="1"/>
  <c r="J99" i="1"/>
  <c r="N99" i="1"/>
  <c r="H66" i="1"/>
  <c r="U66" i="1"/>
  <c r="U69" i="1"/>
  <c r="V66" i="1"/>
  <c r="E66" i="1"/>
  <c r="T66" i="1"/>
  <c r="T69" i="1"/>
  <c r="M65" i="1"/>
  <c r="M66" i="1"/>
  <c r="M69" i="1"/>
  <c r="O65" i="1"/>
  <c r="O99" i="1"/>
  <c r="W99" i="1"/>
  <c r="K66" i="1"/>
  <c r="M85" i="1"/>
  <c r="Q68" i="1"/>
  <c r="G107" i="1"/>
  <c r="T87" i="1"/>
  <c r="R68" i="1"/>
  <c r="E103" i="1"/>
  <c r="M92" i="1"/>
  <c r="E102" i="1"/>
  <c r="Q102" i="1"/>
  <c r="E108" i="1"/>
  <c r="L108" i="1"/>
  <c r="R107" i="1"/>
  <c r="R110" i="1"/>
  <c r="R113" i="1"/>
  <c r="N103" i="1"/>
  <c r="I102" i="1"/>
  <c r="I103" i="1"/>
  <c r="I108" i="1"/>
  <c r="AC92" i="1"/>
  <c r="AD108" i="1"/>
  <c r="AE107" i="1"/>
  <c r="L66" i="1"/>
  <c r="L69" i="1"/>
  <c r="L70" i="1"/>
  <c r="Z102" i="1"/>
  <c r="AB99" i="1"/>
  <c r="X89" i="1"/>
  <c r="W69" i="1"/>
  <c r="W96" i="1"/>
  <c r="AC99" i="1"/>
  <c r="AB111" i="1"/>
  <c r="W85" i="1"/>
  <c r="W87" i="1"/>
  <c r="AC104" i="1"/>
  <c r="Q85" i="1"/>
  <c r="L111" i="1"/>
  <c r="L114" i="1"/>
  <c r="M95" i="1"/>
  <c r="AB66" i="1"/>
  <c r="AB69" i="1"/>
  <c r="AB86" i="1"/>
  <c r="T86" i="1"/>
  <c r="J85" i="1"/>
  <c r="P70" i="1"/>
  <c r="T103" i="1"/>
  <c r="W89" i="1"/>
  <c r="X70" i="1"/>
  <c r="J70" i="1"/>
  <c r="O103" i="1"/>
  <c r="AB107" i="1"/>
  <c r="AB110" i="1"/>
  <c r="AB113" i="1"/>
  <c r="P68" i="1"/>
  <c r="T108" i="1"/>
  <c r="R70" i="1"/>
  <c r="K69" i="1"/>
  <c r="H69" i="1"/>
  <c r="M89" i="1"/>
  <c r="J107" i="1"/>
  <c r="J86" i="1"/>
  <c r="F108" i="1"/>
  <c r="L103" i="1"/>
  <c r="M108" i="1"/>
  <c r="P108" i="1"/>
  <c r="P111" i="1"/>
  <c r="P114" i="1"/>
  <c r="P92" i="1"/>
  <c r="AB92" i="1"/>
  <c r="L113" i="1"/>
  <c r="N108" i="1"/>
  <c r="N111" i="1"/>
  <c r="H107" i="1"/>
  <c r="H110" i="1"/>
  <c r="J103" i="1"/>
  <c r="R102" i="1"/>
  <c r="K103" i="1"/>
  <c r="T107" i="1"/>
  <c r="T104" i="1"/>
  <c r="H103" i="1"/>
  <c r="H92" i="1"/>
  <c r="K92" i="1"/>
  <c r="O66" i="1"/>
  <c r="O69" i="1"/>
  <c r="O86" i="1"/>
  <c r="O70" i="1"/>
  <c r="N104" i="1"/>
  <c r="Q89" i="1"/>
  <c r="Q103" i="1"/>
  <c r="G87" i="1"/>
  <c r="R87" i="1"/>
  <c r="H68" i="1"/>
  <c r="H96" i="1"/>
  <c r="K94" i="1"/>
  <c r="AC108" i="1"/>
  <c r="AD69" i="1"/>
  <c r="AD104" i="1"/>
  <c r="AD92" i="1"/>
  <c r="AD87" i="1"/>
  <c r="AE103" i="1"/>
  <c r="AE108" i="1"/>
  <c r="Z95" i="1"/>
  <c r="H70" i="1"/>
  <c r="W102" i="1"/>
  <c r="M96" i="1"/>
  <c r="F66" i="1"/>
  <c r="F69" i="1"/>
  <c r="F70" i="1"/>
  <c r="H86" i="1"/>
  <c r="M99" i="1"/>
  <c r="M104" i="1"/>
  <c r="M103" i="1"/>
  <c r="V69" i="1"/>
  <c r="U89" i="1"/>
  <c r="V70" i="1"/>
  <c r="T70" i="1"/>
  <c r="M70" i="1"/>
  <c r="N68" i="1"/>
  <c r="F68" i="1"/>
  <c r="K86" i="1"/>
  <c r="O102" i="1"/>
  <c r="U108" i="1"/>
  <c r="S103" i="1"/>
  <c r="S89" i="1"/>
  <c r="S107" i="1"/>
  <c r="P99" i="1"/>
  <c r="P102" i="1"/>
  <c r="P85" i="1"/>
  <c r="Q108" i="1"/>
  <c r="Q104" i="1"/>
  <c r="O107" i="1"/>
  <c r="E107" i="1"/>
  <c r="E104" i="1"/>
  <c r="G86" i="1"/>
  <c r="V108" i="1"/>
  <c r="R86" i="1"/>
  <c r="T92" i="1"/>
  <c r="T94" i="1"/>
  <c r="F92" i="1"/>
  <c r="J92" i="1"/>
  <c r="S92" i="1"/>
  <c r="W103" i="1"/>
  <c r="W107" i="1"/>
  <c r="U103" i="1"/>
  <c r="U86" i="1"/>
  <c r="U107" i="1"/>
  <c r="H87" i="1"/>
  <c r="H108" i="1"/>
  <c r="P103" i="1"/>
  <c r="P86" i="1"/>
  <c r="K104" i="1"/>
  <c r="K108" i="1"/>
  <c r="K87" i="1"/>
  <c r="H102" i="1"/>
  <c r="H85" i="1"/>
  <c r="S108" i="1"/>
  <c r="S104" i="1"/>
  <c r="J108" i="1"/>
  <c r="J87" i="1"/>
  <c r="R108" i="1"/>
  <c r="Q111" i="1"/>
  <c r="F103" i="1"/>
  <c r="V111" i="1"/>
  <c r="V114" i="1"/>
  <c r="S95" i="1"/>
  <c r="L102" i="1"/>
  <c r="E111" i="1"/>
  <c r="AD102" i="1"/>
  <c r="N85" i="1"/>
  <c r="T85" i="1"/>
  <c r="AC107" i="1"/>
  <c r="AD110" i="1"/>
  <c r="AE92" i="1"/>
  <c r="AE110" i="1"/>
  <c r="AE113" i="1"/>
  <c r="J110" i="1"/>
  <c r="J113" i="1"/>
  <c r="U92" i="1"/>
  <c r="U95" i="1"/>
  <c r="Q86" i="1"/>
  <c r="X111" i="1"/>
  <c r="G96" i="1"/>
  <c r="S96" i="1"/>
  <c r="AB87" i="1"/>
  <c r="F111" i="1"/>
  <c r="H94" i="1"/>
  <c r="E92" i="1"/>
  <c r="I107" i="1"/>
  <c r="S69" i="1"/>
  <c r="W108" i="1"/>
  <c r="W111" i="1"/>
  <c r="W114" i="1"/>
  <c r="R85" i="1"/>
  <c r="G110" i="1"/>
  <c r="F114" i="1"/>
  <c r="K96" i="1"/>
  <c r="G94" i="1"/>
  <c r="AB95" i="1"/>
  <c r="AC102" i="1"/>
  <c r="AB114" i="1"/>
  <c r="J102" i="1"/>
  <c r="I66" i="1"/>
  <c r="AB104" i="1"/>
  <c r="R89" i="1"/>
  <c r="R111" i="1"/>
  <c r="R114" i="1"/>
  <c r="S85" i="1"/>
  <c r="F94" i="1"/>
  <c r="K102" i="1"/>
  <c r="W104" i="1"/>
  <c r="P87" i="1"/>
  <c r="O92" i="1"/>
  <c r="G108" i="1"/>
  <c r="R104" i="1"/>
  <c r="G111" i="1"/>
  <c r="G114" i="1"/>
  <c r="O110" i="1"/>
  <c r="O113" i="1"/>
  <c r="K107" i="1"/>
  <c r="K110" i="1"/>
  <c r="S94" i="1"/>
  <c r="AC69" i="1"/>
  <c r="I111" i="1"/>
  <c r="W110" i="1"/>
  <c r="W113" i="1"/>
  <c r="AC85" i="1"/>
  <c r="U68" i="1"/>
  <c r="AC94" i="1"/>
  <c r="AC110" i="1"/>
  <c r="AC111" i="1"/>
  <c r="AC114" i="1"/>
  <c r="AD68" i="1"/>
  <c r="AD85" i="1"/>
  <c r="AD103" i="1"/>
  <c r="AD96" i="1"/>
  <c r="AD95" i="1"/>
  <c r="AD111" i="1"/>
  <c r="AE68" i="1"/>
  <c r="AE69" i="1"/>
  <c r="AE85" i="1"/>
  <c r="AE94" i="1"/>
  <c r="AE111" i="1"/>
  <c r="Z96" i="1"/>
  <c r="I69" i="1"/>
  <c r="H89" i="1"/>
  <c r="T111" i="1"/>
  <c r="T114" i="1"/>
  <c r="U70" i="1"/>
  <c r="O68" i="1"/>
  <c r="E68" i="1"/>
  <c r="U104" i="1"/>
  <c r="K70" i="1"/>
  <c r="V107" i="1"/>
  <c r="V110" i="1"/>
  <c r="V113" i="1"/>
  <c r="F102" i="1"/>
  <c r="N86" i="1"/>
  <c r="F104" i="1"/>
  <c r="V104" i="1"/>
  <c r="P96" i="1"/>
  <c r="M107" i="1"/>
  <c r="M110" i="1"/>
  <c r="M113" i="1"/>
  <c r="N114" i="1"/>
  <c r="V87" i="1"/>
  <c r="V86" i="1"/>
  <c r="M102" i="1"/>
  <c r="P104" i="1"/>
  <c r="N102" i="1"/>
  <c r="G103" i="1"/>
  <c r="N89" i="1"/>
  <c r="O85" i="1"/>
  <c r="I104" i="1"/>
  <c r="G104" i="1"/>
  <c r="T89" i="1"/>
  <c r="G102" i="1"/>
  <c r="V103" i="1"/>
  <c r="Q113" i="1"/>
  <c r="J94" i="1"/>
  <c r="K113" i="1"/>
  <c r="P94" i="1"/>
  <c r="AB85" i="1"/>
  <c r="AC96" i="1"/>
  <c r="AD70" i="1"/>
  <c r="AC89" i="1"/>
  <c r="AD94" i="1"/>
  <c r="AD86" i="1"/>
  <c r="AD114" i="1"/>
  <c r="AE70" i="1"/>
  <c r="AE87" i="1"/>
  <c r="AE114" i="1"/>
  <c r="I87" i="1"/>
  <c r="O96" i="1"/>
  <c r="I86" i="1"/>
  <c r="U94" i="1"/>
  <c r="M68" i="1"/>
  <c r="S110" i="1"/>
  <c r="S113" i="1"/>
  <c r="U96" i="1"/>
  <c r="V102" i="1"/>
  <c r="L87" i="1"/>
  <c r="K89" i="1"/>
  <c r="F96" i="1"/>
  <c r="F87" i="1"/>
  <c r="I92" i="1"/>
  <c r="I95" i="1"/>
  <c r="U110" i="1"/>
  <c r="U113" i="1"/>
  <c r="I94" i="1"/>
  <c r="V85" i="1"/>
  <c r="E89" i="1"/>
  <c r="I96" i="1"/>
  <c r="AA89" i="1"/>
  <c r="F85" i="1"/>
  <c r="AC95" i="1"/>
  <c r="AD113" i="1"/>
  <c r="AE95" i="1"/>
  <c r="I70" i="1"/>
  <c r="O95" i="1"/>
  <c r="AC86" i="1"/>
  <c r="AC113" i="1"/>
  <c r="I85" i="1"/>
  <c r="O94" i="1"/>
  <c r="F107" i="1"/>
  <c r="F110" i="1"/>
  <c r="F113" i="1"/>
  <c r="AC70" i="1"/>
  <c r="AB89" i="1"/>
  <c r="P110" i="1"/>
  <c r="P113" i="1"/>
  <c r="I114" i="1"/>
  <c r="AC87" i="1"/>
  <c r="T102" i="1"/>
  <c r="L92" i="1"/>
  <c r="F86" i="1"/>
  <c r="Q92" i="1"/>
  <c r="N92" i="1"/>
  <c r="L89" i="1"/>
  <c r="V94" i="1"/>
  <c r="U85" i="1"/>
  <c r="N87" i="1"/>
  <c r="H111" i="1"/>
  <c r="J96" i="1"/>
  <c r="AD89" i="1"/>
  <c r="AE86" i="1"/>
  <c r="G70" i="1"/>
  <c r="N70" i="1"/>
  <c r="P89" i="1"/>
  <c r="Q87" i="1"/>
  <c r="Z94" i="1"/>
  <c r="X92" i="1"/>
  <c r="S111" i="1"/>
  <c r="K111" i="1"/>
  <c r="M111" i="1"/>
  <c r="L95" i="1"/>
  <c r="X113" i="1"/>
  <c r="L96" i="1"/>
  <c r="K68" i="1"/>
  <c r="U111" i="1"/>
  <c r="I110" i="1"/>
  <c r="I113" i="1"/>
  <c r="W68" i="1"/>
  <c r="Y89" i="1"/>
  <c r="E69" i="1"/>
  <c r="G113" i="1"/>
  <c r="X96" i="1"/>
  <c r="AB70" i="1"/>
  <c r="J68" i="1"/>
  <c r="E114" i="1"/>
  <c r="O108" i="1"/>
  <c r="O111" i="1"/>
  <c r="O114" i="1"/>
  <c r="H95" i="1"/>
  <c r="M86" i="1"/>
  <c r="E95" i="1"/>
  <c r="AE102" i="1"/>
  <c r="L85" i="1"/>
  <c r="AB68" i="1"/>
  <c r="W70" i="1"/>
  <c r="X95" i="1"/>
  <c r="E86" i="1"/>
  <c r="E85" i="1"/>
  <c r="E110" i="1"/>
  <c r="E113" i="1"/>
  <c r="W95" i="1"/>
  <c r="R92" i="1"/>
  <c r="G89" i="1"/>
  <c r="I89" i="1"/>
  <c r="O87" i="1"/>
  <c r="G68" i="1"/>
  <c r="O104" i="1"/>
  <c r="U102" i="1"/>
  <c r="U87" i="1"/>
  <c r="S102" i="1"/>
  <c r="V68" i="1"/>
  <c r="M94" i="1"/>
  <c r="J104" i="1"/>
  <c r="R103" i="1"/>
  <c r="G85" i="1"/>
  <c r="F89" i="1"/>
  <c r="L104" i="1"/>
  <c r="T95" i="1"/>
  <c r="H104" i="1"/>
  <c r="K85" i="1"/>
  <c r="T110" i="1"/>
  <c r="T113" i="1"/>
  <c r="L86" i="1"/>
  <c r="L68" i="1"/>
  <c r="T96" i="1"/>
  <c r="J111" i="1"/>
  <c r="J114" i="1"/>
  <c r="K114" i="1"/>
  <c r="X94" i="1"/>
  <c r="U114" i="1"/>
  <c r="N94" i="1"/>
  <c r="W86" i="1"/>
  <c r="N96" i="1"/>
  <c r="V89" i="1"/>
  <c r="N95" i="1"/>
  <c r="M114" i="1"/>
  <c r="S87" i="1"/>
  <c r="T68" i="1"/>
  <c r="AB94" i="1"/>
  <c r="AB102" i="1"/>
  <c r="H113" i="1"/>
  <c r="AB103" i="1"/>
  <c r="S114" i="1"/>
  <c r="AC103" i="1"/>
  <c r="M87" i="1"/>
  <c r="Q114" i="1"/>
  <c r="AB96" i="1"/>
  <c r="K95" i="1"/>
  <c r="AE96" i="1"/>
  <c r="F95" i="1"/>
  <c r="J95" i="1"/>
  <c r="P95" i="1"/>
  <c r="E94" i="1"/>
  <c r="Q95" i="1"/>
  <c r="E87" i="1"/>
  <c r="Q94" i="1"/>
  <c r="I68" i="1"/>
  <c r="S86" i="1"/>
  <c r="X114" i="1"/>
  <c r="E70" i="1"/>
  <c r="S70" i="1"/>
  <c r="E96" i="1"/>
  <c r="J89" i="1"/>
  <c r="Q96" i="1"/>
  <c r="D89" i="1"/>
  <c r="R96" i="1"/>
  <c r="L94" i="1"/>
  <c r="R95" i="1"/>
  <c r="H114" i="1"/>
  <c r="R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<sst xmlns="http://schemas.openxmlformats.org/spreadsheetml/2006/main" count="663" uniqueCount="524">
  <si>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</si>
  <si>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</si>
  <si>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</si>
  <si>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</si>
  <si>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</si>
  <si>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</si>
  <si>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</si>
  <si>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</si>
  <si>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</si>
  <si>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</si>
  <si>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</si>
  <si>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</si>
  <si>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</si>
  <si>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</si>
  <si>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</si>
  <si>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</si>
  <si>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</si>
  <si>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</si>
  <si>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</si>
  <si>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</si>
  <si>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</si>
  <si>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</si>
  <si>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</si>
  <si>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</si>
  <si>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</si>
  <si>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</si>
  <si>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</si>
  <si>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</si>
  <si>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</si>
  <si>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</si>
  <si>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</si>
  <si>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</si>
  <si>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</si>
  <si>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</si>
  <si>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</si>
  <si>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</si>
  <si>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</si>
  <si>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</si>
  <si>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</si>
  <si>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</si>
  <si>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</si>
  <si>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</si>
  <si>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</si>
  <si>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</si>
  <si>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</si>
  <si>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</si>
  <si>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</si>
  <si>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</si>
  <si>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</si>
  <si>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</si>
  <si>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</si>
  <si>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</si>
  <si>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</si>
  <si>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</si>
  <si>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</si>
  <si>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</si>
  <si>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</si>
  <si>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</si>
  <si>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</si>
  <si>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</si>
  <si>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</si>
  <si>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</si>
  <si>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</si>
  <si>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</si>
  <si>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</si>
  <si>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</si>
  <si>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</si>
  <si>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</si>
  <si>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</si>
  <si>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</si>
  <si>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</si>
  <si>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</si>
  <si>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</si>
  <si>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</si>
  <si>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</si>
  <si>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</si>
  <si>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</si>
  <si>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</si>
  <si>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</si>
  <si>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</si>
  <si>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</si>
  <si>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</si>
  <si>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</si>
  <si>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</si>
  <si>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</si>
  <si>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</si>
  <si>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</si>
  <si>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</si>
  <si>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</si>
  <si>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</si>
  <si>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</si>
  <si>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</si>
  <si>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</si>
  <si>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</si>
  <si>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</si>
  <si>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</si>
  <si>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</si>
  <si>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</si>
  <si>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</si>
  <si>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</si>
  <si>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</si>
  <si>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</si>
  <si>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</si>
  <si>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</si>
  <si>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</si>
  <si>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</si>
  <si>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</si>
  <si>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</si>
  <si>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</si>
  <si>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</si>
  <si>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</si>
  <si>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</si>
  <si>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</si>
  <si>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</si>
  <si>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</si>
  <si>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</si>
  <si>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</si>
  <si>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</si>
  <si>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</si>
  <si>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</si>
  <si>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</si>
  <si>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</si>
  <si>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</si>
  <si>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</si>
  <si>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</si>
  <si>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</si>
  <si>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</si>
  <si>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</si>
  <si>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</si>
  <si>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</si>
  <si>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</si>
  <si>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</si>
  <si>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</si>
  <si>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</si>
  <si>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</si>
  <si>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</si>
  <si>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</si>
  <si>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</si>
  <si>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</si>
  <si>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</si>
  <si>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</si>
  <si>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</si>
  <si>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</si>
  <si>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</si>
  <si>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</si>
  <si>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</si>
  <si>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</si>
  <si>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</si>
  <si>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</si>
  <si>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</si>
  <si>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</si>
  <si>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</si>
  <si>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</si>
  <si>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</si>
  <si>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</si>
  <si>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</si>
  <si>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</si>
  <si>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</si>
  <si>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</si>
  <si>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</si>
  <si>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</si>
  <si>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</si>
  <si>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</si>
  <si>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</si>
  <si>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</si>
  <si>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</si>
  <si>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</si>
  <si>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</si>
  <si>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</si>
  <si>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</si>
  <si>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</si>
  <si>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</si>
  <si>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</si>
  <si>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</si>
  <si>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</si>
  <si>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</si>
  <si>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</si>
  <si>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</si>
  <si>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</si>
  <si>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</si>
  <si>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</si>
  <si>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</si>
  <si>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</si>
  <si>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</si>
  <si>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</si>
  <si>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</si>
  <si>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</si>
  <si>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</si>
  <si>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</si>
  <si>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</si>
  <si>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</si>
  <si>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</si>
  <si>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</si>
  <si>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</si>
  <si>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</si>
  <si>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</si>
  <si>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</si>
  <si>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</si>
  <si>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</si>
  <si>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</si>
  <si>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</si>
  <si>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</si>
  <si>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</si>
  <si>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</si>
  <si>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</si>
  <si>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</si>
  <si>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</si>
  <si>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</si>
  <si>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</si>
  <si>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</si>
  <si>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</si>
  <si>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</si>
  <si>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</si>
  <si>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</si>
  <si>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</si>
  <si>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</si>
  <si>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</si>
  <si>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</si>
  <si>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</si>
  <si>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</si>
  <si>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</si>
  <si>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</si>
  <si>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</si>
  <si>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</si>
  <si>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</si>
  <si>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</si>
  <si>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</si>
  <si>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</si>
  <si>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</si>
  <si>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</si>
  <si>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</si>
  <si>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</si>
  <si>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</si>
  <si>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</si>
  <si>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</si>
  <si>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</si>
  <si>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</si>
  <si>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</si>
  <si>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</si>
  <si>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</si>
  <si>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</si>
  <si>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</si>
  <si>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</si>
  <si>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</si>
  <si>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</si>
  <si>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</si>
  <si>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</si>
  <si>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</si>
  <si>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</si>
  <si>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</si>
  <si>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</si>
  <si>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</si>
  <si>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</si>
  <si>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</si>
  <si>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</si>
  <si>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</si>
  <si>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</si>
  <si>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</si>
  <si>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</si>
  <si>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</si>
  <si>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</si>
  <si>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</si>
  <si>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</si>
  <si>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</si>
  <si>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</si>
  <si>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</si>
  <si>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</si>
  <si>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</si>
  <si>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</si>
  <si>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</si>
  <si>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</si>
  <si>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</si>
  <si>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</si>
  <si>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</si>
  <si>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</si>
  <si>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</si>
  <si>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</si>
  <si>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</si>
  <si>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</si>
  <si>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</si>
  <si>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</si>
  <si>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</si>
  <si>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</si>
  <si>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</si>
  <si>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</si>
  <si>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</si>
  <si>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</si>
  <si>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</si>
  <si>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</si>
  <si>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</si>
  <si>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</si>
  <si>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</si>
  <si>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</si>
  <si>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</si>
  <si>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</si>
  <si>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</si>
  <si>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</si>
  <si>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</si>
  <si>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</si>
  <si>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</si>
  <si>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</si>
  <si>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</si>
  <si>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</si>
  <si>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</si>
  <si>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</si>
  <si>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</si>
  <si>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</si>
  <si>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</si>
  <si>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</si>
  <si>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</si>
  <si>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</si>
  <si>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</si>
  <si>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</si>
  <si>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</si>
  <si>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</si>
  <si>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</si>
  <si>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</si>
  <si>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</si>
  <si>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</si>
  <si>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</si>
  <si>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</si>
  <si>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</si>
  <si>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</si>
  <si>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</si>
  <si>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</si>
  <si>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</si>
  <si>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</si>
  <si>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</si>
  <si>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</si>
  <si>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</si>
  <si>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</si>
  <si>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</si>
  <si>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</si>
  <si>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</si>
  <si>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</si>
  <si>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</si>
  <si>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</si>
  <si>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</si>
  <si>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</si>
  <si>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</si>
  <si>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</si>
  <si>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</si>
  <si>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</si>
  <si>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</si>
  <si>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</si>
  <si>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</si>
  <si>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</si>
  <si>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</si>
  <si>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</si>
  <si>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</si>
  <si>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</si>
  <si>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</si>
  <si>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</si>
  <si>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</si>
  <si>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</si>
  <si>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</si>
  <si>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</si>
  <si>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</si>
  <si>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</si>
  <si>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</si>
  <si>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</si>
  <si>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</si>
  <si>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</si>
  <si>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</si>
  <si>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</si>
  <si>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</si>
  <si>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</si>
  <si>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</si>
  <si>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</si>
  <si>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</si>
  <si>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</si>
  <si>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</si>
  <si>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</si>
  <si>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</si>
  <si>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</si>
  <si>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</si>
  <si>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</si>
  <si>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</si>
  <si>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</si>
  <si>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</si>
  <si>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</si>
  <si>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</si>
  <si>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</si>
  <si>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</si>
  <si>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</si>
  <si>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</si>
  <si>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</si>
  <si>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</si>
  <si>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</si>
  <si>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</si>
  <si>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</si>
  <si>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</si>
  <si>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</si>
  <si>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</si>
  <si>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</si>
  <si>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</si>
  <si>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</si>
  <si>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</si>
  <si>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</si>
  <si>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</si>
  <si>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</si>
  <si>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</si>
  <si>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</si>
  <si>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</si>
  <si>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</si>
  <si>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</si>
  <si>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</si>
  <si>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</si>
  <si>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</si>
  <si>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</si>
  <si>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</si>
  <si>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</si>
  <si>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</si>
  <si>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</si>
  <si>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</si>
  <si>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</si>
  <si>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</si>
  <si>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</si>
  <si>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</si>
  <si>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</si>
  <si>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</si>
  <si>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</si>
  <si>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</si>
  <si>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</si>
  <si>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</si>
  <si>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</si>
  <si>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</si>
  <si>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</si>
  <si>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</si>
  <si>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</si>
  <si>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</si>
  <si>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</si>
  <si>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</si>
  <si>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</si>
  <si>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</si>
  <si>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</si>
  <si>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</si>
  <si>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</si>
  <si>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</si>
  <si>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</si>
  <si>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</si>
  <si>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</si>
  <si>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</si>
  <si>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</si>
  <si>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</si>
  <si>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</si>
  <si>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</si>
  <si>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</si>
  <si>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</si>
  <si>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</si>
  <si>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</si>
  <si>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</si>
  <si>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</si>
  <si>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</si>
  <si>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</si>
  <si>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</si>
  <si>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</si>
  <si>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</si>
  <si>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</si>
  <si>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</si>
  <si>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</si>
  <si>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</si>
  <si>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</si>
  <si>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</si>
  <si>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</si>
  <si>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</si>
  <si>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</si>
  <si>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</si>
  <si>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</si>
  <si>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</si>
  <si>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</si>
  <si>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</si>
  <si>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</si>
  <si>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</si>
  <si>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</si>
  <si>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</si>
  <si>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</si>
  <si>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</si>
  <si>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</si>
  <si>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</si>
  <si>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</si>
  <si>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</si>
  <si>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</si>
  <si>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</si>
  <si>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</si>
  <si>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</si>
  <si>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</si>
  <si>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</si>
  <si>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</si>
  <si>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</si>
  <si>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</si>
  <si>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</si>
  <si>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</si>
  <si>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</si>
  <si>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</si>
  <si>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</si>
  <si>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</si>
  <si>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</si>
  <si>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</si>
  <si>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</si>
  <si>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</si>
  <si>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</si>
  <si>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</si>
  <si>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</si>
  <si>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</si>
  <si>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</si>
  <si>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</si>
  <si>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</si>
  <si>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</si>
  <si>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</si>
  <si>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</si>
  <si>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</si>
  <si>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</si>
  <si>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</si>
  <si>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</si>
  <si>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Seshasayee Paper and Boards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</si>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</sst>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Seshasayee Paper and Boards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262.14069999999998</v>
      </c>
      <c r="C8" s="25">
        <f>'Annual Raw'!D6</f>
        <v>362.20060000000001</v>
      </c>
      <c r="D8" s="25">
        <f>'Annual Raw'!E6</f>
        <v>391.24689999999998</v>
      </c>
      <c r="E8" s="25">
        <f>'Annual Raw'!F6</f>
        <v>418.00389999999999</v>
      </c>
      <c r="F8" s="25">
        <f>'Annual Raw'!G6</f>
        <v>432.1232</v>
      </c>
      <c r="G8" s="25">
        <f>'Annual Raw'!H6</f>
        <v>469.24810000000002</v>
      </c>
      <c r="H8" s="25">
        <f>'Annual Raw'!I6</f>
        <v>503.89510000000001</v>
      </c>
      <c r="I8" s="25">
        <f>'Annual Raw'!J6</f>
        <v>547.23009999999999</v>
      </c>
      <c r="J8" s="25">
        <f>'Annual Raw'!K6</f>
        <v>561.15940000000001</v>
      </c>
      <c r="K8" s="25">
        <f>'Annual Raw'!L6</f>
        <v>528.97230000000002</v>
      </c>
      <c r="L8" s="25">
        <f>'Annual Raw'!M6</f>
        <v>595.14480000000003</v>
      </c>
      <c r="M8" s="25">
        <f>'Annual Raw'!N6</f>
        <v>639.11779999999999</v>
      </c>
      <c r="N8" s="25">
        <f>'Annual Raw'!O6</f>
        <v>880.77940000000001</v>
      </c>
      <c r="O8" s="25">
        <f>'Annual Raw'!P6</f>
        <v>1064.2192</v>
      </c>
      <c r="P8" s="25">
        <f>'Annual Raw'!Q6</f>
        <v>1068.521</v>
      </c>
      <c r="Q8" s="25">
        <f>'Annual Raw'!R6</f>
        <v>1077.2476999999999</v>
      </c>
      <c r="R8" s="25">
        <f>'Annual Raw'!S6</f>
        <v>1167.05</v>
      </c>
      <c r="S8" s="25">
        <f>'Annual Raw'!T6</f>
        <v>1169.07</v>
      </c>
      <c r="T8" s="25">
        <f>'Annual Raw'!U6</f>
        <v>1382.32</v>
      </c>
      <c r="U8" s="25">
        <f>'Annual Raw'!V6</f>
        <v>1243.8399999999999</v>
      </c>
      <c r="V8" s="25">
        <f>'Annual Raw'!W6</f>
        <v>821.73</v>
      </c>
      <c r="W8" s="25">
        <f>'Annual Raw'!X6</f>
        <v>1419.19</v>
      </c>
      <c r="X8" s="25">
        <f>'Annual Raw'!Y6</f>
        <v>2193.0300000000002</v>
      </c>
      <c r="Y8" s="25">
        <f>'Annual Raw'!Z6</f>
        <v>1906.87</v>
      </c>
      <c r="Z8" s="25">
        <f>'Annual Raw'!AA6</f>
        <v>1862.07</v>
      </c>
      <c r="AA8" s="25">
        <f>'Annual Raw'!AB6</f>
        <v>1821.95</v>
      </c>
      <c r="AB8" s="17">
        <f>+SUM(CM8:CP8)</f>
        <v>1708.6166968746261</v>
      </c>
      <c r="AC8" s="17">
        <f>+SUM(CQ8:CT8)</f>
        <v>1715.1475032994877</v>
      </c>
      <c r="AD8" s="17">
        <f>+SUM(CU8:CX8)</f>
        <v>1723.8962986581146</v>
      </c>
      <c r="AE8" s="17">
        <f>+SUM(CY8:DB8)</f>
        <v>1733.1743001937541</v>
      </c>
      <c r="AI8" s="25">
        <f>'QTR Raw'!C6+'QTR Raw'!C8</f>
        <v>199.26</v>
      </c>
      <c r="AJ8" s="25">
        <f>'QTR Raw'!D6+'QTR Raw'!D8</f>
        <v>202.52</v>
      </c>
      <c r="AK8" s="25">
        <f>'QTR Raw'!E6+'QTR Raw'!E8</f>
        <v>201.23999999999998</v>
      </c>
      <c r="AL8" s="25">
        <f>'QTR Raw'!F6+'QTR Raw'!F8</f>
        <v>230.77</v>
      </c>
      <c r="AM8" s="25">
        <f>'QTR Raw'!G6+'QTR Raw'!G8</f>
        <v>217.38</v>
      </c>
      <c r="AN8" s="25">
        <f>'QTR Raw'!H6+'QTR Raw'!H8</f>
        <v>253.56</v>
      </c>
      <c r="AO8" s="25">
        <f>'QTR Raw'!I6+'QTR Raw'!I8</f>
        <v>253.51000000000002</v>
      </c>
      <c r="AP8" s="25">
        <f>'QTR Raw'!J6+'QTR Raw'!J8</f>
        <v>287.58000000000004</v>
      </c>
      <c r="AQ8" s="25">
        <f>'QTR Raw'!K6+'QTR Raw'!K8</f>
        <v>213.68</v>
      </c>
      <c r="AR8" s="25">
        <f>'QTR Raw'!L6+'QTR Raw'!L8</f>
        <v>230.07</v>
      </c>
      <c r="AS8" s="25">
        <f>'QTR Raw'!M6+'QTR Raw'!M8</f>
        <v>258.89</v>
      </c>
      <c r="AT8" s="25">
        <f>'QTR Raw'!N6+'QTR Raw'!N8</f>
        <v>311.47999999999996</v>
      </c>
      <c r="AU8" s="25">
        <f>'QTR Raw'!O6+'QTR Raw'!O8</f>
        <v>237.5</v>
      </c>
      <c r="AV8" s="25">
        <f>'QTR Raw'!P6+'QTR Raw'!P8</f>
        <v>242.87</v>
      </c>
      <c r="AW8" s="25">
        <f>'QTR Raw'!Q6+'QTR Raw'!Q8</f>
        <v>237.58999999999997</v>
      </c>
      <c r="AX8" s="25">
        <f>'QTR Raw'!R6+'QTR Raw'!R8</f>
        <v>352.28</v>
      </c>
      <c r="AY8" s="25">
        <f>'QTR Raw'!S6+'QTR Raw'!S8</f>
        <v>255.86</v>
      </c>
      <c r="AZ8" s="25">
        <f>'QTR Raw'!T6+'QTR Raw'!T8</f>
        <v>274.43</v>
      </c>
      <c r="BA8" s="25">
        <f>'QTR Raw'!U6+'QTR Raw'!U8</f>
        <v>305.92</v>
      </c>
      <c r="BB8" s="25">
        <f>'QTR Raw'!V6+'QTR Raw'!V8</f>
        <v>330.47</v>
      </c>
      <c r="BC8" s="25">
        <f>'QTR Raw'!W6+'QTR Raw'!W8</f>
        <v>251.78</v>
      </c>
      <c r="BD8" s="25">
        <f>'QTR Raw'!X6+'QTR Raw'!X8</f>
        <v>227.28</v>
      </c>
      <c r="BE8" s="25">
        <f>'QTR Raw'!Y6+'QTR Raw'!Y8</f>
        <v>294.82</v>
      </c>
      <c r="BF8" s="25">
        <f>'QTR Raw'!Z6+'QTR Raw'!Z8</f>
        <v>347.9</v>
      </c>
      <c r="BG8" s="25">
        <f>'QTR Raw'!AA6+'QTR Raw'!AA8</f>
        <v>274.89999999999998</v>
      </c>
      <c r="BH8" s="25">
        <f>'QTR Raw'!AB6+'QTR Raw'!AB8</f>
        <v>331.3</v>
      </c>
      <c r="BI8" s="25">
        <f>'QTR Raw'!AC6+'QTR Raw'!AC8</f>
        <v>354.55</v>
      </c>
      <c r="BJ8" s="25">
        <f>'QTR Raw'!AD6+'QTR Raw'!AD8</f>
        <v>364.76</v>
      </c>
      <c r="BK8" s="25">
        <f>'QTR Raw'!AE6+'QTR Raw'!AE8</f>
        <v>278.51</v>
      </c>
      <c r="BL8" s="25">
        <f>'QTR Raw'!AF6+'QTR Raw'!AF8</f>
        <v>299.95</v>
      </c>
      <c r="BM8" s="25">
        <f>'QTR Raw'!AG6+'QTR Raw'!AG8</f>
        <v>285.45999999999998</v>
      </c>
      <c r="BN8" s="25">
        <f>'QTR Raw'!AH6+'QTR Raw'!AH8</f>
        <v>320.33</v>
      </c>
      <c r="BO8" s="25">
        <f>'QTR Raw'!AI6+'QTR Raw'!AI8</f>
        <v>139.22999999999999</v>
      </c>
      <c r="BP8" s="25">
        <f>'QTR Raw'!AJ6+'QTR Raw'!AJ8</f>
        <v>150.41999999999999</v>
      </c>
      <c r="BQ8" s="25">
        <f>'QTR Raw'!AK6+'QTR Raw'!AK8</f>
        <v>164.52</v>
      </c>
      <c r="BR8" s="25">
        <f>'QTR Raw'!AL6+'QTR Raw'!AL8</f>
        <v>327.89</v>
      </c>
      <c r="BS8" s="25">
        <f>'QTR Raw'!AM6+'QTR Raw'!AM8</f>
        <v>218.06</v>
      </c>
      <c r="BT8" s="25">
        <f>'QTR Raw'!AN6+'QTR Raw'!AN8</f>
        <v>332</v>
      </c>
      <c r="BU8" s="25">
        <f>'QTR Raw'!AO6+'QTR Raw'!AO8</f>
        <v>334.16</v>
      </c>
      <c r="BV8" s="25">
        <f>'QTR Raw'!AP6+'QTR Raw'!AP8</f>
        <v>470.98</v>
      </c>
      <c r="BW8" s="25">
        <f>'QTR Raw'!AQ6+'QTR Raw'!AQ8</f>
        <v>430.91</v>
      </c>
      <c r="BX8" s="25">
        <f>'QTR Raw'!AR6+'QTR Raw'!AR8</f>
        <v>522.91</v>
      </c>
      <c r="BY8" s="25">
        <f>'QTR Raw'!AS6+'QTR Raw'!AS8</f>
        <v>555.80999999999995</v>
      </c>
      <c r="BZ8" s="25">
        <f>'QTR Raw'!AT6+'QTR Raw'!AT8</f>
        <v>573.16999999999996</v>
      </c>
      <c r="CA8" s="25">
        <f>'QTR Raw'!AU6+'QTR Raw'!AU8</f>
        <v>426.57</v>
      </c>
      <c r="CB8" s="25">
        <f>'QTR Raw'!AV6+'QTR Raw'!AV8</f>
        <v>362.36</v>
      </c>
      <c r="CC8" s="25">
        <f>'QTR Raw'!AW6+'QTR Raw'!AW8</f>
        <v>473.47</v>
      </c>
      <c r="CD8" s="25">
        <f>'QTR Raw'!AX6+'QTR Raw'!AX8</f>
        <v>539.42999999999995</v>
      </c>
      <c r="CE8" s="25">
        <f>'QTR Raw'!AY6+'QTR Raw'!AY8</f>
        <v>422.23</v>
      </c>
      <c r="CF8" s="25">
        <f>'QTR Raw'!AZ6+'QTR Raw'!AZ8</f>
        <v>398.47</v>
      </c>
      <c r="CG8" s="25">
        <f>'QTR Raw'!BA6+'QTR Raw'!BA8</f>
        <v>431.33</v>
      </c>
      <c r="CH8" s="25">
        <f>'QTR Raw'!BB6+'QTR Raw'!BB8</f>
        <v>502.35</v>
      </c>
      <c r="CI8" s="25">
        <f>'QTR Raw'!BC6+'QTR Raw'!BC8</f>
        <v>385.4</v>
      </c>
      <c r="CJ8" s="25">
        <f>'QTR Raw'!BD6+'QTR Raw'!BD8</f>
        <v>346.32</v>
      </c>
      <c r="CK8" s="25">
        <f>'QTR Raw'!BE6+'QTR Raw'!BE8</f>
        <v>386.88</v>
      </c>
      <c r="CL8" s="25">
        <f>'QTR Raw'!BF6+'QTR Raw'!BF8</f>
        <v>591.84</v>
      </c>
      <c r="CM8" s="17">
        <f t="shared" ref="CM8:DB8" si="33">+CI10+(CM11*CI10)</f>
        <v>371.62064376681798</v>
      </c>
      <c r="CN8" s="17">
        <f t="shared" si="33"/>
        <v>338.39450092017398</v>
      </c>
      <c r="CO8" s="17">
        <f t="shared" si="33"/>
        <v>388.47114959670216</v>
      </c>
      <c r="CP8" s="17">
        <f t="shared" si="33"/>
        <v>610.13040259093179</v>
      </c>
      <c r="CQ8" s="17">
        <f t="shared" si="33"/>
        <v>369.42611098663684</v>
      </c>
      <c r="CR8" s="17">
        <f t="shared" si="33"/>
        <v>338.92128560869776</v>
      </c>
      <c r="CS8" s="17">
        <f t="shared" si="33"/>
        <v>391.44960545660962</v>
      </c>
      <c r="CT8" s="17">
        <f t="shared" si="33"/>
        <v>615.35050124754343</v>
      </c>
      <c r="CU8" s="17">
        <f t="shared" si="33"/>
        <v>370.52277512573829</v>
      </c>
      <c r="CV8" s="17">
        <f t="shared" si="33"/>
        <v>340.67927975340575</v>
      </c>
      <c r="CW8" s="17">
        <f t="shared" si="33"/>
        <v>393.83533633302847</v>
      </c>
      <c r="CX8" s="17">
        <f t="shared" si="33"/>
        <v>618.85890744594201</v>
      </c>
      <c r="CY8" s="17">
        <f t="shared" si="33"/>
        <v>372.37091224287906</v>
      </c>
      <c r="CZ8" s="17">
        <f t="shared" si="33"/>
        <v>342.55054817495488</v>
      </c>
      <c r="DA8" s="17">
        <f t="shared" si="33"/>
        <v>396.02867975858737</v>
      </c>
      <c r="DB8" s="17">
        <f t="shared" si="33"/>
        <v>622.22416001733268</v>
      </c>
      <c r="DE8" s="119"/>
      <c r="DF8" s="25">
        <v>1710.44</v>
      </c>
    </row>
    <row r="9" spans="1:110" s="92" customFormat="1" outlineLevel="1" x14ac:dyDescent="0.2">
      <c r="A9" s="92" t="s">
        <v>109</v>
      </c>
      <c r="B9" s="92">
        <f>'Annual Raw'!C7+'Annual Raw'!C8+'Annual Raw'!C9</f>
        <v>32.3812</v>
      </c>
      <c r="C9" s="92">
        <f>'Annual Raw'!D7+'Annual Raw'!D8+'Annual Raw'!D9</f>
        <v>34.633499999999998</v>
      </c>
      <c r="D9" s="92">
        <f>'Annual Raw'!E7+'Annual Raw'!E8+'Annual Raw'!E9</f>
        <v>38.694200000000002</v>
      </c>
      <c r="E9" s="92">
        <f>'Annual Raw'!F7+'Annual Raw'!F8+'Annual Raw'!F9</f>
        <v>43.8491</v>
      </c>
      <c r="F9" s="92">
        <f>'Annual Raw'!G7+'Annual Raw'!G8+'Annual Raw'!G9</f>
        <v>46.562800000000003</v>
      </c>
      <c r="G9" s="92">
        <f>'Annual Raw'!H7+'Annual Raw'!H8+'Annual Raw'!H9</f>
        <v>50.083300000000001</v>
      </c>
      <c r="H9" s="92">
        <f>'Annual Raw'!I7+'Annual Raw'!I8+'Annual Raw'!I9</f>
        <v>46.2973</v>
      </c>
      <c r="I9" s="92">
        <f>'Annual Raw'!J7+'Annual Raw'!J8+'Annual Raw'!J9</f>
        <v>52.189700000000002</v>
      </c>
      <c r="J9" s="92">
        <f>'Annual Raw'!K7+'Annual Raw'!K8+'Annual Raw'!K9</f>
        <v>32.0471</v>
      </c>
      <c r="K9" s="92">
        <f>'Annual Raw'!L7+'Annual Raw'!L8+'Annual Raw'!L9</f>
        <v>19.714700000000001</v>
      </c>
      <c r="L9" s="92">
        <f>'Annual Raw'!M7+'Annual Raw'!M8+'Annual Raw'!M9</f>
        <v>21.6661</v>
      </c>
      <c r="M9" s="92">
        <f>'Annual Raw'!N7+'Annual Raw'!N8+'Annual Raw'!N9</f>
        <v>27.7</v>
      </c>
      <c r="N9" s="92">
        <f>'Annual Raw'!O7+'Annual Raw'!O8+'Annual Raw'!O9</f>
        <v>47.222000000000001</v>
      </c>
      <c r="O9" s="92">
        <f>'Annual Raw'!P7+'Annual Raw'!P8+'Annual Raw'!P9</f>
        <v>53.368699999999997</v>
      </c>
      <c r="P9" s="92">
        <f>'Annual Raw'!Q7+'Annual Raw'!Q8+'Annual Raw'!Q9</f>
        <v>54.082500000000003</v>
      </c>
      <c r="Q9" s="92">
        <f>'Annual Raw'!R7+'Annual Raw'!R8+'Annual Raw'!R9</f>
        <v>51.621499999999997</v>
      </c>
      <c r="R9" s="92">
        <f>'Annual Raw'!S7+'Annual Raw'!S8+'Annual Raw'!S9</f>
        <v>59.08</v>
      </c>
      <c r="S9" s="92">
        <f>'Annual Raw'!T7+'Annual Raw'!T8+'Annual Raw'!T9</f>
        <v>64.039999999999992</v>
      </c>
      <c r="T9" s="92">
        <f>'Annual Raw'!U7+'Annual Raw'!U8+'Annual Raw'!U9</f>
        <v>56.81</v>
      </c>
      <c r="U9" s="92">
        <f>'Annual Raw'!V7+'Annual Raw'!V8+'Annual Raw'!V9</f>
        <v>59.59</v>
      </c>
      <c r="V9" s="92">
        <f>'Annual Raw'!W7+'Annual Raw'!W8+'Annual Raw'!W9</f>
        <v>39.67</v>
      </c>
      <c r="W9" s="92">
        <f>'Annual Raw'!X7+'Annual Raw'!X8+'Annual Raw'!X9</f>
        <v>63.99</v>
      </c>
      <c r="X9" s="92">
        <f>'Annual Raw'!Y7+'Annual Raw'!Y8+'Annual Raw'!Y9</f>
        <v>110.23</v>
      </c>
      <c r="Y9" s="92">
        <f>'Annual Raw'!Z7+'Annual Raw'!Z8+'Annual Raw'!Z9</f>
        <v>105.04</v>
      </c>
      <c r="Z9" s="92">
        <f>'Annual Raw'!AA7+'Annual Raw'!AA8+'Annual Raw'!AA9</f>
        <v>107.69</v>
      </c>
      <c r="AA9" s="92">
        <f>'Annual Raw'!AB7+'Annual Raw'!AB8+'Annual Raw'!AB9</f>
        <v>111.5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11.85</v>
      </c>
      <c r="AW9" s="92">
        <f>+'QTR Raw'!Q20+'QTR Raw'!Q19+'QTR Raw'!Q13+'QTR Raw'!Q7</f>
        <v>12.35</v>
      </c>
      <c r="AX9" s="92">
        <f>+'QTR Raw'!R20+'QTR Raw'!R19+'QTR Raw'!R13+'QTR Raw'!R7</f>
        <v>14.54</v>
      </c>
      <c r="AY9" s="92">
        <f>+'QTR Raw'!S20+'QTR Raw'!S19+'QTR Raw'!S13+'QTR Raw'!S7</f>
        <v>14.03</v>
      </c>
      <c r="AZ9" s="92">
        <f>+'QTR Raw'!T20+'QTR Raw'!T19+'QTR Raw'!T13+'QTR Raw'!T7</f>
        <v>14.32</v>
      </c>
      <c r="BA9" s="92">
        <f>+'QTR Raw'!U20+'QTR Raw'!U19+'QTR Raw'!U13+'QTR Raw'!U7</f>
        <v>14.94</v>
      </c>
      <c r="BB9" s="92">
        <f>+'QTR Raw'!V20+'QTR Raw'!V19+'QTR Raw'!V13+'QTR Raw'!V7</f>
        <v>15.78</v>
      </c>
      <c r="BC9" s="92">
        <f>+'QTR Raw'!W20+'QTR Raw'!W19+'QTR Raw'!W13+'QTR Raw'!W7</f>
        <v>13.14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229.75949999999997</v>
      </c>
      <c r="C10" s="26">
        <f>+C8-C9</f>
        <v>327.56709999999998</v>
      </c>
      <c r="D10" s="26">
        <f t="shared" ref="D10:U10" si="34">+D8-D9</f>
        <v>352.55269999999996</v>
      </c>
      <c r="E10" s="26">
        <f t="shared" si="34"/>
        <v>374.15479999999997</v>
      </c>
      <c r="F10" s="26">
        <f t="shared" si="34"/>
        <v>385.56040000000002</v>
      </c>
      <c r="G10" s="26">
        <f t="shared" si="34"/>
        <v>419.16480000000001</v>
      </c>
      <c r="H10" s="26">
        <f t="shared" si="34"/>
        <v>457.59780000000001</v>
      </c>
      <c r="I10" s="26">
        <f t="shared" si="34"/>
        <v>495.04039999999998</v>
      </c>
      <c r="J10" s="26">
        <f t="shared" si="34"/>
        <v>529.1123</v>
      </c>
      <c r="K10" s="26">
        <f t="shared" si="34"/>
        <v>509.25760000000002</v>
      </c>
      <c r="L10" s="26">
        <f t="shared" si="34"/>
        <v>573.4787</v>
      </c>
      <c r="M10" s="26">
        <f t="shared" si="34"/>
        <v>611.41779999999994</v>
      </c>
      <c r="N10" s="26">
        <f t="shared" si="34"/>
        <v>833.55740000000003</v>
      </c>
      <c r="O10" s="26">
        <f t="shared" si="34"/>
        <v>1010.8505</v>
      </c>
      <c r="P10" s="26">
        <f t="shared" si="34"/>
        <v>1014.4385</v>
      </c>
      <c r="Q10" s="26">
        <f t="shared" si="34"/>
        <v>1025.6261999999999</v>
      </c>
      <c r="R10" s="26">
        <f t="shared" si="34"/>
        <v>1107.97</v>
      </c>
      <c r="S10" s="26">
        <f t="shared" si="34"/>
        <v>1105.03</v>
      </c>
      <c r="T10" s="26">
        <f t="shared" si="34"/>
        <v>1325.51</v>
      </c>
      <c r="U10" s="26">
        <f t="shared" si="34"/>
        <v>1184.25</v>
      </c>
      <c r="V10" s="26">
        <f>+V8-V9</f>
        <v>782.06000000000006</v>
      </c>
      <c r="W10" s="26">
        <f>+W8-W9</f>
        <v>1355.2</v>
      </c>
      <c r="X10" s="26">
        <f>+X8-X9</f>
        <v>2082.8000000000002</v>
      </c>
      <c r="Y10" s="26">
        <f>+Y8-Y9</f>
        <v>1801.83</v>
      </c>
      <c r="Z10" s="26">
        <f>+Z8-Z9</f>
        <v>1754.3799999999999</v>
      </c>
      <c r="AA10" s="26">
        <f>+AA8-AA9</f>
        <v>1710.45</v>
      </c>
      <c r="AB10" s="27">
        <f t="shared" ref="AB10:AD10" si="35">+AB8-AB9</f>
        <v>1708.6166968746261</v>
      </c>
      <c r="AC10" s="27">
        <f t="shared" si="35"/>
        <v>1715.1475032994877</v>
      </c>
      <c r="AD10" s="27">
        <f t="shared" si="35"/>
        <v>1723.8962986581146</v>
      </c>
      <c r="AE10" s="27">
        <f t="shared" ref="AE10" si="36">+AE8-AE9</f>
        <v>1733.1743001937541</v>
      </c>
      <c r="AI10" s="26">
        <f t="shared" ref="AI10" si="37">+AI8-AI9</f>
        <v>199.26</v>
      </c>
      <c r="AJ10" s="26">
        <f t="shared" ref="AJ10" si="38">+AJ8-AJ9</f>
        <v>202.52</v>
      </c>
      <c r="AK10" s="26">
        <f t="shared" ref="AK10:AM10" si="39">+AK8-AK9</f>
        <v>201.23999999999998</v>
      </c>
      <c r="AL10" s="26">
        <f t="shared" si="39"/>
        <v>230.77</v>
      </c>
      <c r="AM10" s="26">
        <f t="shared" si="39"/>
        <v>217.38</v>
      </c>
      <c r="AN10" s="26">
        <f t="shared" ref="AN10:AO10" si="40">+AN8-AN9</f>
        <v>253.56</v>
      </c>
      <c r="AO10" s="26">
        <f t="shared" si="40"/>
        <v>253.51000000000002</v>
      </c>
      <c r="AP10" s="26">
        <f t="shared" ref="AP10:AW10" si="41">+AP8-AP9</f>
        <v>287.58000000000004</v>
      </c>
      <c r="AQ10" s="26">
        <f t="shared" si="41"/>
        <v>213.68</v>
      </c>
      <c r="AR10" s="26">
        <f t="shared" si="41"/>
        <v>230.07</v>
      </c>
      <c r="AS10" s="26">
        <f t="shared" si="41"/>
        <v>258.89</v>
      </c>
      <c r="AT10" s="26">
        <f t="shared" si="41"/>
        <v>311.47999999999996</v>
      </c>
      <c r="AU10" s="26">
        <f t="shared" si="41"/>
        <v>237.5</v>
      </c>
      <c r="AV10" s="26">
        <f t="shared" si="41"/>
        <v>231.02</v>
      </c>
      <c r="AW10" s="26">
        <f t="shared" si="41"/>
        <v>225.23999999999998</v>
      </c>
      <c r="AX10" s="26">
        <f t="shared" ref="AX10:CF10" si="42">+AX8-AX9</f>
        <v>337.73999999999995</v>
      </c>
      <c r="AY10" s="26">
        <f t="shared" si="42"/>
        <v>241.83</v>
      </c>
      <c r="AZ10" s="26">
        <f t="shared" si="42"/>
        <v>260.11</v>
      </c>
      <c r="BA10" s="26">
        <f t="shared" si="42"/>
        <v>290.98</v>
      </c>
      <c r="BB10" s="26">
        <f t="shared" si="42"/>
        <v>314.69000000000005</v>
      </c>
      <c r="BC10" s="26">
        <f t="shared" si="42"/>
        <v>238.64</v>
      </c>
      <c r="BD10" s="26">
        <f t="shared" si="42"/>
        <v>227.28</v>
      </c>
      <c r="BE10" s="26">
        <f t="shared" si="42"/>
        <v>294.82</v>
      </c>
      <c r="BF10" s="26">
        <f t="shared" si="42"/>
        <v>347.9</v>
      </c>
      <c r="BG10" s="26">
        <f t="shared" si="42"/>
        <v>274.89999999999998</v>
      </c>
      <c r="BH10" s="26">
        <f t="shared" si="42"/>
        <v>331.3</v>
      </c>
      <c r="BI10" s="26">
        <f t="shared" si="42"/>
        <v>354.55</v>
      </c>
      <c r="BJ10" s="26">
        <f t="shared" si="42"/>
        <v>364.76</v>
      </c>
      <c r="BK10" s="26">
        <f t="shared" si="42"/>
        <v>278.51</v>
      </c>
      <c r="BL10" s="26">
        <f t="shared" si="42"/>
        <v>299.95</v>
      </c>
      <c r="BM10" s="26">
        <f t="shared" si="42"/>
        <v>285.45999999999998</v>
      </c>
      <c r="BN10" s="26">
        <f t="shared" si="42"/>
        <v>320.33</v>
      </c>
      <c r="BO10" s="26">
        <f t="shared" si="42"/>
        <v>139.22999999999999</v>
      </c>
      <c r="BP10" s="26">
        <f t="shared" si="42"/>
        <v>150.41999999999999</v>
      </c>
      <c r="BQ10" s="26">
        <f t="shared" si="42"/>
        <v>164.52</v>
      </c>
      <c r="BR10" s="26">
        <f t="shared" si="42"/>
        <v>327.89</v>
      </c>
      <c r="BS10" s="26">
        <f t="shared" si="42"/>
        <v>218.06</v>
      </c>
      <c r="BT10" s="26">
        <f t="shared" si="42"/>
        <v>332</v>
      </c>
      <c r="BU10" s="26">
        <f t="shared" si="42"/>
        <v>334.16</v>
      </c>
      <c r="BV10" s="26">
        <f t="shared" si="42"/>
        <v>470.98</v>
      </c>
      <c r="BW10" s="26">
        <f t="shared" si="42"/>
        <v>430.91</v>
      </c>
      <c r="BX10" s="26">
        <f t="shared" si="42"/>
        <v>522.91</v>
      </c>
      <c r="BY10" s="26">
        <f t="shared" si="42"/>
        <v>555.80999999999995</v>
      </c>
      <c r="BZ10" s="26">
        <f t="shared" si="42"/>
        <v>573.16999999999996</v>
      </c>
      <c r="CA10" s="26">
        <f t="shared" si="42"/>
        <v>426.57</v>
      </c>
      <c r="CB10" s="26">
        <f t="shared" si="42"/>
        <v>362.36</v>
      </c>
      <c r="CC10" s="26">
        <f t="shared" si="42"/>
        <v>473.47</v>
      </c>
      <c r="CD10" s="26">
        <f t="shared" si="42"/>
        <v>539.42999999999995</v>
      </c>
      <c r="CE10" s="26">
        <f t="shared" si="42"/>
        <v>422.23</v>
      </c>
      <c r="CF10" s="26">
        <f t="shared" si="42"/>
        <v>398.47</v>
      </c>
      <c r="CG10" s="26">
        <f t="shared" ref="CG10:CH10" si="43">+CG8-CG9</f>
        <v>431.33</v>
      </c>
      <c r="CH10" s="26">
        <f t="shared" si="43"/>
        <v>502.35</v>
      </c>
      <c r="CI10" s="26">
        <f t="shared" ref="CI10:CJ10" si="44">+CI8-CI9</f>
        <v>385.4</v>
      </c>
      <c r="CJ10" s="26">
        <f t="shared" si="44"/>
        <v>346.32</v>
      </c>
      <c r="CK10" s="26">
        <f t="shared" ref="CK10:CL10" si="45">+CK8-CK9</f>
        <v>386.88</v>
      </c>
      <c r="CL10" s="26">
        <f t="shared" si="45"/>
        <v>591.84</v>
      </c>
      <c r="CM10" s="27">
        <f t="shared" ref="CM10:DB10" si="46">+CM8-CM9</f>
        <v>371.62064376681798</v>
      </c>
      <c r="CN10" s="27">
        <f t="shared" si="46"/>
        <v>338.39450092017398</v>
      </c>
      <c r="CO10" s="27">
        <f t="shared" si="46"/>
        <v>388.47114959670216</v>
      </c>
      <c r="CP10" s="27">
        <f t="shared" si="46"/>
        <v>610.13040259093179</v>
      </c>
      <c r="CQ10" s="27">
        <f t="shared" si="46"/>
        <v>369.42611098663684</v>
      </c>
      <c r="CR10" s="27">
        <f t="shared" si="46"/>
        <v>338.92128560869776</v>
      </c>
      <c r="CS10" s="27">
        <f t="shared" si="46"/>
        <v>391.44960545660962</v>
      </c>
      <c r="CT10" s="27">
        <f t="shared" si="46"/>
        <v>615.35050124754343</v>
      </c>
      <c r="CU10" s="27">
        <f t="shared" si="46"/>
        <v>370.52277512573829</v>
      </c>
      <c r="CV10" s="27">
        <f t="shared" si="46"/>
        <v>340.67927975340575</v>
      </c>
      <c r="CW10" s="27">
        <f t="shared" si="46"/>
        <v>393.83533633302847</v>
      </c>
      <c r="CX10" s="27">
        <f t="shared" si="46"/>
        <v>618.85890744594201</v>
      </c>
      <c r="CY10" s="27">
        <f t="shared" si="46"/>
        <v>372.37091224287906</v>
      </c>
      <c r="CZ10" s="27">
        <f t="shared" si="46"/>
        <v>342.55054817495488</v>
      </c>
      <c r="DA10" s="27">
        <f t="shared" si="46"/>
        <v>396.02867975858737</v>
      </c>
      <c r="DB10" s="27">
        <f t="shared" si="46"/>
        <v>622.22416001733268</v>
      </c>
      <c r="DE10" s="121"/>
      <c r="DF10" s="26">
        <v>1710.44</v>
      </c>
    </row>
    <row r="11" spans="1:110" s="39" customFormat="1" x14ac:dyDescent="0.2">
      <c r="A11" s="39" t="s">
        <v>484</v>
      </c>
      <c r="C11" s="39">
        <f t="shared" ref="C11" si="47">C10/B10-1</f>
        <v>0.42569556427481792</v>
      </c>
      <c r="D11" s="39">
        <f t="shared" ref="D11" si="48">D10/C10-1</f>
        <v>7.6276280493370541E-2</v>
      </c>
      <c r="E11" s="39">
        <f t="shared" ref="E11" si="49">E10/D10-1</f>
        <v>6.1273392602013921E-2</v>
      </c>
      <c r="F11" s="39">
        <f t="shared" ref="F11:R11" si="50">F10/E10-1</f>
        <v>3.0483639392037798E-2</v>
      </c>
      <c r="G11" s="39">
        <f t="shared" si="50"/>
        <v>8.7157291049599461E-2</v>
      </c>
      <c r="H11" s="39">
        <f t="shared" si="50"/>
        <v>9.1689473925291365E-2</v>
      </c>
      <c r="I11" s="39">
        <f t="shared" si="50"/>
        <v>8.1824257022214741E-2</v>
      </c>
      <c r="J11" s="39">
        <f t="shared" si="50"/>
        <v>6.8826503857059018E-2</v>
      </c>
      <c r="K11" s="39">
        <f>K10/J10-1</f>
        <v>-3.7524548191376295E-2</v>
      </c>
      <c r="L11" s="39">
        <f t="shared" si="50"/>
        <v>0.12610729815323318</v>
      </c>
      <c r="M11" s="39">
        <f t="shared" si="50"/>
        <v>6.6156075195120456E-2</v>
      </c>
      <c r="N11" s="39">
        <f t="shared" si="50"/>
        <v>0.36331883042986335</v>
      </c>
      <c r="O11" s="39">
        <f t="shared" si="50"/>
        <v>0.21269453069458688</v>
      </c>
      <c r="P11" s="39">
        <f t="shared" si="50"/>
        <v>3.5494862989136067E-3</v>
      </c>
      <c r="Q11" s="39">
        <f t="shared" si="50"/>
        <v>1.102846550086567E-2</v>
      </c>
      <c r="R11" s="39">
        <f t="shared" si="50"/>
        <v>8.0286365539413929E-2</v>
      </c>
      <c r="S11" s="39">
        <f t="shared" ref="S11:AA11" si="51">S10/R10-1</f>
        <v>-2.6535014485952191E-3</v>
      </c>
      <c r="T11" s="39">
        <f t="shared" si="51"/>
        <v>0.19952399482367</v>
      </c>
      <c r="U11" s="39">
        <f t="shared" si="51"/>
        <v>-0.10657030124254063</v>
      </c>
      <c r="V11" s="39">
        <f t="shared" si="51"/>
        <v>-0.33961579058475821</v>
      </c>
      <c r="W11" s="39">
        <f t="shared" si="51"/>
        <v>0.73285937140372859</v>
      </c>
      <c r="X11" s="39">
        <f t="shared" si="51"/>
        <v>0.53689492325855981</v>
      </c>
      <c r="Y11" s="39">
        <f t="shared" si="51"/>
        <v>-0.13490013443441529</v>
      </c>
      <c r="Z11" s="39">
        <f t="shared" si="51"/>
        <v>-2.6334337867612412E-2</v>
      </c>
      <c r="AA11" s="39">
        <f t="shared" si="51"/>
        <v>-2.5040185136629423E-2</v>
      </c>
      <c r="AB11" s="40">
        <f t="shared" ref="AB11" si="52">AB10/AA10-1</f>
        <v>-1.0718250316431588E-3</v>
      </c>
      <c r="AC11" s="40">
        <f t="shared" ref="AC11" si="53">AC10/AB10-1</f>
        <v>3.8222770717433185E-3</v>
      </c>
      <c r="AD11" s="40">
        <f t="shared" ref="AD11" si="54">AD10/AC10-1</f>
        <v>5.1008996846024779E-3</v>
      </c>
      <c r="AE11" s="40">
        <f t="shared" ref="AE11" si="55">AE10/AD10-1</f>
        <v>5.3819951599534122E-3</v>
      </c>
      <c r="AM11" s="39">
        <f t="shared" ref="AM11:CI11" si="56">+IF(AI10&lt;0,1-AM10/AI10,AM10/AI10-1)</f>
        <v>9.0936464920204685E-2</v>
      </c>
      <c r="AN11" s="39">
        <f t="shared" si="56"/>
        <v>0.25202449140825589</v>
      </c>
      <c r="AO11" s="39">
        <f t="shared" si="56"/>
        <v>0.25973961439077731</v>
      </c>
      <c r="AP11" s="39">
        <f t="shared" si="56"/>
        <v>0.24617584608051324</v>
      </c>
      <c r="AQ11" s="39">
        <f t="shared" si="56"/>
        <v>-1.7020885086024395E-2</v>
      </c>
      <c r="AR11" s="39">
        <f t="shared" si="56"/>
        <v>-9.264079507808809E-2</v>
      </c>
      <c r="AS11" s="39">
        <f t="shared" si="56"/>
        <v>2.1222042522977214E-2</v>
      </c>
      <c r="AT11" s="39">
        <f t="shared" si="56"/>
        <v>8.3107309270463503E-2</v>
      </c>
      <c r="AU11" s="39">
        <f t="shared" si="56"/>
        <v>0.11147510295769369</v>
      </c>
      <c r="AV11" s="39">
        <f t="shared" si="56"/>
        <v>4.129178076237805E-3</v>
      </c>
      <c r="AW11" s="39">
        <f t="shared" si="56"/>
        <v>-0.12997798292711193</v>
      </c>
      <c r="AX11" s="39">
        <f t="shared" si="56"/>
        <v>8.4307178631051638E-2</v>
      </c>
      <c r="AY11" s="39">
        <f t="shared" si="56"/>
        <v>1.8231578947368376E-2</v>
      </c>
      <c r="AZ11" s="39">
        <f t="shared" si="56"/>
        <v>0.1259198337806251</v>
      </c>
      <c r="BA11" s="39">
        <f t="shared" si="56"/>
        <v>0.29186645356064655</v>
      </c>
      <c r="BB11" s="39">
        <f t="shared" si="56"/>
        <v>-6.8247764552614165E-2</v>
      </c>
      <c r="BC11" s="39">
        <f t="shared" si="56"/>
        <v>-1.3191084646239193E-2</v>
      </c>
      <c r="BD11" s="39">
        <f t="shared" si="56"/>
        <v>-0.12621583176348472</v>
      </c>
      <c r="BE11" s="39">
        <f t="shared" si="56"/>
        <v>1.3196783284074476E-2</v>
      </c>
      <c r="BF11" s="39">
        <f t="shared" si="56"/>
        <v>0.10553242873939417</v>
      </c>
      <c r="BG11" s="39">
        <f t="shared" si="56"/>
        <v>0.15194435132417028</v>
      </c>
      <c r="BH11" s="39">
        <f t="shared" si="56"/>
        <v>0.45767335445265767</v>
      </c>
      <c r="BI11" s="39">
        <f t="shared" si="56"/>
        <v>0.20259819550912428</v>
      </c>
      <c r="BJ11" s="39">
        <f t="shared" si="56"/>
        <v>4.8462201782121239E-2</v>
      </c>
      <c r="BK11" s="39">
        <f t="shared" si="56"/>
        <v>1.313204801746104E-2</v>
      </c>
      <c r="BL11" s="39">
        <f t="shared" si="56"/>
        <v>-9.4627226079082472E-2</v>
      </c>
      <c r="BM11" s="39">
        <f t="shared" si="56"/>
        <v>-0.19486673247778885</v>
      </c>
      <c r="BN11" s="39">
        <f t="shared" si="56"/>
        <v>-0.12180611909200567</v>
      </c>
      <c r="BO11" s="39">
        <f t="shared" si="56"/>
        <v>-0.50008976338372046</v>
      </c>
      <c r="BP11" s="39">
        <f t="shared" si="56"/>
        <v>-0.49851641940323388</v>
      </c>
      <c r="BQ11" s="39">
        <f t="shared" si="56"/>
        <v>-0.42366706368668106</v>
      </c>
      <c r="BR11" s="39">
        <f t="shared" si="56"/>
        <v>2.3600661817500646E-2</v>
      </c>
      <c r="BS11" s="39">
        <f t="shared" si="56"/>
        <v>0.56618544853838992</v>
      </c>
      <c r="BT11" s="39">
        <f t="shared" si="56"/>
        <v>1.207153304081904</v>
      </c>
      <c r="BU11" s="39">
        <f t="shared" si="56"/>
        <v>1.0311208363724775</v>
      </c>
      <c r="BV11" s="39">
        <f t="shared" si="56"/>
        <v>0.43639635243526809</v>
      </c>
      <c r="BW11" s="39">
        <f t="shared" si="56"/>
        <v>0.9761074933504541</v>
      </c>
      <c r="BX11" s="39">
        <f t="shared" si="56"/>
        <v>0.5750301204819277</v>
      </c>
      <c r="BY11" s="39">
        <f t="shared" si="56"/>
        <v>0.6633050035910939</v>
      </c>
      <c r="BZ11" s="39">
        <f t="shared" si="56"/>
        <v>0.21697311987770163</v>
      </c>
      <c r="CA11" s="39">
        <f t="shared" si="56"/>
        <v>-1.007170870947538E-2</v>
      </c>
      <c r="CB11" s="39">
        <f t="shared" si="56"/>
        <v>-0.30703180279589215</v>
      </c>
      <c r="CC11" s="39">
        <f t="shared" si="56"/>
        <v>-0.14814414997930936</v>
      </c>
      <c r="CD11" s="39">
        <f t="shared" si="56"/>
        <v>-5.8865607062477121E-2</v>
      </c>
      <c r="CE11" s="39">
        <f t="shared" si="56"/>
        <v>-1.017418008767601E-2</v>
      </c>
      <c r="CF11" s="39">
        <f t="shared" si="56"/>
        <v>9.9652279501048824E-2</v>
      </c>
      <c r="CG11" s="39">
        <f t="shared" si="56"/>
        <v>-8.9002471117494375E-2</v>
      </c>
      <c r="CH11" s="39">
        <f t="shared" si="56"/>
        <v>-6.8739224737222493E-2</v>
      </c>
      <c r="CI11" s="39">
        <f t="shared" si="56"/>
        <v>-8.7227340548989951E-2</v>
      </c>
      <c r="CJ11" s="39">
        <f>+IF(CF10&lt;0,1-CJ10/CF10,CJ10/CF10-1)</f>
        <v>-0.13087559916681313</v>
      </c>
      <c r="CK11" s="39">
        <f>+IF(CG10&lt;0,1-CK10/CG10,CK10/CG10-1)</f>
        <v>-0.10305334662555354</v>
      </c>
      <c r="CL11" s="39">
        <f>+IF(CH10&lt;0,1-CL10/CH10,CL10/CH10-1)</f>
        <v>0.17814272917288743</v>
      </c>
      <c r="CM11" s="40">
        <f t="shared" ref="CM11" si="57">+AVERAGE(CI11:CL11)</f>
        <v>-3.5753389292117299E-2</v>
      </c>
      <c r="CN11" s="40">
        <f t="shared" ref="CN11" si="58">+AVERAGE(CJ11:CM11)</f>
        <v>-2.2884901477899136E-2</v>
      </c>
      <c r="CO11" s="40">
        <f t="shared" ref="CO11" si="59">+AVERAGE(CK11:CN11)</f>
        <v>4.1127729443293619E-3</v>
      </c>
      <c r="CP11" s="40">
        <f t="shared" ref="CP11" si="60">+AVERAGE(CL11:CO11)</f>
        <v>3.0904302836800089E-2</v>
      </c>
      <c r="CQ11" s="40">
        <f t="shared" ref="CQ11" si="61">+AVERAGE(CM11:CP11)</f>
        <v>-5.9053037472217452E-3</v>
      </c>
      <c r="CR11" s="40">
        <f t="shared" ref="CR11" si="62">+AVERAGE(CN11:CQ11)</f>
        <v>1.5567176390021424E-3</v>
      </c>
      <c r="CS11" s="40">
        <f t="shared" ref="CS11" si="63">+AVERAGE(CO11:CR11)</f>
        <v>7.6671224182274615E-3</v>
      </c>
      <c r="CT11" s="40">
        <f t="shared" ref="CT11" si="64">+AVERAGE(CP11:CS11)</f>
        <v>8.5557097867019864E-3</v>
      </c>
      <c r="CU11" s="40">
        <f t="shared" ref="CU11" si="65">+AVERAGE(CQ11:CT11)</f>
        <v>2.9685615241774612E-3</v>
      </c>
      <c r="CV11" s="40">
        <f t="shared" ref="CV11" si="66">+AVERAGE(CR11:CU11)</f>
        <v>5.1870278420272625E-3</v>
      </c>
      <c r="CW11" s="40">
        <f t="shared" ref="CW11" si="67">+AVERAGE(CS11:CV11)</f>
        <v>6.094605392783543E-3</v>
      </c>
      <c r="CX11" s="40">
        <f t="shared" ref="CX11" si="68">+AVERAGE(CT11:CW11)</f>
        <v>5.7014761364225629E-3</v>
      </c>
      <c r="CY11" s="40">
        <f t="shared" ref="CY11" si="69">+AVERAGE(CU11:CX11)</f>
        <v>4.9879177238527075E-3</v>
      </c>
      <c r="CZ11" s="40">
        <f t="shared" ref="CZ11" si="70">+AVERAGE(CV11:CY11)</f>
        <v>5.4927567737715188E-3</v>
      </c>
      <c r="DA11" s="40">
        <f t="shared" ref="DA11" si="71">+AVERAGE(CW11:CZ11)</f>
        <v>5.5691890067075828E-3</v>
      </c>
      <c r="DB11" s="40">
        <f t="shared" ref="DB11" si="72">+AVERAGE(CX11:DA11)</f>
        <v>5.4378349101885919E-3</v>
      </c>
      <c r="DE11" s="122"/>
      <c r="DF11" s="39">
        <v>-2.5045885156009473E-2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1.6360533975710245E-2</v>
      </c>
      <c r="AK12" s="39">
        <f t="shared" si="73"/>
        <v>-6.3203634208968129E-3</v>
      </c>
      <c r="AL12" s="39">
        <f t="shared" si="73"/>
        <v>0.14674021069369925</v>
      </c>
      <c r="AM12" s="39">
        <f t="shared" ref="AM12:CI12" si="74">+IF(AL10&lt;0,1-AM10/AL10,AM10/AL10-1)</f>
        <v>-5.8023139922867006E-2</v>
      </c>
      <c r="AN12" s="39">
        <f t="shared" si="74"/>
        <v>0.16643665470604474</v>
      </c>
      <c r="AO12" s="39">
        <f t="shared" si="74"/>
        <v>-1.9719198611756195E-4</v>
      </c>
      <c r="AP12" s="39">
        <f t="shared" si="74"/>
        <v>0.13439312058695907</v>
      </c>
      <c r="AQ12" s="39">
        <f t="shared" si="74"/>
        <v>-0.25697197301620422</v>
      </c>
      <c r="AR12" s="39">
        <f t="shared" si="74"/>
        <v>7.6703481842006704E-2</v>
      </c>
      <c r="AS12" s="39">
        <f t="shared" si="74"/>
        <v>0.12526622332333637</v>
      </c>
      <c r="AT12" s="39">
        <f t="shared" si="74"/>
        <v>0.20313646722546252</v>
      </c>
      <c r="AU12" s="39">
        <f t="shared" si="74"/>
        <v>-0.23751123667651208</v>
      </c>
      <c r="AV12" s="39">
        <f t="shared" si="74"/>
        <v>-2.72842105263158E-2</v>
      </c>
      <c r="AW12" s="39">
        <f t="shared" si="74"/>
        <v>-2.5019478833001596E-2</v>
      </c>
      <c r="AX12" s="39">
        <f t="shared" si="74"/>
        <v>0.49946723494938716</v>
      </c>
      <c r="AY12" s="39">
        <f t="shared" si="74"/>
        <v>-0.28397583940309101</v>
      </c>
      <c r="AZ12" s="39">
        <f t="shared" si="74"/>
        <v>7.55902907000785E-2</v>
      </c>
      <c r="BA12" s="39">
        <f t="shared" si="74"/>
        <v>0.11868055822536627</v>
      </c>
      <c r="BB12" s="39">
        <f t="shared" si="74"/>
        <v>8.148326345453305E-2</v>
      </c>
      <c r="BC12" s="39">
        <f t="shared" si="74"/>
        <v>-0.2416664018557948</v>
      </c>
      <c r="BD12" s="39">
        <f t="shared" si="74"/>
        <v>-4.760308414347969E-2</v>
      </c>
      <c r="BE12" s="39">
        <f t="shared" si="74"/>
        <v>0.29716649067229839</v>
      </c>
      <c r="BF12" s="39">
        <f t="shared" si="74"/>
        <v>0.18004205956176644</v>
      </c>
      <c r="BG12" s="39">
        <f t="shared" si="74"/>
        <v>-0.20983041103765454</v>
      </c>
      <c r="BH12" s="39">
        <f t="shared" si="74"/>
        <v>0.20516551473263012</v>
      </c>
      <c r="BI12" s="39">
        <f t="shared" si="74"/>
        <v>7.0178086326592171E-2</v>
      </c>
      <c r="BJ12" s="39">
        <f t="shared" si="74"/>
        <v>2.8797066704272956E-2</v>
      </c>
      <c r="BK12" s="39">
        <f t="shared" si="74"/>
        <v>-0.23645684833863367</v>
      </c>
      <c r="BL12" s="39">
        <f t="shared" si="74"/>
        <v>7.6981077878711668E-2</v>
      </c>
      <c r="BM12" s="39">
        <f t="shared" si="74"/>
        <v>-4.8308051341890312E-2</v>
      </c>
      <c r="BN12" s="39">
        <f t="shared" si="74"/>
        <v>0.12215371680795917</v>
      </c>
      <c r="BO12" s="39">
        <f t="shared" si="74"/>
        <v>-0.56535447819436202</v>
      </c>
      <c r="BP12" s="39">
        <f t="shared" si="74"/>
        <v>8.0370609782374425E-2</v>
      </c>
      <c r="BQ12" s="39">
        <f t="shared" si="74"/>
        <v>9.3737534902273767E-2</v>
      </c>
      <c r="BR12" s="39">
        <f t="shared" si="74"/>
        <v>0.99300996839290034</v>
      </c>
      <c r="BS12" s="39">
        <f t="shared" si="74"/>
        <v>-0.33495989508676682</v>
      </c>
      <c r="BT12" s="39">
        <f t="shared" si="74"/>
        <v>0.52251673851233593</v>
      </c>
      <c r="BU12" s="39">
        <f t="shared" si="74"/>
        <v>6.5060240963856764E-3</v>
      </c>
      <c r="BV12" s="39">
        <f t="shared" si="74"/>
        <v>0.40944457744792917</v>
      </c>
      <c r="BW12" s="39">
        <f t="shared" si="74"/>
        <v>-8.5077922629411051E-2</v>
      </c>
      <c r="BX12" s="39">
        <f t="shared" si="74"/>
        <v>0.21350165927919962</v>
      </c>
      <c r="BY12" s="39">
        <f t="shared" si="74"/>
        <v>6.2917136792182138E-2</v>
      </c>
      <c r="BZ12" s="39">
        <f t="shared" si="74"/>
        <v>3.1233694967704784E-2</v>
      </c>
      <c r="CA12" s="39">
        <f t="shared" si="74"/>
        <v>-0.25577053928153948</v>
      </c>
      <c r="CB12" s="39">
        <f t="shared" si="74"/>
        <v>-0.15052629111283022</v>
      </c>
      <c r="CC12" s="39">
        <f t="shared" si="74"/>
        <v>0.30662876697207198</v>
      </c>
      <c r="CD12" s="39">
        <f t="shared" si="74"/>
        <v>0.13931188882083334</v>
      </c>
      <c r="CE12" s="39">
        <f t="shared" si="74"/>
        <v>-0.21726637376489988</v>
      </c>
      <c r="CF12" s="39">
        <f t="shared" si="74"/>
        <v>-5.6272647609122983E-2</v>
      </c>
      <c r="CG12" s="39">
        <f t="shared" si="74"/>
        <v>8.2465430270785678E-2</v>
      </c>
      <c r="CH12" s="39">
        <f t="shared" si="74"/>
        <v>0.16465351355110935</v>
      </c>
      <c r="CI12" s="39">
        <f t="shared" si="74"/>
        <v>-0.23280581268040224</v>
      </c>
      <c r="CJ12" s="39">
        <f>+IF(CI10&lt;0,1-CJ10/CI10,CJ10/CI10-1)</f>
        <v>-0.10140114167099112</v>
      </c>
      <c r="CK12" s="39">
        <f>+IF(CJ10&lt;0,1-CK10/CJ10,CK10/CJ10-1)</f>
        <v>0.11711711711711703</v>
      </c>
      <c r="CL12" s="39">
        <f>+IF(CK10&lt;0,1-CL10/CK10,CL10/CK10-1)</f>
        <v>0.52977667493796532</v>
      </c>
      <c r="CM12" s="40">
        <f t="shared" ref="CM12" si="75">+CM10/CL10-1</f>
        <v>-0.37209272139967231</v>
      </c>
      <c r="CN12" s="40">
        <f t="shared" ref="CN12" si="76">+CN10/CM10-1</f>
        <v>-8.9408765104805443E-2</v>
      </c>
      <c r="CO12" s="40">
        <f t="shared" ref="CO12" si="77">+CO10/CN10-1</f>
        <v>0.14798304505645943</v>
      </c>
      <c r="CP12" s="40">
        <f t="shared" ref="CP12" si="78">+CP10/CO10-1</f>
        <v>0.57059386063636608</v>
      </c>
      <c r="CQ12" s="40">
        <f t="shared" ref="CQ12" si="79">+CQ10/CP10-1</f>
        <v>-0.39451286246700545</v>
      </c>
      <c r="CR12" s="40">
        <f t="shared" ref="CR12" si="80">+CR10/CQ10-1</f>
        <v>-8.2573549813436231E-2</v>
      </c>
      <c r="CS12" s="40">
        <f t="shared" ref="CS12" si="81">+CS10/CR10-1</f>
        <v>0.1549867832985814</v>
      </c>
      <c r="CT12" s="40">
        <f t="shared" ref="CT12" si="82">+CT10/CS10-1</f>
        <v>0.57197885160661421</v>
      </c>
      <c r="CU12" s="40">
        <f t="shared" ref="CU12" si="83">+CU10/CT10-1</f>
        <v>-0.39786711089931448</v>
      </c>
      <c r="CV12" s="40">
        <f t="shared" ref="CV12" si="84">+CV10/CU10-1</f>
        <v>-8.0544294105011627E-2</v>
      </c>
      <c r="CW12" s="40">
        <f t="shared" ref="CW12" si="85">+CW10/CV10-1</f>
        <v>0.15602961418169814</v>
      </c>
      <c r="CX12" s="40">
        <f t="shared" ref="CX12" si="86">+CX10/CW10-1</f>
        <v>0.57136460432446534</v>
      </c>
      <c r="CY12" s="40">
        <f t="shared" ref="CY12" si="87">+CY10/CX10-1</f>
        <v>-0.39829433209635745</v>
      </c>
      <c r="CZ12" s="40">
        <f t="shared" ref="CZ12" si="88">+CZ10/CY10-1</f>
        <v>-8.0082420746317107E-2</v>
      </c>
      <c r="DA12" s="40">
        <f t="shared" ref="DA12" si="89">+DA10/CZ10-1</f>
        <v>0.15611748942908998</v>
      </c>
      <c r="DB12" s="40">
        <f t="shared" ref="DB12" si="90">+DB10/DA10-1</f>
        <v>0.57115934228963017</v>
      </c>
      <c r="DE12" s="122"/>
    </row>
    <row r="13" spans="1:110" s="23" customFormat="1" outlineLevel="1" x14ac:dyDescent="0.2">
      <c r="A13" s="23" t="s">
        <v>2</v>
      </c>
      <c r="B13" s="23">
        <f>'Annual Raw'!C11</f>
        <v>-22.7743</v>
      </c>
      <c r="C13" s="23">
        <f>'Annual Raw'!D11</f>
        <v>23.396999999999998</v>
      </c>
      <c r="D13" s="23">
        <f>'Annual Raw'!E11</f>
        <v>0.29580000000000001</v>
      </c>
      <c r="E13" s="23">
        <f>'Annual Raw'!F11</f>
        <v>-0.6784</v>
      </c>
      <c r="F13" s="23">
        <f>'Annual Raw'!G11</f>
        <v>0.34360000000000002</v>
      </c>
      <c r="G13" s="23">
        <f>'Annual Raw'!H11</f>
        <v>-0.13869999999999999</v>
      </c>
      <c r="H13" s="23">
        <f>'Annual Raw'!I11</f>
        <v>-2.2063000000000001</v>
      </c>
      <c r="I13" s="23">
        <f>'Annual Raw'!J11</f>
        <v>-1.4578</v>
      </c>
      <c r="J13" s="23">
        <f>'Annual Raw'!K11</f>
        <v>3.0891999999999999</v>
      </c>
      <c r="K13" s="23">
        <f>'Annual Raw'!L11</f>
        <v>0.1055</v>
      </c>
      <c r="L13" s="23">
        <f>'Annual Raw'!M11</f>
        <v>-1.8244</v>
      </c>
      <c r="M13" s="23">
        <f>'Annual Raw'!N11</f>
        <v>-11.210900000000001</v>
      </c>
      <c r="N13" s="23">
        <f>'Annual Raw'!O11</f>
        <v>3.9457</v>
      </c>
      <c r="O13" s="23">
        <f>'Annual Raw'!P11</f>
        <v>1.3162</v>
      </c>
      <c r="P13" s="23">
        <f>'Annual Raw'!Q11</f>
        <v>-2.3466</v>
      </c>
      <c r="Q13" s="23">
        <f>'Annual Raw'!R11</f>
        <v>3.7079</v>
      </c>
      <c r="R13" s="23">
        <f>'Annual Raw'!S11</f>
        <v>-2.2400000000000002</v>
      </c>
      <c r="S13" s="23">
        <f>'Annual Raw'!T11</f>
        <v>1.99</v>
      </c>
      <c r="T13" s="23">
        <f>'Annual Raw'!U11</f>
        <v>0.52</v>
      </c>
      <c r="U13" s="23">
        <f>'Annual Raw'!V11</f>
        <v>-53.05</v>
      </c>
      <c r="V13" s="23">
        <f>'Annual Raw'!W11</f>
        <v>-97.4</v>
      </c>
      <c r="W13" s="23">
        <f>'Annual Raw'!X11</f>
        <v>138.78</v>
      </c>
      <c r="X13" s="23">
        <f>'Annual Raw'!Y11</f>
        <v>13.75</v>
      </c>
      <c r="Y13" s="23">
        <f>'Annual Raw'!Z11</f>
        <v>-95.28</v>
      </c>
      <c r="Z13" s="23">
        <f>'Annual Raw'!AA11</f>
        <v>-56.81</v>
      </c>
      <c r="AA13" s="23">
        <f>'Annual Raw'!AB11</f>
        <v>6.63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-5.61</v>
      </c>
      <c r="AJ13" s="23">
        <f>'QTR Raw'!D10</f>
        <v>-3.87</v>
      </c>
      <c r="AK13" s="23">
        <f>'QTR Raw'!E10</f>
        <v>-2.19</v>
      </c>
      <c r="AL13" s="23">
        <f>'QTR Raw'!F10</f>
        <v>18.59</v>
      </c>
      <c r="AM13" s="23">
        <f>'QTR Raw'!G10</f>
        <v>-14.03</v>
      </c>
      <c r="AN13" s="23">
        <f>'QTR Raw'!H10</f>
        <v>-2.78</v>
      </c>
      <c r="AO13" s="23">
        <f>'QTR Raw'!I10</f>
        <v>4.2</v>
      </c>
      <c r="AP13" s="23">
        <f>'QTR Raw'!J10</f>
        <v>13.93</v>
      </c>
      <c r="AQ13" s="23">
        <f>'QTR Raw'!K10</f>
        <v>-35.9</v>
      </c>
      <c r="AR13" s="23">
        <f>'QTR Raw'!L10</f>
        <v>-25.28</v>
      </c>
      <c r="AS13" s="23">
        <f>'QTR Raw'!M10</f>
        <v>-2.04</v>
      </c>
      <c r="AT13" s="23">
        <f>'QTR Raw'!N10</f>
        <v>60.87</v>
      </c>
      <c r="AU13" s="23">
        <f>'QTR Raw'!O10</f>
        <v>-28.07</v>
      </c>
      <c r="AV13" s="23">
        <f>'QTR Raw'!P10</f>
        <v>-28.9</v>
      </c>
      <c r="AW13" s="23">
        <f>'QTR Raw'!Q10</f>
        <v>-20.76</v>
      </c>
      <c r="AX13" s="23">
        <f>'QTR Raw'!R10</f>
        <v>81.44</v>
      </c>
      <c r="AY13" s="23">
        <f>'QTR Raw'!S10</f>
        <v>-26.56</v>
      </c>
      <c r="AZ13" s="23">
        <f>'QTR Raw'!T10</f>
        <v>-10.97</v>
      </c>
      <c r="BA13" s="23">
        <f>'QTR Raw'!U10</f>
        <v>7.14</v>
      </c>
      <c r="BB13" s="23">
        <f>'QTR Raw'!V10</f>
        <v>28.15</v>
      </c>
      <c r="BC13" s="23">
        <f>'QTR Raw'!W10</f>
        <v>-23.31</v>
      </c>
      <c r="BD13" s="23">
        <f>'QTR Raw'!X10</f>
        <v>-24.15</v>
      </c>
      <c r="BE13" s="23">
        <f>'QTR Raw'!Y10</f>
        <v>17.59</v>
      </c>
      <c r="BF13" s="23">
        <f>'QTR Raw'!Z10</f>
        <v>31.86</v>
      </c>
      <c r="BG13" s="23">
        <f>'QTR Raw'!AA10</f>
        <v>-21.85</v>
      </c>
      <c r="BH13" s="23">
        <f>'QTR Raw'!AB10</f>
        <v>-4.88</v>
      </c>
      <c r="BI13" s="23">
        <f>'QTR Raw'!AC10</f>
        <v>6.81</v>
      </c>
      <c r="BJ13" s="23">
        <f>'QTR Raw'!AD10</f>
        <v>20.440000000000001</v>
      </c>
      <c r="BK13" s="23">
        <f>'QTR Raw'!AE10</f>
        <v>-24.86</v>
      </c>
      <c r="BL13" s="23">
        <f>'QTR Raw'!AF10</f>
        <v>-19.05</v>
      </c>
      <c r="BM13" s="23">
        <f>'QTR Raw'!AG10</f>
        <v>-27.76</v>
      </c>
      <c r="BN13" s="23">
        <f>'QTR Raw'!AH10</f>
        <v>18.62</v>
      </c>
      <c r="BO13" s="23">
        <f>'QTR Raw'!AI10</f>
        <v>-83.25</v>
      </c>
      <c r="BP13" s="23">
        <f>'QTR Raw'!AJ10</f>
        <v>-75.150000000000006</v>
      </c>
      <c r="BQ13" s="23">
        <f>'QTR Raw'!AK10</f>
        <v>-4.17</v>
      </c>
      <c r="BR13" s="23">
        <f>'QTR Raw'!AL10</f>
        <v>65.17</v>
      </c>
      <c r="BS13" s="23">
        <f>'QTR Raw'!AM10</f>
        <v>-61.15</v>
      </c>
      <c r="BT13" s="23">
        <f>'QTR Raw'!AN10</f>
        <v>26.68</v>
      </c>
      <c r="BU13" s="23">
        <f>'QTR Raw'!AO10</f>
        <v>92.26</v>
      </c>
      <c r="BV13" s="23">
        <f>'QTR Raw'!AP10</f>
        <v>80.989999999999995</v>
      </c>
      <c r="BW13" s="23">
        <f>'QTR Raw'!AQ10</f>
        <v>-18.62</v>
      </c>
      <c r="BX13" s="23">
        <f>'QTR Raw'!AR10</f>
        <v>0.68</v>
      </c>
      <c r="BY13" s="23">
        <f>'QTR Raw'!AS10</f>
        <v>1.54</v>
      </c>
      <c r="BZ13" s="23">
        <f>'QTR Raw'!AT10</f>
        <v>30.15</v>
      </c>
      <c r="CA13" s="23">
        <f>'QTR Raw'!AU10</f>
        <v>-57.6</v>
      </c>
      <c r="CB13" s="23">
        <f>'QTR Raw'!AV10</f>
        <v>-96.65</v>
      </c>
      <c r="CC13" s="23">
        <f>'QTR Raw'!AW10</f>
        <v>1.55</v>
      </c>
      <c r="CD13" s="23">
        <f>'QTR Raw'!AX10</f>
        <v>57.42</v>
      </c>
      <c r="CE13" s="23">
        <f>'QTR Raw'!AY10</f>
        <v>-43.53</v>
      </c>
      <c r="CF13" s="23">
        <f>'QTR Raw'!AZ10</f>
        <v>-69.45</v>
      </c>
      <c r="CG13" s="23">
        <f>'QTR Raw'!BA10</f>
        <v>10.92</v>
      </c>
      <c r="CH13" s="23">
        <f>'QTR Raw'!BB10</f>
        <v>45.25</v>
      </c>
      <c r="CI13" s="23">
        <f>'QTR Raw'!BC10</f>
        <v>-45.05</v>
      </c>
      <c r="CJ13" s="23">
        <f>'QTR Raw'!BD10</f>
        <v>-65.66</v>
      </c>
      <c r="CK13" s="23">
        <f>'QTR Raw'!BE10</f>
        <v>-28.07</v>
      </c>
      <c r="CL13" s="23">
        <f>'QTR Raw'!BF10</f>
        <v>145.41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6.6299999999999955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7.43</v>
      </c>
      <c r="AJ14" s="23">
        <f>'QTR Raw'!D12</f>
        <v>6.03</v>
      </c>
      <c r="AK14" s="23">
        <f>'QTR Raw'!E12</f>
        <v>7</v>
      </c>
      <c r="AL14" s="23">
        <f>'QTR Raw'!F12</f>
        <v>7.75</v>
      </c>
      <c r="AM14" s="23">
        <f>'QTR Raw'!G12</f>
        <v>7.38</v>
      </c>
      <c r="AN14" s="23">
        <f>'QTR Raw'!H12</f>
        <v>6.51</v>
      </c>
      <c r="AO14" s="23">
        <f>'QTR Raw'!I12</f>
        <v>6.62</v>
      </c>
      <c r="AP14" s="23">
        <f>'QTR Raw'!J12</f>
        <v>7.15</v>
      </c>
      <c r="AQ14" s="23">
        <f>'QTR Raw'!K12</f>
        <v>5.88</v>
      </c>
      <c r="AR14" s="23">
        <f>'QTR Raw'!L12</f>
        <v>6.76</v>
      </c>
      <c r="AS14" s="23">
        <f>'QTR Raw'!M12</f>
        <v>5.4</v>
      </c>
      <c r="AT14" s="23">
        <f>'QTR Raw'!N12</f>
        <v>5.67</v>
      </c>
      <c r="AU14" s="23">
        <f>'QTR Raw'!O12</f>
        <v>5.0199999999999996</v>
      </c>
      <c r="AV14" s="23">
        <f>'QTR Raw'!P12</f>
        <v>5.48</v>
      </c>
      <c r="AW14" s="23">
        <f>'QTR Raw'!Q12</f>
        <v>4.8099999999999996</v>
      </c>
      <c r="AX14" s="23">
        <f>'QTR Raw'!R12</f>
        <v>5.32</v>
      </c>
      <c r="AY14" s="23">
        <f>'QTR Raw'!S12</f>
        <v>17.02</v>
      </c>
      <c r="AZ14" s="23">
        <f>'QTR Raw'!T12</f>
        <v>6.81</v>
      </c>
      <c r="BA14" s="23">
        <f>'QTR Raw'!U12</f>
        <v>6.7</v>
      </c>
      <c r="BB14" s="23">
        <f>'QTR Raw'!V12</f>
        <v>9.77</v>
      </c>
      <c r="BC14" s="23">
        <f>'QTR Raw'!W12</f>
        <v>8.2100000000000009</v>
      </c>
      <c r="BD14" s="23">
        <f>'QTR Raw'!X12</f>
        <v>6.7</v>
      </c>
      <c r="BE14" s="23">
        <f>'QTR Raw'!Y12</f>
        <v>5.71</v>
      </c>
      <c r="BF14" s="23">
        <f>'QTR Raw'!Z12</f>
        <v>8.58</v>
      </c>
      <c r="BG14" s="23">
        <f>'QTR Raw'!AA12</f>
        <v>9.89</v>
      </c>
      <c r="BH14" s="23">
        <f>'QTR Raw'!AB12</f>
        <v>9.83</v>
      </c>
      <c r="BI14" s="23">
        <f>'QTR Raw'!AC12</f>
        <v>6.41</v>
      </c>
      <c r="BJ14" s="23">
        <f>'QTR Raw'!AD12</f>
        <v>7.29</v>
      </c>
      <c r="BK14" s="23">
        <f>'QTR Raw'!AE12</f>
        <v>8.34</v>
      </c>
      <c r="BL14" s="23">
        <f>'QTR Raw'!AF12</f>
        <v>6.94</v>
      </c>
      <c r="BM14" s="23">
        <f>'QTR Raw'!AG12</f>
        <v>6.24</v>
      </c>
      <c r="BN14" s="23">
        <f>'QTR Raw'!AH12</f>
        <v>8.9600000000000009</v>
      </c>
      <c r="BO14" s="23">
        <f>'QTR Raw'!AI12</f>
        <v>6.84</v>
      </c>
      <c r="BP14" s="23">
        <f>'QTR Raw'!AJ12</f>
        <v>5.97</v>
      </c>
      <c r="BQ14" s="23">
        <f>'QTR Raw'!AK12</f>
        <v>4.84</v>
      </c>
      <c r="BR14" s="23">
        <f>'QTR Raw'!AL12</f>
        <v>6.32</v>
      </c>
      <c r="BS14" s="23">
        <f>'QTR Raw'!AM12</f>
        <v>6.08</v>
      </c>
      <c r="BT14" s="23">
        <f>'QTR Raw'!AN12</f>
        <v>7.26</v>
      </c>
      <c r="BU14" s="23">
        <f>'QTR Raw'!AO12</f>
        <v>5.85</v>
      </c>
      <c r="BV14" s="23">
        <f>'QTR Raw'!AP12</f>
        <v>6.35</v>
      </c>
      <c r="BW14" s="23">
        <f>'QTR Raw'!AQ12</f>
        <v>6.52</v>
      </c>
      <c r="BX14" s="23">
        <f>'QTR Raw'!AR12</f>
        <v>5.72</v>
      </c>
      <c r="BY14" s="23">
        <f>'QTR Raw'!AS12</f>
        <v>6.19</v>
      </c>
      <c r="BZ14" s="23">
        <f>'QTR Raw'!AT12</f>
        <v>5.87</v>
      </c>
      <c r="CA14" s="23">
        <f>'QTR Raw'!AU12</f>
        <v>6.44</v>
      </c>
      <c r="CB14" s="23">
        <f>'QTR Raw'!AV12</f>
        <v>6.52</v>
      </c>
      <c r="CC14" s="23">
        <f>'QTR Raw'!AW12</f>
        <v>6.55</v>
      </c>
      <c r="CD14" s="23">
        <f>'QTR Raw'!AX12</f>
        <v>7.09</v>
      </c>
      <c r="CE14" s="23">
        <f>'QTR Raw'!AY12</f>
        <v>12.82</v>
      </c>
      <c r="CF14" s="23">
        <f>'QTR Raw'!AZ12</f>
        <v>7.23</v>
      </c>
      <c r="CG14" s="23">
        <f>'QTR Raw'!BA12</f>
        <v>6.62</v>
      </c>
      <c r="CH14" s="23">
        <f>'QTR Raw'!BB12</f>
        <v>7.25</v>
      </c>
      <c r="CI14" s="23">
        <f>'QTR Raw'!BC12</f>
        <v>7.14</v>
      </c>
      <c r="CJ14" s="23">
        <f>'QTR Raw'!BD12</f>
        <v>7.32</v>
      </c>
      <c r="CK14" s="23">
        <f>'QTR Raw'!BE12</f>
        <v>6.83</v>
      </c>
      <c r="CL14" s="23">
        <f>'QTR Raw'!BF12</f>
        <v>6.89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28.18</v>
      </c>
    </row>
    <row r="15" spans="1:110" s="23" customFormat="1" outlineLevel="1" x14ac:dyDescent="0.2">
      <c r="A15" s="23" t="s">
        <v>4</v>
      </c>
      <c r="B15" s="23">
        <f>'Annual Raw'!C12</f>
        <v>80.073999999999998</v>
      </c>
      <c r="C15" s="23">
        <f>'Annual Raw'!D12</f>
        <v>96.043899999999994</v>
      </c>
      <c r="D15" s="23">
        <f>'Annual Raw'!E12</f>
        <v>108.3409</v>
      </c>
      <c r="E15" s="23">
        <f>'Annual Raw'!F12</f>
        <v>125.43470000000001</v>
      </c>
      <c r="F15" s="23">
        <f>'Annual Raw'!G12</f>
        <v>149.8631</v>
      </c>
      <c r="G15" s="23">
        <f>'Annual Raw'!H12</f>
        <v>160.47470000000001</v>
      </c>
      <c r="H15" s="23">
        <f>'Annual Raw'!I12</f>
        <v>176.6593</v>
      </c>
      <c r="I15" s="23">
        <f>'Annual Raw'!J12</f>
        <v>180.14830000000001</v>
      </c>
      <c r="J15" s="23">
        <f>'Annual Raw'!K12</f>
        <v>171.49610000000001</v>
      </c>
      <c r="K15" s="23">
        <f>'Annual Raw'!L12</f>
        <v>121.4325</v>
      </c>
      <c r="L15" s="23">
        <f>'Annual Raw'!M12</f>
        <v>153.6679</v>
      </c>
      <c r="M15" s="23">
        <f>'Annual Raw'!N12</f>
        <v>184.9248</v>
      </c>
      <c r="N15" s="23">
        <f>'Annual Raw'!O12</f>
        <v>280.1952</v>
      </c>
      <c r="O15" s="23">
        <f>'Annual Raw'!P12</f>
        <v>397.33030000000002</v>
      </c>
      <c r="P15" s="23">
        <f>'Annual Raw'!Q12</f>
        <v>426.78640000000001</v>
      </c>
      <c r="Q15" s="23">
        <f>'Annual Raw'!R12</f>
        <v>423.88279999999997</v>
      </c>
      <c r="R15" s="23">
        <f>'Annual Raw'!S12</f>
        <v>411.43</v>
      </c>
      <c r="S15" s="23">
        <f>'Annual Raw'!T12</f>
        <v>390.51</v>
      </c>
      <c r="T15" s="23">
        <f>'Annual Raw'!U12</f>
        <v>446.4</v>
      </c>
      <c r="U15" s="23">
        <f>'Annual Raw'!V12</f>
        <v>384.29</v>
      </c>
      <c r="V15" s="23">
        <f>'Annual Raw'!W12</f>
        <v>298.45</v>
      </c>
      <c r="W15" s="23">
        <f>'Annual Raw'!X12</f>
        <v>381.89</v>
      </c>
      <c r="X15" s="23">
        <f>'Annual Raw'!Y12</f>
        <v>621.42999999999995</v>
      </c>
      <c r="Y15" s="23">
        <f>'Annual Raw'!Z12</f>
        <v>712.26</v>
      </c>
      <c r="Z15" s="23">
        <f>'Annual Raw'!AA12</f>
        <v>838.11</v>
      </c>
      <c r="AA15" s="23">
        <f>'Annual Raw'!AB12</f>
        <v>794.66</v>
      </c>
      <c r="AB15" s="24">
        <f>+SUM(CM15:CP15)</f>
        <v>1144.1911820724993</v>
      </c>
      <c r="AC15" s="24">
        <f>+SUM(CQ15:CT15)</f>
        <v>1151.363850877713</v>
      </c>
      <c r="AD15" s="24">
        <f>+SUM(CU15:CX15)</f>
        <v>1158.0630106270601</v>
      </c>
      <c r="AE15" s="24">
        <f>+SUM(CY15:DB15)</f>
        <v>1164.4783678798794</v>
      </c>
      <c r="AI15" s="23">
        <f>'QTR Raw'!C11</f>
        <v>95.75</v>
      </c>
      <c r="AJ15" s="23">
        <f>'QTR Raw'!D11</f>
        <v>97.45</v>
      </c>
      <c r="AK15" s="23">
        <f>'QTR Raw'!E11</f>
        <v>102.04</v>
      </c>
      <c r="AL15" s="23">
        <f>'QTR Raw'!F11</f>
        <v>105.85</v>
      </c>
      <c r="AM15" s="23">
        <f>'QTR Raw'!G11</f>
        <v>116.6</v>
      </c>
      <c r="AN15" s="23">
        <f>'QTR Raw'!H11</f>
        <v>140.53</v>
      </c>
      <c r="AO15" s="23">
        <f>'QTR Raw'!I11</f>
        <v>137.46</v>
      </c>
      <c r="AP15" s="23">
        <f>'QTR Raw'!J11</f>
        <v>149.77000000000001</v>
      </c>
      <c r="AQ15" s="23">
        <f>'QTR Raw'!K11</f>
        <v>141.19999999999999</v>
      </c>
      <c r="AR15" s="23">
        <f>'QTR Raw'!L11</f>
        <v>139.49</v>
      </c>
      <c r="AS15" s="23">
        <f>'QTR Raw'!M11</f>
        <v>153.54</v>
      </c>
      <c r="AT15" s="23">
        <f>'QTR Raw'!N11</f>
        <v>145.21</v>
      </c>
      <c r="AU15" s="23">
        <f>'QTR Raw'!O11</f>
        <v>151.02000000000001</v>
      </c>
      <c r="AV15" s="23">
        <f>'QTR Raw'!P11</f>
        <v>148.69999999999999</v>
      </c>
      <c r="AW15" s="23">
        <f>'QTR Raw'!Q11</f>
        <v>143.54</v>
      </c>
      <c r="AX15" s="23">
        <f>'QTR Raw'!R11</f>
        <v>129.34</v>
      </c>
      <c r="AY15" s="23">
        <f>'QTR Raw'!S11</f>
        <v>137.91999999999999</v>
      </c>
      <c r="AZ15" s="23">
        <f>'QTR Raw'!T11</f>
        <v>140.79</v>
      </c>
      <c r="BA15" s="23">
        <f>'QTR Raw'!U11</f>
        <v>144.55000000000001</v>
      </c>
      <c r="BB15" s="23">
        <f>'QTR Raw'!V11</f>
        <v>136.53</v>
      </c>
      <c r="BC15" s="23">
        <f>'QTR Raw'!W11</f>
        <v>136.02000000000001</v>
      </c>
      <c r="BD15" s="23">
        <f>'QTR Raw'!X11</f>
        <v>124.6</v>
      </c>
      <c r="BE15" s="23">
        <f>'QTR Raw'!Y11</f>
        <v>145.4</v>
      </c>
      <c r="BF15" s="23">
        <f>'QTR Raw'!Z11</f>
        <v>155.38</v>
      </c>
      <c r="BG15" s="23">
        <f>'QTR Raw'!AA11</f>
        <v>152.03</v>
      </c>
      <c r="BH15" s="23">
        <f>'QTR Raw'!AB11</f>
        <v>164.6</v>
      </c>
      <c r="BI15" s="23">
        <f>'QTR Raw'!AC11</f>
        <v>174.01</v>
      </c>
      <c r="BJ15" s="23">
        <f>'QTR Raw'!AD11</f>
        <v>169.19</v>
      </c>
      <c r="BK15" s="23">
        <f>'QTR Raw'!AE11</f>
        <v>150.97999999999999</v>
      </c>
      <c r="BL15" s="23">
        <f>'QTR Raw'!AF11</f>
        <v>153.78</v>
      </c>
      <c r="BM15" s="23">
        <f>'QTR Raw'!AG11</f>
        <v>151.34</v>
      </c>
      <c r="BN15" s="23">
        <f>'QTR Raw'!AH11</f>
        <v>144.79</v>
      </c>
      <c r="BO15" s="23">
        <f>'QTR Raw'!AI11</f>
        <v>116.31</v>
      </c>
      <c r="BP15" s="23">
        <f>'QTR Raw'!AJ11</f>
        <v>117.7</v>
      </c>
      <c r="BQ15" s="23">
        <f>'QTR Raw'!AK11</f>
        <v>88.49</v>
      </c>
      <c r="BR15" s="23">
        <f>'QTR Raw'!AL11</f>
        <v>136.97999999999999</v>
      </c>
      <c r="BS15" s="23">
        <f>'QTR Raw'!AM11</f>
        <v>150.84</v>
      </c>
      <c r="BT15" s="23">
        <f>'QTR Raw'!AN11</f>
        <v>152.5</v>
      </c>
      <c r="BU15" s="23">
        <f>'QTR Raw'!AO11</f>
        <v>115.59</v>
      </c>
      <c r="BV15" s="23">
        <f>'QTR Raw'!AP11</f>
        <v>194.06</v>
      </c>
      <c r="BW15" s="23">
        <f>'QTR Raw'!AQ11</f>
        <v>220.77</v>
      </c>
      <c r="BX15" s="23">
        <f>'QTR Raw'!AR11</f>
        <v>236.89</v>
      </c>
      <c r="BY15" s="23">
        <f>'QTR Raw'!AS11</f>
        <v>255.32</v>
      </c>
      <c r="BZ15" s="23">
        <f>'QTR Raw'!AT11</f>
        <v>242.24</v>
      </c>
      <c r="CA15" s="23">
        <f>'QTR Raw'!AU11</f>
        <v>248.37</v>
      </c>
      <c r="CB15" s="23">
        <f>'QTR Raw'!AV11</f>
        <v>241.2</v>
      </c>
      <c r="CC15" s="23">
        <f>'QTR Raw'!AW11</f>
        <v>258.29000000000002</v>
      </c>
      <c r="CD15" s="23">
        <f>'QTR Raw'!AX11</f>
        <v>284.62</v>
      </c>
      <c r="CE15" s="23">
        <f>'QTR Raw'!AY11</f>
        <v>269.82</v>
      </c>
      <c r="CF15" s="23">
        <f>'QTR Raw'!AZ11</f>
        <v>300.08</v>
      </c>
      <c r="CG15" s="23">
        <f>'QTR Raw'!BA11</f>
        <v>278.60000000000002</v>
      </c>
      <c r="CH15" s="23">
        <f>'QTR Raw'!BB11</f>
        <v>295.48</v>
      </c>
      <c r="CI15" s="23">
        <f>'QTR Raw'!BC11</f>
        <v>286.10000000000002</v>
      </c>
      <c r="CJ15" s="23">
        <f>'QTR Raw'!BD11</f>
        <v>268.24</v>
      </c>
      <c r="CK15" s="23">
        <f>'QTR Raw'!BE11</f>
        <v>270.57</v>
      </c>
      <c r="CL15" s="23">
        <f>'QTR Raw'!BF11</f>
        <v>281.14</v>
      </c>
      <c r="CM15" s="24">
        <f t="shared" ref="CM15:DB15" si="91">+CM10-CM16</f>
        <v>244.05169704836121</v>
      </c>
      <c r="CN15" s="24">
        <f t="shared" si="91"/>
        <v>223.30932385934369</v>
      </c>
      <c r="CO15" s="24">
        <f t="shared" si="91"/>
        <v>261.58233255705755</v>
      </c>
      <c r="CP15" s="24">
        <f t="shared" si="91"/>
        <v>415.24782860773689</v>
      </c>
      <c r="CQ15" s="24">
        <f t="shared" si="91"/>
        <v>246.64578823909952</v>
      </c>
      <c r="CR15" s="24">
        <f t="shared" si="91"/>
        <v>227.2048905384483</v>
      </c>
      <c r="CS15" s="24">
        <f t="shared" si="91"/>
        <v>263.44310079186045</v>
      </c>
      <c r="CT15" s="24">
        <f t="shared" si="91"/>
        <v>414.0700713083047</v>
      </c>
      <c r="CU15" s="24">
        <f t="shared" si="91"/>
        <v>248.61311133892741</v>
      </c>
      <c r="CV15" s="24">
        <f t="shared" si="91"/>
        <v>228.87265788867583</v>
      </c>
      <c r="CW15" s="24">
        <f t="shared" si="91"/>
        <v>264.72496705328399</v>
      </c>
      <c r="CX15" s="24">
        <f t="shared" si="91"/>
        <v>415.85227434617281</v>
      </c>
      <c r="CY15" s="24">
        <f t="shared" si="91"/>
        <v>250.13363261773745</v>
      </c>
      <c r="CZ15" s="24">
        <f t="shared" si="91"/>
        <v>230.16682572162554</v>
      </c>
      <c r="DA15" s="24">
        <f t="shared" si="91"/>
        <v>266.11059430208843</v>
      </c>
      <c r="DB15" s="24">
        <f t="shared" si="91"/>
        <v>418.06731523842808</v>
      </c>
      <c r="DE15" s="123"/>
      <c r="DF15" s="23">
        <v>1106.0500000000002</v>
      </c>
    </row>
    <row r="16" spans="1:110" s="31" customFormat="1" x14ac:dyDescent="0.2">
      <c r="A16" s="31" t="s">
        <v>5</v>
      </c>
      <c r="B16" s="31">
        <f t="shared" ref="B16:T16" si="92">B10-B13-B15-B14</f>
        <v>172.45979999999997</v>
      </c>
      <c r="C16" s="31">
        <f t="shared" si="92"/>
        <v>208.12619999999998</v>
      </c>
      <c r="D16" s="31">
        <f t="shared" si="92"/>
        <v>243.91599999999997</v>
      </c>
      <c r="E16" s="31">
        <f t="shared" si="92"/>
        <v>249.39849999999996</v>
      </c>
      <c r="F16" s="31">
        <f t="shared" si="92"/>
        <v>235.35370000000003</v>
      </c>
      <c r="G16" s="31">
        <f t="shared" si="92"/>
        <v>258.8288</v>
      </c>
      <c r="H16" s="31">
        <f t="shared" si="92"/>
        <v>283.14480000000003</v>
      </c>
      <c r="I16" s="31">
        <f t="shared" si="92"/>
        <v>316.34989999999999</v>
      </c>
      <c r="J16" s="31">
        <f t="shared" si="92"/>
        <v>354.52699999999999</v>
      </c>
      <c r="K16" s="31">
        <f t="shared" si="92"/>
        <v>387.71960000000001</v>
      </c>
      <c r="L16" s="31">
        <f t="shared" si="92"/>
        <v>421.63519999999994</v>
      </c>
      <c r="M16" s="31">
        <f t="shared" si="92"/>
        <v>437.70389999999998</v>
      </c>
      <c r="N16" s="31">
        <f t="shared" si="92"/>
        <v>549.41650000000004</v>
      </c>
      <c r="O16" s="31">
        <f t="shared" si="92"/>
        <v>612.20399999999995</v>
      </c>
      <c r="P16" s="31">
        <f t="shared" si="92"/>
        <v>589.99869999999987</v>
      </c>
      <c r="Q16" s="31">
        <f t="shared" si="92"/>
        <v>598.03549999999996</v>
      </c>
      <c r="R16" s="31">
        <f t="shared" si="92"/>
        <v>698.78</v>
      </c>
      <c r="S16" s="31">
        <f t="shared" si="92"/>
        <v>712.53</v>
      </c>
      <c r="T16" s="31">
        <f t="shared" si="92"/>
        <v>878.59</v>
      </c>
      <c r="U16" s="31">
        <f t="shared" ref="U16:Z16" si="93">U10-U13-U15-U14</f>
        <v>853.01</v>
      </c>
      <c r="V16" s="31">
        <f t="shared" si="93"/>
        <v>581.01</v>
      </c>
      <c r="W16" s="31">
        <f t="shared" si="93"/>
        <v>834.53000000000009</v>
      </c>
      <c r="X16" s="31">
        <f t="shared" si="93"/>
        <v>1447.6200000000003</v>
      </c>
      <c r="Y16" s="31">
        <f t="shared" si="93"/>
        <v>1184.8499999999999</v>
      </c>
      <c r="Z16" s="31">
        <f t="shared" si="93"/>
        <v>973.07999999999981</v>
      </c>
      <c r="AA16" s="31">
        <f t="shared" ref="AA16" si="94">AA10-AA13-AA15-AA14</f>
        <v>909.16</v>
      </c>
      <c r="AB16" s="32">
        <f t="shared" ref="AA16:AD16" si="95">AB10-AB13-AB15-AB14</f>
        <v>564.42551480212683</v>
      </c>
      <c r="AC16" s="32">
        <f t="shared" si="95"/>
        <v>563.7836524217746</v>
      </c>
      <c r="AD16" s="32">
        <f t="shared" si="95"/>
        <v>565.83328803105451</v>
      </c>
      <c r="AE16" s="32">
        <f t="shared" ref="AE16" si="96">AE10-AE13-AE15-AE14</f>
        <v>568.69593231387466</v>
      </c>
      <c r="AI16" s="31">
        <f t="shared" ref="AI16" si="97">AI10-AI13-AI15-AI14</f>
        <v>101.69</v>
      </c>
      <c r="AJ16" s="31">
        <f t="shared" ref="AJ16" si="98">AJ10-AJ13-AJ15-AJ14</f>
        <v>102.91000000000001</v>
      </c>
      <c r="AK16" s="31">
        <f t="shared" ref="AK16:AM16" si="99">AK10-AK13-AK15-AK14</f>
        <v>94.389999999999972</v>
      </c>
      <c r="AL16" s="31">
        <f t="shared" si="99"/>
        <v>98.580000000000013</v>
      </c>
      <c r="AM16" s="31">
        <f t="shared" si="99"/>
        <v>107.43</v>
      </c>
      <c r="AN16" s="31">
        <f t="shared" ref="AN16:AO16" si="100">AN10-AN13-AN15-AN14</f>
        <v>109.29999999999997</v>
      </c>
      <c r="AO16" s="31">
        <f t="shared" si="100"/>
        <v>105.23000000000002</v>
      </c>
      <c r="AP16" s="31">
        <f t="shared" ref="AP16:CD16" si="101">AP10-AP13-AP15-AP14</f>
        <v>116.73000000000002</v>
      </c>
      <c r="AQ16" s="31">
        <f t="shared" si="101"/>
        <v>102.50000000000003</v>
      </c>
      <c r="AR16" s="31">
        <f t="shared" si="101"/>
        <v>109.09999999999998</v>
      </c>
      <c r="AS16" s="31">
        <f t="shared" si="101"/>
        <v>101.99000000000001</v>
      </c>
      <c r="AT16" s="31">
        <f t="shared" si="101"/>
        <v>99.729999999999947</v>
      </c>
      <c r="AU16" s="31">
        <f t="shared" si="101"/>
        <v>109.52999999999999</v>
      </c>
      <c r="AV16" s="31">
        <f t="shared" si="101"/>
        <v>105.74000000000002</v>
      </c>
      <c r="AW16" s="31">
        <f t="shared" si="101"/>
        <v>97.649999999999977</v>
      </c>
      <c r="AX16" s="31">
        <f t="shared" si="101"/>
        <v>121.63999999999996</v>
      </c>
      <c r="AY16" s="31">
        <f t="shared" si="101"/>
        <v>113.45</v>
      </c>
      <c r="AZ16" s="31">
        <f t="shared" si="101"/>
        <v>123.48000000000005</v>
      </c>
      <c r="BA16" s="31">
        <f t="shared" si="101"/>
        <v>132.59000000000003</v>
      </c>
      <c r="BB16" s="31">
        <f t="shared" si="101"/>
        <v>140.24000000000007</v>
      </c>
      <c r="BC16" s="31">
        <f t="shared" si="101"/>
        <v>117.71999999999997</v>
      </c>
      <c r="BD16" s="31">
        <f t="shared" si="101"/>
        <v>120.13000000000001</v>
      </c>
      <c r="BE16" s="31">
        <f t="shared" si="101"/>
        <v>126.12000000000002</v>
      </c>
      <c r="BF16" s="31">
        <f t="shared" si="101"/>
        <v>152.07999999999996</v>
      </c>
      <c r="BG16" s="31">
        <f t="shared" si="101"/>
        <v>134.82999999999998</v>
      </c>
      <c r="BH16" s="31">
        <f t="shared" si="101"/>
        <v>161.75</v>
      </c>
      <c r="BI16" s="31">
        <f t="shared" si="101"/>
        <v>167.32000000000002</v>
      </c>
      <c r="BJ16" s="31">
        <f t="shared" si="101"/>
        <v>167.84</v>
      </c>
      <c r="BK16" s="31">
        <f t="shared" si="101"/>
        <v>144.05000000000001</v>
      </c>
      <c r="BL16" s="31">
        <f t="shared" si="101"/>
        <v>158.28</v>
      </c>
      <c r="BM16" s="31">
        <f t="shared" si="101"/>
        <v>155.63999999999996</v>
      </c>
      <c r="BN16" s="31">
        <f t="shared" si="101"/>
        <v>147.95999999999998</v>
      </c>
      <c r="BO16" s="31">
        <f t="shared" si="101"/>
        <v>99.329999999999984</v>
      </c>
      <c r="BP16" s="31">
        <f t="shared" si="101"/>
        <v>101.89999999999999</v>
      </c>
      <c r="BQ16" s="31">
        <f t="shared" si="101"/>
        <v>75.36</v>
      </c>
      <c r="BR16" s="31">
        <f t="shared" si="101"/>
        <v>119.41999999999999</v>
      </c>
      <c r="BS16" s="31">
        <f t="shared" si="101"/>
        <v>122.28999999999998</v>
      </c>
      <c r="BT16" s="31">
        <f t="shared" si="101"/>
        <v>145.56</v>
      </c>
      <c r="BU16" s="31">
        <f t="shared" si="101"/>
        <v>120.46000000000004</v>
      </c>
      <c r="BV16" s="31">
        <f t="shared" si="101"/>
        <v>189.58</v>
      </c>
      <c r="BW16" s="31">
        <f t="shared" si="101"/>
        <v>222.24</v>
      </c>
      <c r="BX16" s="31">
        <f t="shared" si="101"/>
        <v>279.62</v>
      </c>
      <c r="BY16" s="31">
        <f t="shared" si="101"/>
        <v>292.76</v>
      </c>
      <c r="BZ16" s="31">
        <f t="shared" si="101"/>
        <v>294.90999999999997</v>
      </c>
      <c r="CA16" s="31">
        <f t="shared" si="101"/>
        <v>229.36</v>
      </c>
      <c r="CB16" s="31">
        <f t="shared" si="101"/>
        <v>211.29</v>
      </c>
      <c r="CC16" s="31">
        <f t="shared" si="101"/>
        <v>207.07999999999998</v>
      </c>
      <c r="CD16" s="31">
        <f t="shared" si="101"/>
        <v>190.29999999999993</v>
      </c>
      <c r="CE16" s="31">
        <f t="shared" ref="CE16:CF16" si="102">CE10-CE13-CE15-CE14</f>
        <v>183.12</v>
      </c>
      <c r="CF16" s="31">
        <f t="shared" si="102"/>
        <v>160.61000000000004</v>
      </c>
      <c r="CG16" s="31">
        <f t="shared" ref="CG16:CH16" si="103">CG10-CG13-CG15-CG14</f>
        <v>135.18999999999994</v>
      </c>
      <c r="CH16" s="31">
        <f t="shared" si="103"/>
        <v>154.37</v>
      </c>
      <c r="CI16" s="31">
        <f t="shared" ref="CI16:CJ16" si="104">CI10-CI13-CI15-CI14</f>
        <v>137.20999999999998</v>
      </c>
      <c r="CJ16" s="31">
        <f t="shared" si="104"/>
        <v>136.42000000000002</v>
      </c>
      <c r="CK16" s="31">
        <f t="shared" ref="CK16:CL16" si="105">CK10-CK13-CK15-CK14</f>
        <v>137.54999999999998</v>
      </c>
      <c r="CL16" s="31">
        <f t="shared" si="105"/>
        <v>158.40000000000009</v>
      </c>
      <c r="CM16" s="32">
        <f t="shared" ref="CM16:DB16" si="106">+CM17*CM10</f>
        <v>127.56894671845677</v>
      </c>
      <c r="CN16" s="32">
        <f t="shared" si="106"/>
        <v>115.08517706083029</v>
      </c>
      <c r="CO16" s="32">
        <f t="shared" si="106"/>
        <v>126.88881703964461</v>
      </c>
      <c r="CP16" s="32">
        <f t="shared" si="106"/>
        <v>194.88257398319487</v>
      </c>
      <c r="CQ16" s="32">
        <f t="shared" si="106"/>
        <v>122.78032274753733</v>
      </c>
      <c r="CR16" s="32">
        <f t="shared" si="106"/>
        <v>111.71639507024945</v>
      </c>
      <c r="CS16" s="32">
        <f t="shared" si="106"/>
        <v>128.00650466474917</v>
      </c>
      <c r="CT16" s="32">
        <f t="shared" si="106"/>
        <v>201.2804299392387</v>
      </c>
      <c r="CU16" s="32">
        <f t="shared" si="106"/>
        <v>121.9096637868109</v>
      </c>
      <c r="CV16" s="32">
        <f t="shared" si="106"/>
        <v>111.80662186472992</v>
      </c>
      <c r="CW16" s="32">
        <f t="shared" si="106"/>
        <v>129.11036927974445</v>
      </c>
      <c r="CX16" s="32">
        <f t="shared" si="106"/>
        <v>203.0066330997692</v>
      </c>
      <c r="CY16" s="32">
        <f t="shared" si="106"/>
        <v>122.23727962514161</v>
      </c>
      <c r="CZ16" s="32">
        <f t="shared" si="106"/>
        <v>112.38372245332934</v>
      </c>
      <c r="DA16" s="32">
        <f t="shared" si="106"/>
        <v>129.91808545649894</v>
      </c>
      <c r="DB16" s="32">
        <f t="shared" si="106"/>
        <v>204.1568447789046</v>
      </c>
      <c r="DE16" s="124"/>
      <c r="DF16" s="31">
        <v>569.57999999999981</v>
      </c>
    </row>
    <row r="17" spans="1:110" s="41" customFormat="1" x14ac:dyDescent="0.2">
      <c r="A17" s="41" t="s">
        <v>6</v>
      </c>
      <c r="B17" s="41">
        <f>B16/B10</f>
        <v>0.75061009446834626</v>
      </c>
      <c r="C17" s="41">
        <f t="shared" ref="C17:U17" si="107">C16/C10</f>
        <v>0.63536966929829031</v>
      </c>
      <c r="D17" s="41">
        <f t="shared" si="107"/>
        <v>0.69185684863567909</v>
      </c>
      <c r="E17" s="41">
        <f t="shared" si="107"/>
        <v>0.66656501533589829</v>
      </c>
      <c r="F17" s="41">
        <f t="shared" si="107"/>
        <v>0.61041979414898428</v>
      </c>
      <c r="G17" s="41">
        <f t="shared" si="107"/>
        <v>0.61748696455427554</v>
      </c>
      <c r="H17" s="41">
        <f t="shared" si="107"/>
        <v>0.61876346433483731</v>
      </c>
      <c r="I17" s="41">
        <f t="shared" si="107"/>
        <v>0.63903855119703368</v>
      </c>
      <c r="J17" s="41">
        <f t="shared" si="107"/>
        <v>0.67004112359512336</v>
      </c>
      <c r="K17" s="41">
        <f t="shared" si="107"/>
        <v>0.76134278604776839</v>
      </c>
      <c r="L17" s="41">
        <f t="shared" si="107"/>
        <v>0.73522381912353496</v>
      </c>
      <c r="M17" s="41">
        <f t="shared" si="107"/>
        <v>0.71588347607805991</v>
      </c>
      <c r="N17" s="41">
        <f t="shared" si="107"/>
        <v>0.65912257512200123</v>
      </c>
      <c r="O17" s="41">
        <f t="shared" si="107"/>
        <v>0.60563258365109374</v>
      </c>
      <c r="P17" s="41">
        <f t="shared" si="107"/>
        <v>0.58160125034686661</v>
      </c>
      <c r="Q17" s="41">
        <f t="shared" si="107"/>
        <v>0.58309304110990923</v>
      </c>
      <c r="R17" s="41">
        <f t="shared" si="107"/>
        <v>0.63068494634331251</v>
      </c>
      <c r="S17" s="41">
        <f t="shared" si="107"/>
        <v>0.64480602336588144</v>
      </c>
      <c r="T17" s="41">
        <f t="shared" si="107"/>
        <v>0.66283166479317401</v>
      </c>
      <c r="U17" s="41">
        <f t="shared" si="107"/>
        <v>0.72029554570403209</v>
      </c>
      <c r="V17" s="41">
        <f>V16/V10</f>
        <v>0.74292253791269203</v>
      </c>
      <c r="W17" s="41">
        <f>W16/W10</f>
        <v>0.61579840613931525</v>
      </c>
      <c r="X17" s="41">
        <f>X16/X10</f>
        <v>0.69503552909544852</v>
      </c>
      <c r="Y17" s="41">
        <f>Y16/Y10</f>
        <v>0.65758145885016894</v>
      </c>
      <c r="Z17" s="41">
        <f>Z16/Z10</f>
        <v>0.55465748583545182</v>
      </c>
      <c r="AA17" s="41">
        <f>AA16/AA10</f>
        <v>0.53153263760998559</v>
      </c>
      <c r="AB17" s="42">
        <f t="shared" ref="AA17:AD17" si="108">AB16/AB10</f>
        <v>0.33034062925556379</v>
      </c>
      <c r="AC17" s="42">
        <f t="shared" si="108"/>
        <v>0.32870855208499838</v>
      </c>
      <c r="AD17" s="42">
        <f t="shared" si="108"/>
        <v>0.32822930733797656</v>
      </c>
      <c r="AE17" s="42">
        <f t="shared" ref="AE17" si="109">AE16/AE10</f>
        <v>0.3281239124364464</v>
      </c>
      <c r="AI17" s="41">
        <f t="shared" ref="AI17" si="110">AI16/AI10</f>
        <v>0.51033825153066348</v>
      </c>
      <c r="AJ17" s="41">
        <f t="shared" ref="AJ17" si="111">AJ16/AJ10</f>
        <v>0.50814734347224966</v>
      </c>
      <c r="AK17" s="41">
        <f t="shared" ref="AK17:AM17" si="112">AK16/AK10</f>
        <v>0.46904193997217242</v>
      </c>
      <c r="AL17" s="41">
        <f t="shared" si="112"/>
        <v>0.42717857607141313</v>
      </c>
      <c r="AM17" s="41">
        <f t="shared" si="112"/>
        <v>0.49420369859232682</v>
      </c>
      <c r="AN17" s="41">
        <f t="shared" ref="AN17:AO17" si="113">AN16/AN10</f>
        <v>0.43106168165325748</v>
      </c>
      <c r="AO17" s="41">
        <f t="shared" si="113"/>
        <v>0.41509210682024383</v>
      </c>
      <c r="AP17" s="41">
        <f t="shared" ref="AP17:CD17" si="114">AP16/AP10</f>
        <v>0.40590444398080533</v>
      </c>
      <c r="AQ17" s="41">
        <f t="shared" si="114"/>
        <v>0.47968925496068898</v>
      </c>
      <c r="AR17" s="41">
        <f t="shared" si="114"/>
        <v>0.47420350328160987</v>
      </c>
      <c r="AS17" s="41">
        <f t="shared" si="114"/>
        <v>0.39395109892232227</v>
      </c>
      <c r="AT17" s="41">
        <f t="shared" si="114"/>
        <v>0.3201810710157954</v>
      </c>
      <c r="AU17" s="41">
        <f t="shared" si="114"/>
        <v>0.46117894736842102</v>
      </c>
      <c r="AV17" s="41">
        <f t="shared" si="114"/>
        <v>0.45770928923902698</v>
      </c>
      <c r="AW17" s="41">
        <f t="shared" si="114"/>
        <v>0.43353755993606813</v>
      </c>
      <c r="AX17" s="41">
        <f t="shared" si="114"/>
        <v>0.36015870196008759</v>
      </c>
      <c r="AY17" s="41">
        <f t="shared" si="114"/>
        <v>0.46913120787329943</v>
      </c>
      <c r="AZ17" s="41">
        <f t="shared" si="114"/>
        <v>0.47472223290146492</v>
      </c>
      <c r="BA17" s="41">
        <f t="shared" si="114"/>
        <v>0.45566705615506231</v>
      </c>
      <c r="BB17" s="41">
        <f t="shared" si="114"/>
        <v>0.44564492039785197</v>
      </c>
      <c r="BC17" s="41">
        <f t="shared" si="114"/>
        <v>0.49329534026148164</v>
      </c>
      <c r="BD17" s="41">
        <f t="shared" si="114"/>
        <v>0.52855508623724046</v>
      </c>
      <c r="BE17" s="41">
        <f t="shared" si="114"/>
        <v>0.4277864459670308</v>
      </c>
      <c r="BF17" s="41">
        <f t="shared" si="114"/>
        <v>0.43713710836447245</v>
      </c>
      <c r="BG17" s="41">
        <f t="shared" si="114"/>
        <v>0.49046926154965442</v>
      </c>
      <c r="BH17" s="41">
        <f t="shared" si="114"/>
        <v>0.48822819197102324</v>
      </c>
      <c r="BI17" s="41">
        <f t="shared" si="114"/>
        <v>0.47192215484416872</v>
      </c>
      <c r="BJ17" s="41">
        <f t="shared" si="114"/>
        <v>0.46013817304529009</v>
      </c>
      <c r="BK17" s="41">
        <f t="shared" si="114"/>
        <v>0.51721661699759436</v>
      </c>
      <c r="BL17" s="41">
        <f t="shared" si="114"/>
        <v>0.5276879479913319</v>
      </c>
      <c r="BM17" s="41">
        <f t="shared" si="114"/>
        <v>0.54522525047292081</v>
      </c>
      <c r="BN17" s="41">
        <f t="shared" si="114"/>
        <v>0.46189866699965654</v>
      </c>
      <c r="BO17" s="41">
        <f t="shared" si="114"/>
        <v>0.7134238310708898</v>
      </c>
      <c r="BP17" s="41">
        <f t="shared" si="114"/>
        <v>0.67743651110224701</v>
      </c>
      <c r="BQ17" s="41">
        <f t="shared" si="114"/>
        <v>0.45805981035740334</v>
      </c>
      <c r="BR17" s="41">
        <f t="shared" si="114"/>
        <v>0.36420750861569429</v>
      </c>
      <c r="BS17" s="41">
        <f t="shared" si="114"/>
        <v>0.56080895166467937</v>
      </c>
      <c r="BT17" s="41">
        <f t="shared" si="114"/>
        <v>0.43843373493975907</v>
      </c>
      <c r="BU17" s="41">
        <f t="shared" si="114"/>
        <v>0.36048599473306209</v>
      </c>
      <c r="BV17" s="41">
        <f t="shared" si="114"/>
        <v>0.40252240010191515</v>
      </c>
      <c r="BW17" s="41">
        <f t="shared" si="114"/>
        <v>0.51574574737184098</v>
      </c>
      <c r="BX17" s="41">
        <f t="shared" si="114"/>
        <v>0.53473829148419427</v>
      </c>
      <c r="BY17" s="41">
        <f t="shared" si="114"/>
        <v>0.526726759144312</v>
      </c>
      <c r="BZ17" s="41">
        <f t="shared" si="114"/>
        <v>0.51452448662700423</v>
      </c>
      <c r="CA17" s="41">
        <f t="shared" si="114"/>
        <v>0.53768431910354697</v>
      </c>
      <c r="CB17" s="41">
        <f t="shared" si="114"/>
        <v>0.58309416050336682</v>
      </c>
      <c r="CC17" s="41">
        <f t="shared" si="114"/>
        <v>0.43736667581895361</v>
      </c>
      <c r="CD17" s="41">
        <f t="shared" si="114"/>
        <v>0.35277978607048172</v>
      </c>
      <c r="CE17" s="41">
        <f t="shared" ref="CE17:CF17" si="115">CE16/CE10</f>
        <v>0.43369727399758423</v>
      </c>
      <c r="CF17" s="41">
        <f t="shared" si="115"/>
        <v>0.40306673024318024</v>
      </c>
      <c r="CG17" s="41">
        <f t="shared" ref="CG17:CH17" si="116">CG16/CG10</f>
        <v>0.31342591519254387</v>
      </c>
      <c r="CH17" s="41">
        <f t="shared" si="116"/>
        <v>0.3072957101622375</v>
      </c>
      <c r="CI17" s="41">
        <f t="shared" ref="CI17:CJ17" si="117">CI16/CI10</f>
        <v>0.35601971977166574</v>
      </c>
      <c r="CJ17" s="41">
        <f t="shared" si="117"/>
        <v>0.39391314391314397</v>
      </c>
      <c r="CK17" s="41">
        <f t="shared" ref="CK17:CL17" si="118">CK16/CK10</f>
        <v>0.35553660049627789</v>
      </c>
      <c r="CL17" s="41">
        <f t="shared" si="118"/>
        <v>0.26763990267639914</v>
      </c>
      <c r="CM17" s="42">
        <f t="shared" ref="CM17:DB17" si="119">AVERAGE(CI17:CL17)</f>
        <v>0.34327734171437169</v>
      </c>
      <c r="CN17" s="42">
        <f t="shared" si="119"/>
        <v>0.3400917472000482</v>
      </c>
      <c r="CO17" s="42">
        <f t="shared" si="119"/>
        <v>0.32663639802177424</v>
      </c>
      <c r="CP17" s="42">
        <f t="shared" si="119"/>
        <v>0.31941134740314836</v>
      </c>
      <c r="CQ17" s="42">
        <f t="shared" si="119"/>
        <v>0.33235420858483561</v>
      </c>
      <c r="CR17" s="42">
        <f t="shared" si="119"/>
        <v>0.32962342530245159</v>
      </c>
      <c r="CS17" s="42">
        <f t="shared" si="119"/>
        <v>0.32700634482805246</v>
      </c>
      <c r="CT17" s="42">
        <f t="shared" si="119"/>
        <v>0.32709883152962205</v>
      </c>
      <c r="CU17" s="42">
        <f t="shared" si="119"/>
        <v>0.32902070256124039</v>
      </c>
      <c r="CV17" s="42">
        <f t="shared" si="119"/>
        <v>0.32818732605534162</v>
      </c>
      <c r="CW17" s="42">
        <f t="shared" si="119"/>
        <v>0.3278283012435641</v>
      </c>
      <c r="CX17" s="42">
        <f t="shared" si="119"/>
        <v>0.32803379034744207</v>
      </c>
      <c r="CY17" s="42">
        <f t="shared" si="119"/>
        <v>0.32826753005189702</v>
      </c>
      <c r="CZ17" s="42">
        <f t="shared" si="119"/>
        <v>0.3280792369245612</v>
      </c>
      <c r="DA17" s="42">
        <f t="shared" si="119"/>
        <v>0.32805221464186607</v>
      </c>
      <c r="DB17" s="42">
        <f t="shared" si="119"/>
        <v>0.32810819299144156</v>
      </c>
      <c r="DE17" s="125"/>
      <c r="DF17" s="41">
        <v>0.33300203456420557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0.20680993483698829</v>
      </c>
      <c r="D18" s="39">
        <f t="shared" si="120"/>
        <v>0.17196201151032398</v>
      </c>
      <c r="E18" s="39">
        <f t="shared" si="120"/>
        <v>2.2477000278784409E-2</v>
      </c>
      <c r="F18" s="39">
        <f t="shared" si="120"/>
        <v>-5.6314693151722772E-2</v>
      </c>
      <c r="G18" s="39">
        <f t="shared" si="120"/>
        <v>9.9743917346529765E-2</v>
      </c>
      <c r="H18" s="39">
        <f t="shared" si="120"/>
        <v>9.3946268730527693E-2</v>
      </c>
      <c r="I18" s="39">
        <f t="shared" si="120"/>
        <v>0.11727250509280052</v>
      </c>
      <c r="J18" s="39">
        <f t="shared" si="120"/>
        <v>0.12067998124861101</v>
      </c>
      <c r="K18" s="39">
        <f t="shared" si="120"/>
        <v>9.3625027148849016E-2</v>
      </c>
      <c r="L18" s="39">
        <f t="shared" si="120"/>
        <v>8.747455635464374E-2</v>
      </c>
      <c r="M18" s="39">
        <f t="shared" si="120"/>
        <v>3.8110432905032576E-2</v>
      </c>
      <c r="N18" s="39">
        <f t="shared" si="120"/>
        <v>0.25522413668235555</v>
      </c>
      <c r="O18" s="39">
        <f t="shared" si="120"/>
        <v>0.1142803319521708</v>
      </c>
      <c r="P18" s="39">
        <f t="shared" si="120"/>
        <v>-3.6271079574782372E-2</v>
      </c>
      <c r="Q18" s="39">
        <f t="shared" si="120"/>
        <v>1.3621724929224532E-2</v>
      </c>
      <c r="R18" s="39">
        <f t="shared" si="120"/>
        <v>0.16845906304893266</v>
      </c>
      <c r="S18" s="39">
        <f t="shared" si="120"/>
        <v>1.9677151607086607E-2</v>
      </c>
      <c r="T18" s="39">
        <f t="shared" si="120"/>
        <v>0.23305685374650897</v>
      </c>
      <c r="U18" s="39">
        <f t="shared" si="120"/>
        <v>-2.9114831719004308E-2</v>
      </c>
      <c r="V18" s="39">
        <f t="shared" si="120"/>
        <v>-0.31887082214745432</v>
      </c>
      <c r="W18" s="39">
        <f t="shared" si="120"/>
        <v>0.43634360854374288</v>
      </c>
      <c r="X18" s="39">
        <f t="shared" si="120"/>
        <v>0.73465303823709172</v>
      </c>
      <c r="Y18" s="39">
        <f t="shared" si="120"/>
        <v>-0.18151863057984852</v>
      </c>
      <c r="Z18" s="39">
        <f t="shared" si="120"/>
        <v>-0.1787314849981011</v>
      </c>
      <c r="AA18" s="39">
        <f t="shared" si="120"/>
        <v>-6.5688329839273085E-2</v>
      </c>
      <c r="AB18" s="40">
        <f t="shared" si="120"/>
        <v>-0.37917911610483646</v>
      </c>
      <c r="AC18" s="40">
        <f t="shared" si="120"/>
        <v>-1.137195898341381E-3</v>
      </c>
      <c r="AD18" s="40">
        <f t="shared" si="120"/>
        <v>3.6355002499195432E-3</v>
      </c>
      <c r="AE18" s="40">
        <f t="shared" si="120"/>
        <v>5.0591655587839401E-3</v>
      </c>
      <c r="AM18" s="39">
        <f>+IF(AI16&lt;0,1-AM16/AI16,AM16/AI16-1)</f>
        <v>5.6446061559642047E-2</v>
      </c>
      <c r="AN18" s="39">
        <f t="shared" ref="AN18" si="121">+IF(AJ16&lt;0,1-AN16/AJ16,AN16/AJ16-1)</f>
        <v>6.2093091050432037E-2</v>
      </c>
      <c r="AO18" s="39">
        <f t="shared" ref="AO18" si="122">+IF(AK16&lt;0,1-AO16/AK16,AO16/AK16-1)</f>
        <v>0.11484267401207804</v>
      </c>
      <c r="AP18" s="39">
        <f t="shared" ref="AP18" si="123">+IF(AL16&lt;0,1-AP16/AL16,AP16/AL16-1)</f>
        <v>0.18411442483262319</v>
      </c>
      <c r="AQ18" s="39">
        <f t="shared" ref="AQ18" si="124">+IF(AM16&lt;0,1-AQ16/AM16,AQ16/AM16-1)</f>
        <v>-4.5890347202829584E-2</v>
      </c>
      <c r="AR18" s="39">
        <f t="shared" ref="AR18" si="125">+IF(AN16&lt;0,1-AR16/AN16,AR16/AN16-1)</f>
        <v>-1.8298261665140592E-3</v>
      </c>
      <c r="AS18" s="39">
        <f t="shared" ref="AS18" si="126">+IF(AO16&lt;0,1-AS16/AO16,AS16/AO16-1)</f>
        <v>-3.0789698755107953E-2</v>
      </c>
      <c r="AT18" s="39">
        <f t="shared" ref="AT18" si="127">+IF(AP16&lt;0,1-AT16/AP16,AT16/AP16-1)</f>
        <v>-0.14563522659127959</v>
      </c>
      <c r="AU18" s="39">
        <f t="shared" ref="AU18" si="128">+IF(AQ16&lt;0,1-AU16/AQ16,AU16/AQ16-1)</f>
        <v>6.8585365853658153E-2</v>
      </c>
      <c r="AV18" s="39">
        <f t="shared" ref="AV18" si="129">+IF(AR16&lt;0,1-AV16/AR16,AV16/AR16-1)</f>
        <v>-3.079743354720399E-2</v>
      </c>
      <c r="AW18" s="39">
        <f t="shared" ref="AW18" si="130">+IF(AS16&lt;0,1-AW16/AS16,AW16/AS16-1)</f>
        <v>-4.2553191489361986E-2</v>
      </c>
      <c r="AX18" s="39">
        <f t="shared" ref="AX18" si="131">+IF(AT16&lt;0,1-AX16/AT16,AX16/AT16-1)</f>
        <v>0.21969317156322088</v>
      </c>
      <c r="AY18" s="39">
        <f t="shared" ref="AY18" si="132">+IF(AU16&lt;0,1-AY16/AU16,AY16/AU16-1)</f>
        <v>3.5789281475395063E-2</v>
      </c>
      <c r="AZ18" s="39">
        <f t="shared" ref="AZ18" si="133">+IF(AV16&lt;0,1-AZ16/AV16,AZ16/AV16-1)</f>
        <v>0.1677700018914321</v>
      </c>
      <c r="BA18" s="39">
        <f t="shared" ref="BA18" si="134">+IF(AW16&lt;0,1-BA16/AW16,BA16/AW16-1)</f>
        <v>0.35780849974398432</v>
      </c>
      <c r="BB18" s="39">
        <f t="shared" ref="BB18" si="135">+IF(AX16&lt;0,1-BB16/AX16,BB16/AX16-1)</f>
        <v>0.15291022689904721</v>
      </c>
      <c r="BC18" s="39">
        <f t="shared" ref="BC18" si="136">+IF(AY16&lt;0,1-BC16/AY16,BC16/AY16-1)</f>
        <v>3.7637725870427241E-2</v>
      </c>
      <c r="BD18" s="39">
        <f t="shared" ref="BD18" si="137">+IF(AZ16&lt;0,1-BD16/AZ16,BD16/AZ16-1)</f>
        <v>-2.7129899578879457E-2</v>
      </c>
      <c r="BE18" s="39">
        <f t="shared" ref="BE18" si="138">+IF(BA16&lt;0,1-BE16/BA16,BE16/BA16-1)</f>
        <v>-4.8797043517610716E-2</v>
      </c>
      <c r="BF18" s="39">
        <f t="shared" ref="BF18" si="139">+IF(BB16&lt;0,1-BF16/BB16,BF16/BB16-1)</f>
        <v>8.4426697090700831E-2</v>
      </c>
      <c r="BG18" s="39">
        <f t="shared" ref="BG18" si="140">+IF(BC16&lt;0,1-BG16/BC16,BG16/BC16-1)</f>
        <v>0.14534488617057439</v>
      </c>
      <c r="BH18" s="39">
        <f t="shared" ref="BH18" si="141">+IF(BD16&lt;0,1-BH16/BD16,BH16/BD16-1)</f>
        <v>0.3464580038291849</v>
      </c>
      <c r="BI18" s="39">
        <f t="shared" ref="BI18" si="142">+IF(BE16&lt;0,1-BI16/BE16,BI16/BE16-1)</f>
        <v>0.32667300983190617</v>
      </c>
      <c r="BJ18" s="39">
        <f t="shared" ref="BJ18" si="143">+IF(BF16&lt;0,1-BJ16/BF16,BJ16/BF16-1)</f>
        <v>0.10362966859547651</v>
      </c>
      <c r="BK18" s="39">
        <f t="shared" ref="BK18" si="144">+IF(BG16&lt;0,1-BK16/BG16,BK16/BG16-1)</f>
        <v>6.8382407476081264E-2</v>
      </c>
      <c r="BL18" s="39">
        <f t="shared" ref="BL18" si="145">+IF(BH16&lt;0,1-BL16/BH16,BL16/BH16-1)</f>
        <v>-2.1452859350850062E-2</v>
      </c>
      <c r="BM18" s="39">
        <f t="shared" ref="BM18" si="146">+IF(BI16&lt;0,1-BM16/BI16,BM16/BI16-1)</f>
        <v>-6.9806359072436375E-2</v>
      </c>
      <c r="BN18" s="39">
        <f t="shared" ref="BN18" si="147">+IF(BJ16&lt;0,1-BN16/BJ16,BN16/BJ16-1)</f>
        <v>-0.11844613918017177</v>
      </c>
      <c r="BO18" s="39">
        <f t="shared" ref="BO18" si="148">+IF(BK16&lt;0,1-BO16/BK16,BO16/BK16-1)</f>
        <v>-0.31044776119403006</v>
      </c>
      <c r="BP18" s="39">
        <f t="shared" ref="BP18" si="149">+IF(BL16&lt;0,1-BP16/BL16,BP16/BL16-1)</f>
        <v>-0.35620419509729595</v>
      </c>
      <c r="BQ18" s="39">
        <f t="shared" ref="BQ18" si="150">+IF(BM16&lt;0,1-BQ16/BM16,BQ16/BM16-1)</f>
        <v>-0.51580570547417104</v>
      </c>
      <c r="BR18" s="39">
        <f t="shared" ref="BR18" si="151">+IF(BN16&lt;0,1-BR16/BN16,BR16/BN16-1)</f>
        <v>-0.19288997026223298</v>
      </c>
      <c r="BS18" s="39">
        <f t="shared" ref="BS18" si="152">+IF(BO16&lt;0,1-BS16/BO16,BS16/BO16-1)</f>
        <v>0.23114869626497536</v>
      </c>
      <c r="BT18" s="39">
        <f t="shared" ref="BT18" si="153">+IF(BP16&lt;0,1-BT16/BP16,BT16/BP16-1)</f>
        <v>0.42845927379784121</v>
      </c>
      <c r="BU18" s="39">
        <f t="shared" ref="BU18" si="154">+IF(BQ16&lt;0,1-BU16/BQ16,BU16/BQ16-1)</f>
        <v>0.59846072186836574</v>
      </c>
      <c r="BV18" s="39">
        <f t="shared" ref="BV18" si="155">+IF(BR16&lt;0,1-BV16/BR16,BV16/BR16-1)</f>
        <v>0.5875062803550497</v>
      </c>
      <c r="BW18" s="39">
        <f t="shared" ref="BW18" si="156">+IF(BS16&lt;0,1-BW16/BS16,BW16/BS16-1)</f>
        <v>0.81731948646659625</v>
      </c>
      <c r="BX18" s="39">
        <f t="shared" ref="BX18" si="157">+IF(BT16&lt;0,1-BX16/BT16,BX16/BT16-1)</f>
        <v>0.9209947787853805</v>
      </c>
      <c r="BY18" s="39">
        <f t="shared" ref="BY18" si="158">+IF(BU16&lt;0,1-BY16/BU16,BY16/BU16-1)</f>
        <v>1.4303503237589235</v>
      </c>
      <c r="BZ18" s="39">
        <f t="shared" ref="BZ18" si="159">+IF(BV16&lt;0,1-BZ16/BV16,BZ16/BV16-1)</f>
        <v>0.5555965819179236</v>
      </c>
      <c r="CA18" s="39">
        <f t="shared" ref="CA18" si="160">+IF(BW16&lt;0,1-CA16/BW16,CA16/BW16-1)</f>
        <v>3.2037437005039582E-2</v>
      </c>
      <c r="CB18" s="39">
        <f t="shared" ref="CB18" si="161">+IF(BX16&lt;0,1-CB16/BX16,CB16/BX16-1)</f>
        <v>-0.2443673556970174</v>
      </c>
      <c r="CC18" s="39">
        <f t="shared" ref="CC18" si="162">+IF(BY16&lt;0,1-CC16/BY16,CC16/BY16-1)</f>
        <v>-0.29266293209454852</v>
      </c>
      <c r="CD18" s="39">
        <f t="shared" ref="CD18" si="163">+IF(BZ16&lt;0,1-CD16/BZ16,CD16/BZ16-1)</f>
        <v>-0.35471838866094763</v>
      </c>
      <c r="CE18" s="39">
        <f t="shared" ref="CE18" si="164">+IF(CA16&lt;0,1-CE16/CA16,CE16/CA16-1)</f>
        <v>-0.20160446459713988</v>
      </c>
      <c r="CF18" s="39">
        <f t="shared" ref="CF18" si="165">+IF(CB16&lt;0,1-CF16/CB16,CF16/CB16-1)</f>
        <v>-0.23985990818306568</v>
      </c>
      <c r="CG18" s="39">
        <f t="shared" ref="CG18" si="166">+IF(CC16&lt;0,1-CG16/CC16,CG16/CC16-1)</f>
        <v>-0.34716051767432898</v>
      </c>
      <c r="CH18" s="39">
        <f t="shared" ref="CH18:CL18" si="167">+IF(CD16&lt;0,1-CH16/CD16,CH16/CD16-1)</f>
        <v>-0.18880714661061448</v>
      </c>
      <c r="CI18" s="39">
        <f t="shared" si="167"/>
        <v>-0.25070991699432077</v>
      </c>
      <c r="CJ18" s="39">
        <f t="shared" si="167"/>
        <v>-0.15061328684390773</v>
      </c>
      <c r="CK18" s="39">
        <f t="shared" si="167"/>
        <v>1.7456912493527987E-2</v>
      </c>
      <c r="CL18" s="39">
        <f t="shared" si="167"/>
        <v>2.6106108699877506E-2</v>
      </c>
      <c r="CM18" s="40">
        <f t="shared" ref="CM18" si="168">+CM16/CI16-1</f>
        <v>-7.0264946297960873E-2</v>
      </c>
      <c r="CN18" s="40">
        <f t="shared" ref="CN18" si="169">+CN16/CJ16-1</f>
        <v>-0.15639072672020027</v>
      </c>
      <c r="CO18" s="40">
        <f t="shared" ref="CO18" si="170">+CO16/CK16-1</f>
        <v>-7.7507691460235395E-2</v>
      </c>
      <c r="CP18" s="40">
        <f t="shared" ref="CP18" si="171">+CP16/CL16-1</f>
        <v>0.2303192801969367</v>
      </c>
      <c r="CQ18" s="40">
        <f t="shared" ref="CQ18" si="172">+CQ16/CM16-1</f>
        <v>-3.7537536321342269E-2</v>
      </c>
      <c r="CR18" s="40">
        <f t="shared" ref="CR18" si="173">+CR16/CN16-1</f>
        <v>-2.9272075488924298E-2</v>
      </c>
      <c r="CS18" s="40">
        <f t="shared" ref="CS18" si="174">+CS16/CO16-1</f>
        <v>8.8084013326041877E-3</v>
      </c>
      <c r="CT18" s="40">
        <f t="shared" ref="CT18" si="175">+CT16/CP16-1</f>
        <v>3.2829287017706932E-2</v>
      </c>
      <c r="CU18" s="40">
        <f t="shared" ref="CU18" si="176">+CU16/CQ16-1</f>
        <v>-7.0911929635231186E-3</v>
      </c>
      <c r="CV18" s="40">
        <f t="shared" ref="CV18" si="177">+CV16/CR16-1</f>
        <v>8.0764147843948031E-4</v>
      </c>
      <c r="CW18" s="40">
        <f t="shared" ref="CW18" si="178">+CW16/CS16-1</f>
        <v>8.6235040780646699E-3</v>
      </c>
      <c r="CX18" s="40">
        <f t="shared" ref="CX18" si="179">+CX16/CT16-1</f>
        <v>8.5761102609509532E-3</v>
      </c>
      <c r="CY18" s="40">
        <f t="shared" ref="CY18" si="180">+CY16/CU16-1</f>
        <v>2.6873656128165724E-3</v>
      </c>
      <c r="CZ18" s="40">
        <f t="shared" ref="CZ18" si="181">+CZ16/CV16-1</f>
        <v>5.1615957890009945E-3</v>
      </c>
      <c r="DA18" s="40">
        <f t="shared" ref="DA18" si="182">+DA16/CW16-1</f>
        <v>6.2560132176867622E-3</v>
      </c>
      <c r="DB18" s="40">
        <f t="shared" ref="DB18" si="183">+DB16/CX16-1</f>
        <v>5.6658822501141071E-3</v>
      </c>
      <c r="DE18" s="122"/>
      <c r="DF18" s="39">
        <v>-0.4146627204340857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1.1997246533582695E-2</v>
      </c>
      <c r="AK19" s="39">
        <f t="shared" ref="AK19" si="184">+IF(AJ16&lt;0,1-AK16/AJ16,AK16/AJ16-1)</f>
        <v>-8.2790788067243604E-2</v>
      </c>
      <c r="AL19" s="39">
        <f t="shared" ref="AL19" si="185">+IF(AK16&lt;0,1-AL16/AK16,AL16/AK16-1)</f>
        <v>4.4390295582159567E-2</v>
      </c>
      <c r="AM19" s="39">
        <f t="shared" ref="AM19" si="186">+IF(AL16&lt;0,1-AM16/AL16,AM16/AL16-1)</f>
        <v>8.9774802191113778E-2</v>
      </c>
      <c r="AN19" s="39">
        <f t="shared" ref="AN19" si="187">+IF(AM16&lt;0,1-AN16/AM16,AN16/AM16-1)</f>
        <v>1.7406683421762548E-2</v>
      </c>
      <c r="AO19" s="39">
        <f t="shared" ref="AO19" si="188">+IF(AN16&lt;0,1-AO16/AN16,AO16/AN16-1)</f>
        <v>-3.7236962488563119E-2</v>
      </c>
      <c r="AP19" s="39">
        <f t="shared" ref="AP19" si="189">+IF(AO16&lt;0,1-AP16/AO16,AP16/AO16-1)</f>
        <v>0.10928442459374699</v>
      </c>
      <c r="AQ19" s="39">
        <f t="shared" ref="AQ19" si="190">+IF(AP16&lt;0,1-AQ16/AP16,AQ16/AP16-1)</f>
        <v>-0.12190525143493525</v>
      </c>
      <c r="AR19" s="39">
        <f t="shared" ref="AR19" si="191">+IF(AQ16&lt;0,1-AR16/AQ16,AR16/AQ16-1)</f>
        <v>6.4390243902438637E-2</v>
      </c>
      <c r="AS19" s="39">
        <f t="shared" ref="AS19" si="192">+IF(AR16&lt;0,1-AS16/AR16,AS16/AR16-1)</f>
        <v>-6.5169569202566224E-2</v>
      </c>
      <c r="AT19" s="39">
        <f t="shared" ref="AT19" si="193">+IF(AS16&lt;0,1-AT16/AS16,AT16/AS16-1)</f>
        <v>-2.2159035199529997E-2</v>
      </c>
      <c r="AU19" s="39">
        <f t="shared" ref="AU19" si="194">+IF(AT16&lt;0,1-AU16/AT16,AU16/AT16-1)</f>
        <v>9.8265316354156695E-2</v>
      </c>
      <c r="AV19" s="39">
        <f t="shared" ref="AV19" si="195">+IF(AU16&lt;0,1-AV16/AU16,AV16/AU16-1)</f>
        <v>-3.4602392038710517E-2</v>
      </c>
      <c r="AW19" s="39">
        <f t="shared" ref="AW19" si="196">+IF(AV16&lt;0,1-AW16/AV16,AW16/AV16-1)</f>
        <v>-7.6508416871572171E-2</v>
      </c>
      <c r="AX19" s="39">
        <f t="shared" ref="AX19" si="197">+IF(AW16&lt;0,1-AX16/AW16,AX16/AW16-1)</f>
        <v>0.24567332309267775</v>
      </c>
      <c r="AY19" s="39">
        <f t="shared" ref="AY19" si="198">+IF(AX16&lt;0,1-AY16/AX16,AY16/AX16-1)</f>
        <v>-6.7329825715224945E-2</v>
      </c>
      <c r="AZ19" s="39">
        <f t="shared" ref="AZ19" si="199">+IF(AY16&lt;0,1-AZ16/AY16,AZ16/AY16-1)</f>
        <v>8.840899074482178E-2</v>
      </c>
      <c r="BA19" s="39">
        <f t="shared" ref="BA19" si="200">+IF(AZ16&lt;0,1-BA16/AZ16,BA16/AZ16-1)</f>
        <v>7.3777129899578631E-2</v>
      </c>
      <c r="BB19" s="39">
        <f t="shared" ref="BB19" si="201">+IF(BA16&lt;0,1-BB16/BA16,BB16/BA16-1)</f>
        <v>5.7696658873218398E-2</v>
      </c>
      <c r="BC19" s="39">
        <f t="shared" ref="BC19" si="202">+IF(BB16&lt;0,1-BC16/BB16,BC16/BB16-1)</f>
        <v>-0.16058185966913918</v>
      </c>
      <c r="BD19" s="39">
        <f t="shared" ref="BD19" si="203">+IF(BC16&lt;0,1-BD16/BC16,BD16/BC16-1)</f>
        <v>2.0472307169555171E-2</v>
      </c>
      <c r="BE19" s="39">
        <f t="shared" ref="BE19" si="204">+IF(BD16&lt;0,1-BE16/BD16,BE16/BD16-1)</f>
        <v>4.9862648797136533E-2</v>
      </c>
      <c r="BF19" s="39">
        <f t="shared" ref="BF19" si="205">+IF(BE16&lt;0,1-BF16/BE16,BF16/BE16-1)</f>
        <v>0.2058357120202976</v>
      </c>
      <c r="BG19" s="39">
        <f t="shared" ref="BG19" si="206">+IF(BF16&lt;0,1-BG16/BF16,BG16/BF16-1)</f>
        <v>-0.11342714360862693</v>
      </c>
      <c r="BH19" s="39">
        <f t="shared" ref="BH19" si="207">+IF(BG16&lt;0,1-BH16/BG16,BH16/BG16-1)</f>
        <v>0.19965882963732118</v>
      </c>
      <c r="BI19" s="39">
        <f t="shared" ref="BI19" si="208">+IF(BH16&lt;0,1-BI16/BH16,BI16/BH16-1)</f>
        <v>3.4435857805255266E-2</v>
      </c>
      <c r="BJ19" s="39">
        <f t="shared" ref="BJ19" si="209">+IF(BI16&lt;0,1-BJ16/BI16,BJ16/BI16-1)</f>
        <v>3.1078173559644373E-3</v>
      </c>
      <c r="BK19" s="39">
        <f t="shared" ref="BK19" si="210">+IF(BJ16&lt;0,1-BK16/BJ16,BK16/BJ16-1)</f>
        <v>-0.14174213536701619</v>
      </c>
      <c r="BL19" s="39">
        <f t="shared" ref="BL19" si="211">+IF(BK16&lt;0,1-BL16/BK16,BL16/BK16-1)</f>
        <v>9.8785144047205842E-2</v>
      </c>
      <c r="BM19" s="39">
        <f t="shared" ref="BM19" si="212">+IF(BL16&lt;0,1-BM16/BL16,BM16/BL16-1)</f>
        <v>-1.6679302501895643E-2</v>
      </c>
      <c r="BN19" s="39">
        <f t="shared" ref="BN19" si="213">+IF(BM16&lt;0,1-BN16/BM16,BN16/BM16-1)</f>
        <v>-4.9344641480339124E-2</v>
      </c>
      <c r="BO19" s="39">
        <f t="shared" ref="BO19" si="214">+IF(BN16&lt;0,1-BO16/BN16,BO16/BN16-1)</f>
        <v>-0.32866991078669916</v>
      </c>
      <c r="BP19" s="39">
        <f t="shared" ref="BP19" si="215">+IF(BO16&lt;0,1-BP16/BO16,BP16/BO16-1)</f>
        <v>2.5873351454746896E-2</v>
      </c>
      <c r="BQ19" s="39">
        <f t="shared" ref="BQ19" si="216">+IF(BP16&lt;0,1-BQ16/BP16,BQ16/BP16-1)</f>
        <v>-0.26045142296368984</v>
      </c>
      <c r="BR19" s="39">
        <f t="shared" ref="BR19" si="217">+IF(BQ16&lt;0,1-BR16/BQ16,BR16/BQ16-1)</f>
        <v>0.58466029723991486</v>
      </c>
      <c r="BS19" s="39">
        <f t="shared" ref="BS19" si="218">+IF(BR16&lt;0,1-BS16/BR16,BS16/BR16-1)</f>
        <v>2.4032825322391371E-2</v>
      </c>
      <c r="BT19" s="39">
        <f t="shared" ref="BT19" si="219">+IF(BS16&lt;0,1-BT16/BS16,BT16/BS16-1)</f>
        <v>0.19028538719437416</v>
      </c>
      <c r="BU19" s="39">
        <f t="shared" ref="BU19" si="220">+IF(BT16&lt;0,1-BU16/BT16,BU16/BT16-1)</f>
        <v>-0.17243748282495164</v>
      </c>
      <c r="BV19" s="39">
        <f t="shared" ref="BV19" si="221">+IF(BU16&lt;0,1-BV16/BU16,BV16/BU16-1)</f>
        <v>0.5738004316785652</v>
      </c>
      <c r="BW19" s="39">
        <f t="shared" ref="BW19" si="222">+IF(BV16&lt;0,1-BW16/BV16,BW16/BV16-1)</f>
        <v>0.17227555649330095</v>
      </c>
      <c r="BX19" s="39">
        <f t="shared" ref="BX19" si="223">+IF(BW16&lt;0,1-BX16/BW16,BX16/BW16-1)</f>
        <v>0.25818934485241174</v>
      </c>
      <c r="BY19" s="39">
        <f t="shared" ref="BY19" si="224">+IF(BX16&lt;0,1-BY16/BX16,BY16/BX16-1)</f>
        <v>4.6992346756312031E-2</v>
      </c>
      <c r="BZ19" s="39">
        <f t="shared" ref="BZ19" si="225">+IF(BY16&lt;0,1-BZ16/BY16,BZ16/BY16-1)</f>
        <v>7.3438994398140611E-3</v>
      </c>
      <c r="CA19" s="39">
        <f t="shared" ref="CA19" si="226">+IF(BZ16&lt;0,1-CA16/BZ16,CA16/BZ16-1)</f>
        <v>-0.22227120138347278</v>
      </c>
      <c r="CB19" s="39">
        <f t="shared" ref="CB19" si="227">+IF(CA16&lt;0,1-CB16/CA16,CB16/CA16-1)</f>
        <v>-7.8784443669340898E-2</v>
      </c>
      <c r="CC19" s="39">
        <f t="shared" ref="CC19" si="228">+IF(CB16&lt;0,1-CC16/CB16,CC16/CB16-1)</f>
        <v>-1.9925221259879833E-2</v>
      </c>
      <c r="CD19" s="39">
        <f t="shared" ref="CD19" si="229">+IF(CC16&lt;0,1-CD16/CC16,CD16/CC16-1)</f>
        <v>-8.1031485416264482E-2</v>
      </c>
      <c r="CE19" s="39">
        <f t="shared" ref="CE19" si="230">+IF(CD16&lt;0,1-CE16/CD16,CE16/CD16-1)</f>
        <v>-3.7729900157645435E-2</v>
      </c>
      <c r="CF19" s="39">
        <f t="shared" ref="CF19" si="231">+IF(CE16&lt;0,1-CF16/CE16,CF16/CE16-1)</f>
        <v>-0.12292485801660091</v>
      </c>
      <c r="CG19" s="39">
        <f t="shared" ref="CG19" si="232">+IF(CF16&lt;0,1-CG16/CF16,CG16/CF16-1)</f>
        <v>-0.15827158956478482</v>
      </c>
      <c r="CH19" s="39">
        <f t="shared" ref="CH19:CL19" si="233">+IF(CG16&lt;0,1-CH16/CG16,CH16/CG16-1)</f>
        <v>0.141874398994009</v>
      </c>
      <c r="CI19" s="39">
        <f t="shared" si="233"/>
        <v>-0.11116149510915352</v>
      </c>
      <c r="CJ19" s="39">
        <f t="shared" si="233"/>
        <v>-5.7575978427225616E-3</v>
      </c>
      <c r="CK19" s="39">
        <f t="shared" si="233"/>
        <v>8.2832429262569285E-3</v>
      </c>
      <c r="CL19" s="39">
        <f t="shared" si="233"/>
        <v>0.15158124318429733</v>
      </c>
      <c r="CM19" s="40">
        <f t="shared" ref="CM19" si="234">+CM16/CL16-1</f>
        <v>-0.19464048788853094</v>
      </c>
      <c r="CN19" s="40">
        <f t="shared" ref="CN19" si="235">+CN16/CM16-1</f>
        <v>-9.785900078941645E-2</v>
      </c>
      <c r="CO19" s="40">
        <f t="shared" ref="CO19" si="236">+CO16/CN16-1</f>
        <v>0.10256438127192791</v>
      </c>
      <c r="CP19" s="40">
        <f t="shared" ref="CP19" si="237">+CP16/CO16-1</f>
        <v>0.53585302889463127</v>
      </c>
      <c r="CQ19" s="40">
        <f t="shared" ref="CQ19" si="238">+CQ16/CP16-1</f>
        <v>-0.36997792959094988</v>
      </c>
      <c r="CR19" s="40">
        <f t="shared" ref="CR19" si="239">+CR16/CQ16-1</f>
        <v>-9.0111570239456706E-2</v>
      </c>
      <c r="CS19" s="40">
        <f t="shared" ref="CS19" si="240">+CS16/CR16-1</f>
        <v>0.14581664208065592</v>
      </c>
      <c r="CT19" s="40">
        <f t="shared" ref="CT19" si="241">+CT16/CS16-1</f>
        <v>0.57242345196749933</v>
      </c>
      <c r="CU19" s="40">
        <f t="shared" ref="CU19" si="242">+CU16/CT16-1</f>
        <v>-0.39432927570945553</v>
      </c>
      <c r="CV19" s="40">
        <f t="shared" ref="CV19" si="243">+CV16/CU16-1</f>
        <v>-8.287318337411409E-2</v>
      </c>
      <c r="CW19" s="40">
        <f t="shared" ref="CW19" si="244">+CW16/CV16-1</f>
        <v>0.15476496048641541</v>
      </c>
      <c r="CX19" s="40">
        <f t="shared" ref="CX19" si="245">+CX16/CW16-1</f>
        <v>0.5723495659741562</v>
      </c>
      <c r="CY19" s="40">
        <f t="shared" ref="CY19" si="246">+CY16/CX16-1</f>
        <v>-0.39786558814032869</v>
      </c>
      <c r="CZ19" s="40">
        <f t="shared" ref="CZ19" si="247">+CZ16/CY16-1</f>
        <v>-8.0610082309011122E-2</v>
      </c>
      <c r="DA19" s="40">
        <f t="shared" ref="DA19" si="248">+DA16/CZ16-1</f>
        <v>0.15602226568399402</v>
      </c>
      <c r="DB19" s="40">
        <f t="shared" ref="DB19" si="249">+DB16/DA16-1</f>
        <v>0.57142744261932155</v>
      </c>
      <c r="DE19" s="122"/>
    </row>
    <row r="20" spans="1:110" s="23" customFormat="1" outlineLevel="1" x14ac:dyDescent="0.2">
      <c r="A20" s="23" t="s">
        <v>8</v>
      </c>
      <c r="B20" s="23">
        <f>'Annual Raw'!C14</f>
        <v>23.027200000000001</v>
      </c>
      <c r="C20" s="23">
        <f>'Annual Raw'!D14</f>
        <v>24.042999999999999</v>
      </c>
      <c r="D20" s="23">
        <f>'Annual Raw'!E14</f>
        <v>24.8901</v>
      </c>
      <c r="E20" s="23">
        <f>'Annual Raw'!F14</f>
        <v>25.0871</v>
      </c>
      <c r="F20" s="23">
        <f>'Annual Raw'!G14</f>
        <v>27.746200000000002</v>
      </c>
      <c r="G20" s="23">
        <f>'Annual Raw'!H14</f>
        <v>29.661200000000001</v>
      </c>
      <c r="H20" s="23">
        <f>'Annual Raw'!I14</f>
        <v>27.435099999999998</v>
      </c>
      <c r="I20" s="23">
        <f>'Annual Raw'!J14</f>
        <v>32.459899999999998</v>
      </c>
      <c r="J20" s="23">
        <f>'Annual Raw'!K14</f>
        <v>30.7544</v>
      </c>
      <c r="K20" s="23">
        <f>'Annual Raw'!L14</f>
        <v>32.7684</v>
      </c>
      <c r="L20" s="23">
        <f>'Annual Raw'!M14</f>
        <v>50.925699999999999</v>
      </c>
      <c r="M20" s="23">
        <f>'Annual Raw'!N14</f>
        <v>46.200299999999999</v>
      </c>
      <c r="N20" s="23">
        <f>'Annual Raw'!O14</f>
        <v>54.055799999999998</v>
      </c>
      <c r="O20" s="23">
        <f>'Annual Raw'!P14</f>
        <v>56.054499999999997</v>
      </c>
      <c r="P20" s="23">
        <f>'Annual Raw'!Q14</f>
        <v>64.128399999999999</v>
      </c>
      <c r="Q20" s="23">
        <f>'Annual Raw'!R14</f>
        <v>79.564999999999998</v>
      </c>
      <c r="R20" s="23">
        <f>'Annual Raw'!S14</f>
        <v>69.72</v>
      </c>
      <c r="S20" s="23">
        <f>'Annual Raw'!T14</f>
        <v>68.36</v>
      </c>
      <c r="T20" s="23">
        <f>'Annual Raw'!U14</f>
        <v>69.28</v>
      </c>
      <c r="U20" s="23">
        <f>'Annual Raw'!V14</f>
        <v>82.32</v>
      </c>
      <c r="V20" s="23">
        <f>'Annual Raw'!W14</f>
        <v>81.34</v>
      </c>
      <c r="W20" s="23">
        <f>'Annual Raw'!X14</f>
        <v>84.59</v>
      </c>
      <c r="X20" s="23">
        <f>'Annual Raw'!Y14</f>
        <v>97.9</v>
      </c>
      <c r="Y20" s="23">
        <f>'Annual Raw'!Z14</f>
        <v>92.88</v>
      </c>
      <c r="Z20" s="23">
        <f>'Annual Raw'!AA14</f>
        <v>113.32</v>
      </c>
      <c r="AA20" s="23">
        <f>'Annual Raw'!AB14</f>
        <v>103.57</v>
      </c>
      <c r="AB20" s="76">
        <f t="shared" ref="AB20:AB25" si="250">+SUM(CM20:CP20)</f>
        <v>110.81989999999999</v>
      </c>
      <c r="AC20" s="76">
        <f t="shared" ref="AC20:AC25" si="251">+SUM(CQ20:CT20)</f>
        <v>118.57729300000001</v>
      </c>
      <c r="AD20" s="76">
        <f t="shared" ref="AD20:AD25" si="252">+SUM(CU20:CX20)</f>
        <v>126.87770351</v>
      </c>
      <c r="AE20" s="76">
        <f t="shared" ref="AE20:AE25" si="253">+SUM(CY20:DB20)</f>
        <v>135.75914275570003</v>
      </c>
      <c r="AI20" s="23">
        <f>'QTR Raw'!C16</f>
        <v>13.47</v>
      </c>
      <c r="AJ20" s="23">
        <f>'QTR Raw'!D16</f>
        <v>13.33</v>
      </c>
      <c r="AK20" s="23">
        <f>'QTR Raw'!E16</f>
        <v>13.46</v>
      </c>
      <c r="AL20" s="23">
        <f>'QTR Raw'!F16</f>
        <v>13.81</v>
      </c>
      <c r="AM20" s="23">
        <f>'QTR Raw'!G16</f>
        <v>14.15</v>
      </c>
      <c r="AN20" s="23">
        <f>'QTR Raw'!H16</f>
        <v>14.8</v>
      </c>
      <c r="AO20" s="23">
        <f>'QTR Raw'!I16</f>
        <v>14.74</v>
      </c>
      <c r="AP20" s="23">
        <f>'QTR Raw'!J16</f>
        <v>12.37</v>
      </c>
      <c r="AQ20" s="23">
        <f>'QTR Raw'!K16</f>
        <v>14.72</v>
      </c>
      <c r="AR20" s="23">
        <f>'QTR Raw'!L16</f>
        <v>14.87</v>
      </c>
      <c r="AS20" s="23">
        <f>'QTR Raw'!M16</f>
        <v>14.99</v>
      </c>
      <c r="AT20" s="23">
        <f>'QTR Raw'!N16</f>
        <v>19.55</v>
      </c>
      <c r="AU20" s="23">
        <f>'QTR Raw'!O16</f>
        <v>17.79</v>
      </c>
      <c r="AV20" s="23">
        <f>'QTR Raw'!P16</f>
        <v>19.600000000000001</v>
      </c>
      <c r="AW20" s="23">
        <f>'QTR Raw'!Q16</f>
        <v>18.84</v>
      </c>
      <c r="AX20" s="23">
        <f>'QTR Raw'!R16</f>
        <v>23.34</v>
      </c>
      <c r="AY20" s="23">
        <f>'QTR Raw'!S16</f>
        <v>19.45</v>
      </c>
      <c r="AZ20" s="23">
        <f>'QTR Raw'!T16</f>
        <v>18.5</v>
      </c>
      <c r="BA20" s="23">
        <f>'QTR Raw'!U16</f>
        <v>18.13</v>
      </c>
      <c r="BB20" s="23">
        <f>'QTR Raw'!V16</f>
        <v>13.63</v>
      </c>
      <c r="BC20" s="23">
        <f>'QTR Raw'!W16</f>
        <v>18.34</v>
      </c>
      <c r="BD20" s="23">
        <f>'QTR Raw'!X16</f>
        <v>18.3</v>
      </c>
      <c r="BE20" s="23">
        <f>'QTR Raw'!Y16</f>
        <v>18.29</v>
      </c>
      <c r="BF20" s="23">
        <f>'QTR Raw'!Z16</f>
        <v>13.43</v>
      </c>
      <c r="BG20" s="23">
        <f>'QTR Raw'!AA16</f>
        <v>18.66</v>
      </c>
      <c r="BH20" s="23">
        <f>'QTR Raw'!AB16</f>
        <v>18.95</v>
      </c>
      <c r="BI20" s="23">
        <f>'QTR Raw'!AC16</f>
        <v>18.55</v>
      </c>
      <c r="BJ20" s="23">
        <f>'QTR Raw'!AD16</f>
        <v>13.12</v>
      </c>
      <c r="BK20" s="23">
        <f>'QTR Raw'!AE16</f>
        <v>21.89</v>
      </c>
      <c r="BL20" s="23">
        <f>'QTR Raw'!AF16</f>
        <v>22.37</v>
      </c>
      <c r="BM20" s="23">
        <f>'QTR Raw'!AG16</f>
        <v>21.81</v>
      </c>
      <c r="BN20" s="23">
        <f>'QTR Raw'!AH16</f>
        <v>16.25</v>
      </c>
      <c r="BO20" s="23">
        <f>'QTR Raw'!AI16</f>
        <v>21.53</v>
      </c>
      <c r="BP20" s="23">
        <f>'QTR Raw'!AJ16</f>
        <v>23.47</v>
      </c>
      <c r="BQ20" s="23">
        <f>'QTR Raw'!AK16</f>
        <v>17</v>
      </c>
      <c r="BR20" s="23">
        <f>'QTR Raw'!AL16</f>
        <v>19.34</v>
      </c>
      <c r="BS20" s="23">
        <f>'QTR Raw'!AM16</f>
        <v>22.19</v>
      </c>
      <c r="BT20" s="23">
        <f>'QTR Raw'!AN16</f>
        <v>22.68</v>
      </c>
      <c r="BU20" s="23">
        <f>'QTR Raw'!AO16</f>
        <v>20.81</v>
      </c>
      <c r="BV20" s="23">
        <f>'QTR Raw'!AP16</f>
        <v>18.91</v>
      </c>
      <c r="BW20" s="23">
        <f>'QTR Raw'!AQ16</f>
        <v>24.04</v>
      </c>
      <c r="BX20" s="23">
        <f>'QTR Raw'!AR16</f>
        <v>23.17</v>
      </c>
      <c r="BY20" s="23">
        <f>'QTR Raw'!AS16</f>
        <v>23.31</v>
      </c>
      <c r="BZ20" s="23">
        <f>'QTR Raw'!AT16</f>
        <v>27.38</v>
      </c>
      <c r="CA20" s="23">
        <f>'QTR Raw'!AU16</f>
        <v>24.65</v>
      </c>
      <c r="CB20" s="23">
        <f>'QTR Raw'!AV16</f>
        <v>25.1</v>
      </c>
      <c r="CC20" s="23">
        <f>'QTR Raw'!AW16</f>
        <v>24.29</v>
      </c>
      <c r="CD20" s="23">
        <f>'QTR Raw'!AX16</f>
        <v>18.84</v>
      </c>
      <c r="CE20" s="23">
        <f>'QTR Raw'!AY16</f>
        <v>29.7</v>
      </c>
      <c r="CF20" s="23">
        <f>'QTR Raw'!AZ16</f>
        <v>29.52</v>
      </c>
      <c r="CG20" s="23">
        <f>'QTR Raw'!BA16</f>
        <v>25.76</v>
      </c>
      <c r="CH20" s="23">
        <f>'QTR Raw'!BB16</f>
        <v>28.34</v>
      </c>
      <c r="CI20" s="23">
        <f>'QTR Raw'!BC16</f>
        <v>27.38</v>
      </c>
      <c r="CJ20" s="23">
        <f>'QTR Raw'!BD16</f>
        <v>26.82</v>
      </c>
      <c r="CK20" s="23">
        <f>'QTR Raw'!BE16</f>
        <v>23.58</v>
      </c>
      <c r="CL20" s="23">
        <f>'QTR Raw'!BF16</f>
        <v>25.79</v>
      </c>
      <c r="CM20" s="24">
        <f t="shared" ref="CM20:DB20" si="254">CI20*107%</f>
        <v>29.296600000000002</v>
      </c>
      <c r="CN20" s="24">
        <f t="shared" si="254"/>
        <v>28.697400000000002</v>
      </c>
      <c r="CO20" s="24">
        <f t="shared" si="254"/>
        <v>25.230599999999999</v>
      </c>
      <c r="CP20" s="24">
        <f t="shared" si="254"/>
        <v>27.595300000000002</v>
      </c>
      <c r="CQ20" s="24">
        <f t="shared" si="254"/>
        <v>31.347362000000004</v>
      </c>
      <c r="CR20" s="24">
        <f t="shared" si="254"/>
        <v>30.706218000000003</v>
      </c>
      <c r="CS20" s="24">
        <f t="shared" si="254"/>
        <v>26.996742000000001</v>
      </c>
      <c r="CT20" s="24">
        <f t="shared" si="254"/>
        <v>29.526971000000003</v>
      </c>
      <c r="CU20" s="24">
        <f t="shared" si="254"/>
        <v>33.541677340000007</v>
      </c>
      <c r="CV20" s="24">
        <f t="shared" si="254"/>
        <v>32.855653260000004</v>
      </c>
      <c r="CW20" s="24">
        <f t="shared" si="254"/>
        <v>28.886513940000004</v>
      </c>
      <c r="CX20" s="24">
        <f t="shared" si="254"/>
        <v>31.593858970000007</v>
      </c>
      <c r="CY20" s="24">
        <f t="shared" si="254"/>
        <v>35.889594753800012</v>
      </c>
      <c r="CZ20" s="24">
        <f t="shared" si="254"/>
        <v>35.155548988200003</v>
      </c>
      <c r="DA20" s="24">
        <f t="shared" si="254"/>
        <v>30.908569915800005</v>
      </c>
      <c r="DB20" s="24">
        <f t="shared" si="254"/>
        <v>33.80542909790001</v>
      </c>
      <c r="DE20" s="123"/>
      <c r="DF20" s="23">
        <v>103.57</v>
      </c>
    </row>
    <row r="21" spans="1:110" s="23" customFormat="1" outlineLevel="1" x14ac:dyDescent="0.2">
      <c r="A21" s="23" t="s">
        <v>10</v>
      </c>
      <c r="B21" s="23">
        <f>'Annual Raw'!C17</f>
        <v>19.544</v>
      </c>
      <c r="C21" s="23">
        <f>'Annual Raw'!D17</f>
        <v>23.577300000000001</v>
      </c>
      <c r="D21" s="23">
        <f>'Annual Raw'!E17</f>
        <v>25.645700000000001</v>
      </c>
      <c r="E21" s="23">
        <f>'Annual Raw'!F17</f>
        <v>31.965</v>
      </c>
      <c r="F21" s="23">
        <f>'Annual Raw'!G17</f>
        <v>33.607999999999997</v>
      </c>
      <c r="G21" s="23">
        <f>'Annual Raw'!H17</f>
        <v>39.064100000000003</v>
      </c>
      <c r="H21" s="23">
        <f>'Annual Raw'!I17</f>
        <v>39.183300000000003</v>
      </c>
      <c r="I21" s="23">
        <f>'Annual Raw'!J17</f>
        <v>33.162199999999999</v>
      </c>
      <c r="J21" s="23">
        <f>'Annual Raw'!K17</f>
        <v>31.708200000000001</v>
      </c>
      <c r="K21" s="23">
        <f>'Annual Raw'!L17</f>
        <v>31.2742</v>
      </c>
      <c r="L21" s="23">
        <f>'Annual Raw'!M17</f>
        <v>11.455</v>
      </c>
      <c r="M21" s="23">
        <f>'Annual Raw'!N17</f>
        <v>10.8652</v>
      </c>
      <c r="N21" s="23">
        <f>'Annual Raw'!O17</f>
        <v>17.857500000000002</v>
      </c>
      <c r="O21" s="23">
        <f>'Annual Raw'!P17</f>
        <v>16.298100000000002</v>
      </c>
      <c r="P21" s="23">
        <f>'Annual Raw'!Q17</f>
        <v>17.311499999999999</v>
      </c>
      <c r="Q21" s="23">
        <f>'Annual Raw'!R17</f>
        <v>17.8475</v>
      </c>
      <c r="R21" s="23">
        <f>'Annual Raw'!S17</f>
        <v>8.7899999999999991</v>
      </c>
      <c r="S21" s="23">
        <f>'Annual Raw'!T17</f>
        <v>7.31</v>
      </c>
      <c r="T21" s="23">
        <f>'Annual Raw'!U17</f>
        <v>8.75</v>
      </c>
      <c r="U21" s="23">
        <f>'Annual Raw'!V17</f>
        <v>6.38</v>
      </c>
      <c r="V21" s="23">
        <f>'Annual Raw'!W17</f>
        <v>8.56</v>
      </c>
      <c r="W21" s="23">
        <f>'Annual Raw'!X17</f>
        <v>9.2100000000000009</v>
      </c>
      <c r="X21" s="23">
        <f>'Annual Raw'!Y17</f>
        <v>8.9600000000000009</v>
      </c>
      <c r="Y21" s="23">
        <f>'Annual Raw'!Z17</f>
        <v>9.68</v>
      </c>
      <c r="Z21" s="23">
        <f>'Annual Raw'!AA17</f>
        <v>10.15</v>
      </c>
      <c r="AA21" s="23">
        <f>'Annual Raw'!AB17</f>
        <v>15.08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1.4725999999999999</v>
      </c>
      <c r="C22" s="23">
        <f>'Annual Raw'!D19-'Annual Raw'!D20</f>
        <v>2.0962000000000001</v>
      </c>
      <c r="D22" s="23">
        <f>'Annual Raw'!E19-'Annual Raw'!E20</f>
        <v>2.9550000000000001</v>
      </c>
      <c r="E22" s="23">
        <f>'Annual Raw'!F19-'Annual Raw'!F20</f>
        <v>1.2654000000000001</v>
      </c>
      <c r="F22" s="23">
        <f>'Annual Raw'!G19-'Annual Raw'!G20</f>
        <v>2.2134</v>
      </c>
      <c r="G22" s="23">
        <f>'Annual Raw'!H19-'Annual Raw'!H20</f>
        <v>1.9685999999999999</v>
      </c>
      <c r="H22" s="23">
        <f>'Annual Raw'!I19-'Annual Raw'!I20</f>
        <v>2.0586000000000002</v>
      </c>
      <c r="I22" s="23">
        <f>'Annual Raw'!J19-'Annual Raw'!J20</f>
        <v>2.2014</v>
      </c>
      <c r="J22" s="23">
        <f>'Annual Raw'!K19-'Annual Raw'!K20</f>
        <v>13.101100000000001</v>
      </c>
      <c r="K22" s="23">
        <f>'Annual Raw'!L19-'Annual Raw'!L20</f>
        <v>3.4676</v>
      </c>
      <c r="L22" s="23">
        <f>'Annual Raw'!M19-'Annual Raw'!M20</f>
        <v>3.3988999999999998</v>
      </c>
      <c r="M22" s="23">
        <f>'Annual Raw'!N19-'Annual Raw'!N20</f>
        <v>2.3563999999999998</v>
      </c>
      <c r="N22" s="23">
        <f>'Annual Raw'!O19-'Annual Raw'!O20</f>
        <v>3.6168</v>
      </c>
      <c r="O22" s="23">
        <f>'Annual Raw'!P19-'Annual Raw'!P20</f>
        <v>6.9077000000000002</v>
      </c>
      <c r="P22" s="23">
        <f>'Annual Raw'!Q19-'Annual Raw'!Q20</f>
        <v>6.1715999999999998</v>
      </c>
      <c r="Q22" s="23">
        <f>'Annual Raw'!R19-'Annual Raw'!R20</f>
        <v>5.7473999999999998</v>
      </c>
      <c r="R22" s="23">
        <f>'Annual Raw'!S19-'Annual Raw'!S20</f>
        <v>26.99</v>
      </c>
      <c r="S22" s="23">
        <f>'Annual Raw'!T19-'Annual Raw'!T20</f>
        <v>21.65</v>
      </c>
      <c r="T22" s="23">
        <f>'Annual Raw'!U19-'Annual Raw'!U20</f>
        <v>23.41</v>
      </c>
      <c r="U22" s="23">
        <f>'Annual Raw'!V19-'Annual Raw'!V20</f>
        <v>30.34</v>
      </c>
      <c r="V22" s="23">
        <f>'Annual Raw'!W19-'Annual Raw'!W20</f>
        <v>23.56</v>
      </c>
      <c r="W22" s="23">
        <f>'Annual Raw'!X19-'Annual Raw'!X20</f>
        <v>26.01</v>
      </c>
      <c r="X22" s="23">
        <f>'Annual Raw'!Y19-'Annual Raw'!Y20</f>
        <v>30.55</v>
      </c>
      <c r="Y22" s="23">
        <f>'Annual Raw'!Z19-'Annual Raw'!Z20</f>
        <v>29.81</v>
      </c>
      <c r="Z22" s="23">
        <f>'Annual Raw'!AA19-'Annual Raw'!AA20</f>
        <v>41.04</v>
      </c>
      <c r="AA22" s="23">
        <f>'Annual Raw'!AB19-'Annual Raw'!AB20</f>
        <v>41.02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40.595799999999997</v>
      </c>
      <c r="C23" s="23">
        <f>'Annual Raw'!D15+'Annual Raw'!D16</f>
        <v>47.480699999999999</v>
      </c>
      <c r="D23" s="23">
        <f>'Annual Raw'!E15+'Annual Raw'!E16</f>
        <v>53.4114</v>
      </c>
      <c r="E23" s="23">
        <f>'Annual Raw'!F15+'Annual Raw'!F16</f>
        <v>56.8386</v>
      </c>
      <c r="F23" s="23">
        <f>'Annual Raw'!G15+'Annual Raw'!G16</f>
        <v>55.276400000000002</v>
      </c>
      <c r="G23" s="23">
        <f>'Annual Raw'!H15+'Annual Raw'!H16</f>
        <v>62.856000000000002</v>
      </c>
      <c r="H23" s="23">
        <f>'Annual Raw'!I15+'Annual Raw'!I16</f>
        <v>75.484099999999998</v>
      </c>
      <c r="I23" s="23">
        <f>'Annual Raw'!J15+'Annual Raw'!J16</f>
        <v>89.527500000000003</v>
      </c>
      <c r="J23" s="23">
        <f>'Annual Raw'!K15+'Annual Raw'!K16</f>
        <v>102.26519999999999</v>
      </c>
      <c r="K23" s="23">
        <f>'Annual Raw'!L15+'Annual Raw'!L16</f>
        <v>114.1568</v>
      </c>
      <c r="L23" s="23">
        <f>'Annual Raw'!M15+'Annual Raw'!M16</f>
        <v>123.5933</v>
      </c>
      <c r="M23" s="23">
        <f>'Annual Raw'!N15+'Annual Raw'!N16</f>
        <v>142.51079999999999</v>
      </c>
      <c r="N23" s="23">
        <f>'Annual Raw'!O15+'Annual Raw'!O16</f>
        <v>181.60480000000001</v>
      </c>
      <c r="O23" s="23">
        <f>'Annual Raw'!P15+'Annual Raw'!P16</f>
        <v>210.4271</v>
      </c>
      <c r="P23" s="23">
        <f>'Annual Raw'!Q15+'Annual Raw'!Q16</f>
        <v>207.08099999999999</v>
      </c>
      <c r="Q23" s="23">
        <f>'Annual Raw'!R15+'Annual Raw'!R16</f>
        <v>200.60159999999999</v>
      </c>
      <c r="R23" s="23">
        <f>'Annual Raw'!S15+'Annual Raw'!S16</f>
        <v>223.77</v>
      </c>
      <c r="S23" s="23">
        <f>'Annual Raw'!T15+'Annual Raw'!T16</f>
        <v>242.15</v>
      </c>
      <c r="T23" s="23">
        <f>'Annual Raw'!U15+'Annual Raw'!U16</f>
        <v>293.52</v>
      </c>
      <c r="U23" s="23">
        <f>'Annual Raw'!V15+'Annual Raw'!V16</f>
        <v>292.81</v>
      </c>
      <c r="V23" s="23">
        <f>'Annual Raw'!W15+'Annual Raw'!W16</f>
        <v>219.57</v>
      </c>
      <c r="W23" s="23">
        <f>'Annual Raw'!X15+'Annual Raw'!X16</f>
        <v>295.79000000000002</v>
      </c>
      <c r="X23" s="23">
        <f>'Annual Raw'!Y15+'Annual Raw'!Y16</f>
        <v>414.44</v>
      </c>
      <c r="Y23" s="23">
        <f>'Annual Raw'!Z15+'Annual Raw'!Z16</f>
        <v>402.88</v>
      </c>
      <c r="Z23" s="23">
        <f>'Annual Raw'!AA15+'Annual Raw'!AA16</f>
        <v>394.52</v>
      </c>
      <c r="AA23" s="23">
        <f>'Annual Raw'!AB15+'Annual Raw'!AB16</f>
        <v>387.39</v>
      </c>
      <c r="AB23" s="76">
        <f t="shared" si="250"/>
        <v>357.44062222501418</v>
      </c>
      <c r="AC23" s="76">
        <f t="shared" si="251"/>
        <v>349.21066539470269</v>
      </c>
      <c r="AD23" s="76">
        <f t="shared" si="252"/>
        <v>342.66679644166157</v>
      </c>
      <c r="AE23" s="76">
        <f t="shared" si="253"/>
        <v>336.17684198494942</v>
      </c>
      <c r="AI23" s="23">
        <f>'QTR Raw'!C14</f>
        <v>22.47</v>
      </c>
      <c r="AJ23" s="23">
        <f>'QTR Raw'!D14</f>
        <v>25.57</v>
      </c>
      <c r="AK23" s="23">
        <f>'QTR Raw'!E14</f>
        <v>22.87</v>
      </c>
      <c r="AL23" s="23">
        <f>'QTR Raw'!F14</f>
        <v>23.08</v>
      </c>
      <c r="AM23" s="23">
        <f>'QTR Raw'!G14</f>
        <v>25.89</v>
      </c>
      <c r="AN23" s="23">
        <f>'QTR Raw'!H14</f>
        <v>26.74</v>
      </c>
      <c r="AO23" s="23">
        <f>'QTR Raw'!I14</f>
        <v>28.45</v>
      </c>
      <c r="AP23" s="23">
        <f>'QTR Raw'!J14</f>
        <v>29.17</v>
      </c>
      <c r="AQ23" s="23">
        <f>'QTR Raw'!K14</f>
        <v>26.38</v>
      </c>
      <c r="AR23" s="23">
        <f>'QTR Raw'!L14</f>
        <v>29.24</v>
      </c>
      <c r="AS23" s="23">
        <f>'QTR Raw'!M14</f>
        <v>29.13</v>
      </c>
      <c r="AT23" s="23">
        <f>'QTR Raw'!N14</f>
        <v>28.49</v>
      </c>
      <c r="AU23" s="23">
        <f>'QTR Raw'!O14</f>
        <v>30.47</v>
      </c>
      <c r="AV23" s="23">
        <f>'QTR Raw'!P14</f>
        <v>28.56</v>
      </c>
      <c r="AW23" s="23">
        <f>'QTR Raw'!Q14</f>
        <v>28.19</v>
      </c>
      <c r="AX23" s="23">
        <f>'QTR Raw'!R14</f>
        <v>28.93</v>
      </c>
      <c r="AY23" s="23">
        <f>'QTR Raw'!S14</f>
        <v>23.53</v>
      </c>
      <c r="AZ23" s="23">
        <f>'QTR Raw'!T14</f>
        <v>23.17</v>
      </c>
      <c r="BA23" s="23">
        <f>'QTR Raw'!U14</f>
        <v>25.91</v>
      </c>
      <c r="BB23" s="23">
        <f>'QTR Raw'!V14</f>
        <v>33.799999999999997</v>
      </c>
      <c r="BC23" s="23">
        <f>'QTR Raw'!W14</f>
        <v>23.12</v>
      </c>
      <c r="BD23" s="23">
        <f>'QTR Raw'!X14</f>
        <v>22.5</v>
      </c>
      <c r="BE23" s="23">
        <f>'QTR Raw'!Y14</f>
        <v>23.78</v>
      </c>
      <c r="BF23" s="23">
        <f>'QTR Raw'!Z14</f>
        <v>28.95</v>
      </c>
      <c r="BG23" s="23">
        <f>'QTR Raw'!AA14</f>
        <v>23.88</v>
      </c>
      <c r="BH23" s="23">
        <f>'QTR Raw'!AB14</f>
        <v>24.62</v>
      </c>
      <c r="BI23" s="23">
        <f>'QTR Raw'!AC14</f>
        <v>26.49</v>
      </c>
      <c r="BJ23" s="23">
        <f>'QTR Raw'!AD14</f>
        <v>33.79</v>
      </c>
      <c r="BK23" s="23">
        <f>'QTR Raw'!AE14</f>
        <v>24.73</v>
      </c>
      <c r="BL23" s="23">
        <f>'QTR Raw'!AF14</f>
        <v>30.06</v>
      </c>
      <c r="BM23" s="23">
        <f>'QTR Raw'!AG14</f>
        <v>27.16</v>
      </c>
      <c r="BN23" s="23">
        <f>'QTR Raw'!AH14</f>
        <v>33.79</v>
      </c>
      <c r="BO23" s="23">
        <f>'QTR Raw'!AI14</f>
        <v>19.64</v>
      </c>
      <c r="BP23" s="23">
        <f>'QTR Raw'!AJ14</f>
        <v>24.78</v>
      </c>
      <c r="BQ23" s="23">
        <f>'QTR Raw'!AK14</f>
        <v>21.59</v>
      </c>
      <c r="BR23" s="23">
        <f>'QTR Raw'!AL14</f>
        <v>35.18</v>
      </c>
      <c r="BS23" s="23">
        <f>'QTR Raw'!AM14</f>
        <v>30.13</v>
      </c>
      <c r="BT23" s="23">
        <f>'QTR Raw'!AN14</f>
        <v>39.43</v>
      </c>
      <c r="BU23" s="23">
        <f>'QTR Raw'!AO14</f>
        <v>33.24</v>
      </c>
      <c r="BV23" s="23">
        <f>'QTR Raw'!AP14</f>
        <v>37.950000000000003</v>
      </c>
      <c r="BW23" s="23">
        <f>'QTR Raw'!AQ14</f>
        <v>43.04</v>
      </c>
      <c r="BX23" s="23">
        <f>'QTR Raw'!AR14</f>
        <v>47.25</v>
      </c>
      <c r="BY23" s="23">
        <f>'QTR Raw'!AS14</f>
        <v>44.65</v>
      </c>
      <c r="BZ23" s="23">
        <f>'QTR Raw'!AT14</f>
        <v>40.07</v>
      </c>
      <c r="CA23" s="23">
        <f>'QTR Raw'!AU14</f>
        <v>36.18</v>
      </c>
      <c r="CB23" s="23">
        <f>'QTR Raw'!AV14</f>
        <v>33.89</v>
      </c>
      <c r="CC23" s="23">
        <f>'QTR Raw'!AW14</f>
        <v>36.33</v>
      </c>
      <c r="CD23" s="23">
        <f>'QTR Raw'!AX14</f>
        <v>40.65</v>
      </c>
      <c r="CE23" s="23">
        <f>'QTR Raw'!AY14</f>
        <v>40.56</v>
      </c>
      <c r="CF23" s="23">
        <f>'QTR Raw'!AZ14</f>
        <v>39.08</v>
      </c>
      <c r="CG23" s="23">
        <f>'QTR Raw'!BA14</f>
        <v>41.3</v>
      </c>
      <c r="CH23" s="23">
        <f>'QTR Raw'!BB14</f>
        <v>43.97</v>
      </c>
      <c r="CI23" s="23">
        <f>'QTR Raw'!BC14</f>
        <v>34.590000000000003</v>
      </c>
      <c r="CJ23" s="23">
        <f>'QTR Raw'!BD14</f>
        <v>34.130000000000003</v>
      </c>
      <c r="CK23" s="23">
        <f>'QTR Raw'!BE14</f>
        <v>40.299999999999997</v>
      </c>
      <c r="CL23" s="23">
        <f>'QTR Raw'!BF14</f>
        <v>56.81</v>
      </c>
      <c r="CM23" s="24">
        <f t="shared" ref="CM23:DB23" si="255">CM26-CM20-CM21-CM22-CM24-CM25</f>
        <v>76.443052133883725</v>
      </c>
      <c r="CN23" s="24">
        <f t="shared" si="255"/>
        <v>66.218550532624619</v>
      </c>
      <c r="CO23" s="24">
        <f t="shared" si="255"/>
        <v>80.091057979371996</v>
      </c>
      <c r="CP23" s="24">
        <f t="shared" si="255"/>
        <v>134.68796157913388</v>
      </c>
      <c r="CQ23" s="24">
        <f t="shared" si="255"/>
        <v>70.441095650781534</v>
      </c>
      <c r="CR23" s="24">
        <f t="shared" si="255"/>
        <v>61.914188739020389</v>
      </c>
      <c r="CS23" s="24">
        <f t="shared" si="255"/>
        <v>79.273108519686744</v>
      </c>
      <c r="CT23" s="24">
        <f t="shared" si="255"/>
        <v>137.58227248521408</v>
      </c>
      <c r="CU23" s="24">
        <f t="shared" si="255"/>
        <v>67.597757217086766</v>
      </c>
      <c r="CV23" s="24">
        <f t="shared" si="255"/>
        <v>59.918933035748005</v>
      </c>
      <c r="CW23" s="24">
        <f t="shared" si="255"/>
        <v>78.269368020229209</v>
      </c>
      <c r="CX23" s="24">
        <f t="shared" si="255"/>
        <v>136.88073816859759</v>
      </c>
      <c r="CY23" s="24">
        <f t="shared" si="255"/>
        <v>65.544588818643533</v>
      </c>
      <c r="CZ23" s="24">
        <f t="shared" si="255"/>
        <v>58.107306921326945</v>
      </c>
      <c r="DA23" s="24">
        <f t="shared" si="255"/>
        <v>76.908087206930603</v>
      </c>
      <c r="DB23" s="24">
        <f t="shared" si="255"/>
        <v>135.61685903804837</v>
      </c>
      <c r="DE23" s="123"/>
      <c r="DF23" s="23">
        <v>165.82999999999998</v>
      </c>
    </row>
    <row r="24" spans="1:110" s="23" customFormat="1" outlineLevel="1" x14ac:dyDescent="0.2">
      <c r="A24" s="23" t="s">
        <v>7</v>
      </c>
      <c r="B24" s="23">
        <f>'Annual Raw'!C13</f>
        <v>62.259599999999999</v>
      </c>
      <c r="C24" s="23">
        <f>'Annual Raw'!D13</f>
        <v>69.593299999999999</v>
      </c>
      <c r="D24" s="23">
        <f>'Annual Raw'!E13</f>
        <v>66.4953</v>
      </c>
      <c r="E24" s="23">
        <f>'Annual Raw'!F13</f>
        <v>69.209500000000006</v>
      </c>
      <c r="F24" s="23">
        <f>'Annual Raw'!G13</f>
        <v>77.414100000000005</v>
      </c>
      <c r="G24" s="23">
        <f>'Annual Raw'!H13</f>
        <v>67.166200000000003</v>
      </c>
      <c r="H24" s="23">
        <f>'Annual Raw'!I13</f>
        <v>64.677099999999996</v>
      </c>
      <c r="I24" s="23">
        <f>'Annual Raw'!J13</f>
        <v>63.030099999999997</v>
      </c>
      <c r="J24" s="23">
        <f>'Annual Raw'!K13</f>
        <v>94.786600000000007</v>
      </c>
      <c r="K24" s="23">
        <f>'Annual Raw'!L13</f>
        <v>79.300600000000003</v>
      </c>
      <c r="L24" s="23">
        <f>'Annual Raw'!M13</f>
        <v>90.143299999999996</v>
      </c>
      <c r="M24" s="23">
        <f>'Annual Raw'!N13</f>
        <v>105.6284</v>
      </c>
      <c r="N24" s="23">
        <f>'Annual Raw'!O13</f>
        <v>139.4751</v>
      </c>
      <c r="O24" s="23">
        <f>'Annual Raw'!P13</f>
        <v>145.30699999999999</v>
      </c>
      <c r="P24" s="23">
        <f>'Annual Raw'!Q13</f>
        <v>144.34460000000001</v>
      </c>
      <c r="Q24" s="23">
        <f>'Annual Raw'!R13</f>
        <v>129.99860000000001</v>
      </c>
      <c r="R24" s="23">
        <f>'Annual Raw'!S13</f>
        <v>116.64</v>
      </c>
      <c r="S24" s="23">
        <f>'Annual Raw'!T13</f>
        <v>139.96</v>
      </c>
      <c r="T24" s="23">
        <f>'Annual Raw'!U13</f>
        <v>155.63999999999999</v>
      </c>
      <c r="U24" s="23">
        <f>'Annual Raw'!V13</f>
        <v>138.80000000000001</v>
      </c>
      <c r="V24" s="23">
        <f>'Annual Raw'!W13</f>
        <v>104.05</v>
      </c>
      <c r="W24" s="23">
        <f>'Annual Raw'!X13</f>
        <v>184.77</v>
      </c>
      <c r="X24" s="23">
        <f>'Annual Raw'!Y13</f>
        <v>281.18</v>
      </c>
      <c r="Y24" s="23">
        <f>'Annual Raw'!Z13</f>
        <v>257.08999999999997</v>
      </c>
      <c r="Z24" s="23">
        <f>'Annual Raw'!AA13</f>
        <v>242.48</v>
      </c>
      <c r="AA24" s="23">
        <f>'Annual Raw'!AB13</f>
        <v>203.03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37.64</v>
      </c>
      <c r="AJ24" s="23">
        <f>'QTR Raw'!D15</f>
        <v>37.08</v>
      </c>
      <c r="AK24" s="23">
        <f>'QTR Raw'!E15</f>
        <v>34.17</v>
      </c>
      <c r="AL24" s="23">
        <f>'QTR Raw'!F15</f>
        <v>35.39</v>
      </c>
      <c r="AM24" s="23">
        <f>'QTR Raw'!G15</f>
        <v>34.94</v>
      </c>
      <c r="AN24" s="23">
        <f>'QTR Raw'!H15</f>
        <v>38.049999999999997</v>
      </c>
      <c r="AO24" s="23">
        <f>'QTR Raw'!I15</f>
        <v>38.42</v>
      </c>
      <c r="AP24" s="23">
        <f>'QTR Raw'!J15</f>
        <v>36.15</v>
      </c>
      <c r="AQ24" s="23">
        <f>'QTR Raw'!K15</f>
        <v>36.1</v>
      </c>
      <c r="AR24" s="23">
        <f>'QTR Raw'!L15</f>
        <v>37.4</v>
      </c>
      <c r="AS24" s="23">
        <f>'QTR Raw'!M15</f>
        <v>38.06</v>
      </c>
      <c r="AT24" s="23">
        <f>'QTR Raw'!N15</f>
        <v>35.11</v>
      </c>
      <c r="AU24" s="23">
        <f>'QTR Raw'!O15</f>
        <v>37.81</v>
      </c>
      <c r="AV24" s="23">
        <f>'QTR Raw'!P15</f>
        <v>32.090000000000003</v>
      </c>
      <c r="AW24" s="23">
        <f>'QTR Raw'!Q15</f>
        <v>29.96</v>
      </c>
      <c r="AX24" s="23">
        <f>'QTR Raw'!R15</f>
        <v>31.94</v>
      </c>
      <c r="AY24" s="23">
        <f>'QTR Raw'!S15</f>
        <v>26.71</v>
      </c>
      <c r="AZ24" s="23">
        <f>'QTR Raw'!T15</f>
        <v>31.98</v>
      </c>
      <c r="BA24" s="23">
        <f>'QTR Raw'!U15</f>
        <v>29.75</v>
      </c>
      <c r="BB24" s="23">
        <f>'QTR Raw'!V15</f>
        <v>31.51</v>
      </c>
      <c r="BC24" s="23">
        <f>'QTR Raw'!W15</f>
        <v>36.39</v>
      </c>
      <c r="BD24" s="23">
        <f>'QTR Raw'!X15</f>
        <v>31.27</v>
      </c>
      <c r="BE24" s="23">
        <f>'QTR Raw'!Y15</f>
        <v>36.25</v>
      </c>
      <c r="BF24" s="23">
        <f>'QTR Raw'!Z15</f>
        <v>38.24</v>
      </c>
      <c r="BG24" s="23">
        <f>'QTR Raw'!AA15</f>
        <v>44.92</v>
      </c>
      <c r="BH24" s="23">
        <f>'QTR Raw'!AB15</f>
        <v>36.049999999999997</v>
      </c>
      <c r="BI24" s="23">
        <f>'QTR Raw'!AC15</f>
        <v>39.049999999999997</v>
      </c>
      <c r="BJ24" s="23">
        <f>'QTR Raw'!AD15</f>
        <v>37.81</v>
      </c>
      <c r="BK24" s="23">
        <f>'QTR Raw'!AE15</f>
        <v>35.159999999999997</v>
      </c>
      <c r="BL24" s="23">
        <f>'QTR Raw'!AF15</f>
        <v>33.700000000000003</v>
      </c>
      <c r="BM24" s="23">
        <f>'QTR Raw'!AG15</f>
        <v>38.840000000000003</v>
      </c>
      <c r="BN24" s="23">
        <f>'QTR Raw'!AH15</f>
        <v>33.229999999999997</v>
      </c>
      <c r="BO24" s="23">
        <f>'QTR Raw'!AI15</f>
        <v>26.68</v>
      </c>
      <c r="BP24" s="23">
        <f>'QTR Raw'!AJ15</f>
        <v>25.62</v>
      </c>
      <c r="BQ24" s="23">
        <f>'QTR Raw'!AK15</f>
        <v>22.97</v>
      </c>
      <c r="BR24" s="23">
        <f>'QTR Raw'!AL15</f>
        <v>30.66</v>
      </c>
      <c r="BS24" s="23">
        <f>'QTR Raw'!AM15</f>
        <v>38.61</v>
      </c>
      <c r="BT24" s="23">
        <f>'QTR Raw'!AN15</f>
        <v>43.5</v>
      </c>
      <c r="BU24" s="23">
        <f>'QTR Raw'!AO15</f>
        <v>51.16</v>
      </c>
      <c r="BV24" s="23">
        <f>'QTR Raw'!AP15</f>
        <v>53.57</v>
      </c>
      <c r="BW24" s="23">
        <f>'QTR Raw'!AQ15</f>
        <v>67.349999999999994</v>
      </c>
      <c r="BX24" s="23">
        <f>'QTR Raw'!AR15</f>
        <v>69.56</v>
      </c>
      <c r="BY24" s="23">
        <f>'QTR Raw'!AS15</f>
        <v>74.959999999999994</v>
      </c>
      <c r="BZ24" s="23">
        <f>'QTR Raw'!AT15</f>
        <v>70.62</v>
      </c>
      <c r="CA24" s="23">
        <f>'QTR Raw'!AU15</f>
        <v>73.430000000000007</v>
      </c>
      <c r="CB24" s="23">
        <f>'QTR Raw'!AV15</f>
        <v>62.89</v>
      </c>
      <c r="CC24" s="23">
        <f>'QTR Raw'!AW15</f>
        <v>58.79</v>
      </c>
      <c r="CD24" s="23">
        <f>'QTR Raw'!AX15</f>
        <v>63.07</v>
      </c>
      <c r="CE24" s="23">
        <f>'QTR Raw'!AY15</f>
        <v>65.05</v>
      </c>
      <c r="CF24" s="23">
        <f>'QTR Raw'!AZ15</f>
        <v>61.27</v>
      </c>
      <c r="CG24" s="23">
        <f>'QTR Raw'!BA15</f>
        <v>60.49</v>
      </c>
      <c r="CH24" s="23">
        <f>'QTR Raw'!BB15</f>
        <v>56.84</v>
      </c>
      <c r="CI24" s="23">
        <f>'QTR Raw'!BC15</f>
        <v>53.93</v>
      </c>
      <c r="CJ24" s="23">
        <f>'QTR Raw'!BD15</f>
        <v>49.17</v>
      </c>
      <c r="CK24" s="23">
        <f>'QTR Raw'!BE15</f>
        <v>48.96</v>
      </c>
      <c r="CL24" s="23">
        <f>'QTR Raw'!BF15</f>
        <v>52.21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204.27</v>
      </c>
    </row>
    <row r="25" spans="1:110" s="23" customFormat="1" outlineLevel="1" x14ac:dyDescent="0.2">
      <c r="A25" s="23" t="s">
        <v>11</v>
      </c>
      <c r="B25" s="23">
        <f>'Annual Raw'!C18</f>
        <v>3.3458999999999999</v>
      </c>
      <c r="C25" s="23">
        <f>'Annual Raw'!D18</f>
        <v>3.4695999999999998</v>
      </c>
      <c r="D25" s="23">
        <f>'Annual Raw'!E18</f>
        <v>4.1288999999999998</v>
      </c>
      <c r="E25" s="23">
        <f>'Annual Raw'!F18</f>
        <v>10.270300000000001</v>
      </c>
      <c r="F25" s="23">
        <f>'Annual Raw'!G18</f>
        <v>10.0297</v>
      </c>
      <c r="G25" s="23">
        <f>'Annual Raw'!H18</f>
        <v>11.057399999999999</v>
      </c>
      <c r="H25" s="23">
        <f>'Annual Raw'!I18</f>
        <v>12.4848</v>
      </c>
      <c r="I25" s="23">
        <f>'Annual Raw'!J18</f>
        <v>14.438000000000001</v>
      </c>
      <c r="J25" s="23">
        <f>'Annual Raw'!K18</f>
        <v>15.545299999999999</v>
      </c>
      <c r="K25" s="23">
        <f>'Annual Raw'!L18</f>
        <v>13.7639</v>
      </c>
      <c r="L25" s="23">
        <f>'Annual Raw'!M18</f>
        <v>31.7074</v>
      </c>
      <c r="M25" s="23">
        <f>'Annual Raw'!N18</f>
        <v>31.236000000000001</v>
      </c>
      <c r="N25" s="23">
        <f>'Annual Raw'!O18</f>
        <v>47.846400000000003</v>
      </c>
      <c r="O25" s="23">
        <f>'Annual Raw'!P18</f>
        <v>53.564799999999998</v>
      </c>
      <c r="P25" s="23">
        <f>'Annual Raw'!Q18</f>
        <v>61.466999999999999</v>
      </c>
      <c r="Q25" s="23">
        <f>'Annual Raw'!R18</f>
        <v>57.036200000000001</v>
      </c>
      <c r="R25" s="23">
        <f>'Annual Raw'!S18</f>
        <v>38.93</v>
      </c>
      <c r="S25" s="23">
        <f>'Annual Raw'!T18</f>
        <v>25.77</v>
      </c>
      <c r="T25" s="23">
        <f>'Annual Raw'!U18</f>
        <v>32.14</v>
      </c>
      <c r="U25" s="23">
        <f>'Annual Raw'!V18</f>
        <v>35.42</v>
      </c>
      <c r="V25" s="23">
        <f>'Annual Raw'!W18</f>
        <v>36.380000000000003</v>
      </c>
      <c r="W25" s="23">
        <f>'Annual Raw'!X18</f>
        <v>68.45</v>
      </c>
      <c r="X25" s="23">
        <f>'Annual Raw'!Y18</f>
        <v>80.459999999999994</v>
      </c>
      <c r="Y25" s="23">
        <f>'Annual Raw'!Z18</f>
        <v>52.59</v>
      </c>
      <c r="Z25" s="23">
        <f>'Annual Raw'!AA18</f>
        <v>60.16</v>
      </c>
      <c r="AA25" s="23">
        <f>'Annual Raw'!AB18</f>
        <v>63.15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150.24510000000001</v>
      </c>
      <c r="C26" s="22">
        <f t="shared" si="256"/>
        <v>170.26010000000002</v>
      </c>
      <c r="D26" s="22">
        <f t="shared" si="256"/>
        <v>177.52639999999997</v>
      </c>
      <c r="E26" s="22">
        <f t="shared" si="256"/>
        <v>194.63589999999999</v>
      </c>
      <c r="F26" s="22">
        <f t="shared" ref="F26:AE26" si="257">+SUM(F20:F25)</f>
        <v>206.2878</v>
      </c>
      <c r="G26" s="22">
        <f t="shared" si="257"/>
        <v>211.77350000000001</v>
      </c>
      <c r="H26" s="22">
        <f t="shared" si="257"/>
        <v>221.32300000000001</v>
      </c>
      <c r="I26" s="22">
        <f t="shared" si="257"/>
        <v>234.81909999999999</v>
      </c>
      <c r="J26" s="22">
        <f t="shared" si="257"/>
        <v>288.16079999999999</v>
      </c>
      <c r="K26" s="22">
        <f t="shared" si="257"/>
        <v>274.73149999999998</v>
      </c>
      <c r="L26" s="22">
        <f t="shared" si="257"/>
        <v>311.22360000000003</v>
      </c>
      <c r="M26" s="22">
        <f t="shared" si="257"/>
        <v>338.7971</v>
      </c>
      <c r="N26" s="22">
        <f t="shared" si="257"/>
        <v>444.45640000000003</v>
      </c>
      <c r="O26" s="22">
        <f t="shared" si="257"/>
        <v>488.55920000000003</v>
      </c>
      <c r="P26" s="22">
        <f t="shared" si="257"/>
        <v>500.50409999999999</v>
      </c>
      <c r="Q26" s="22">
        <f t="shared" si="257"/>
        <v>490.79629999999997</v>
      </c>
      <c r="R26" s="22">
        <f t="shared" si="257"/>
        <v>484.84</v>
      </c>
      <c r="S26" s="22">
        <f t="shared" si="257"/>
        <v>505.20000000000005</v>
      </c>
      <c r="T26" s="22">
        <f t="shared" si="257"/>
        <v>582.7399999999999</v>
      </c>
      <c r="U26" s="22">
        <f t="shared" si="257"/>
        <v>586.07000000000005</v>
      </c>
      <c r="V26" s="22">
        <f t="shared" si="257"/>
        <v>473.46</v>
      </c>
      <c r="W26" s="22">
        <f t="shared" si="257"/>
        <v>668.82</v>
      </c>
      <c r="X26" s="22">
        <f t="shared" si="257"/>
        <v>913.49</v>
      </c>
      <c r="Y26" s="22">
        <f t="shared" si="257"/>
        <v>844.93</v>
      </c>
      <c r="Z26" s="22">
        <f t="shared" ref="Z26:AA26" si="258">+SUM(Z20:Z25)</f>
        <v>861.67</v>
      </c>
      <c r="AA26" s="22">
        <f t="shared" si="258"/>
        <v>813.2399999999999</v>
      </c>
      <c r="AB26" s="21">
        <f t="shared" si="257"/>
        <v>468.26052222501414</v>
      </c>
      <c r="AC26" s="21">
        <f t="shared" si="257"/>
        <v>467.78795839470268</v>
      </c>
      <c r="AD26" s="21">
        <f t="shared" si="257"/>
        <v>469.54449995166158</v>
      </c>
      <c r="AE26" s="21">
        <f t="shared" si="257"/>
        <v>471.93598474064947</v>
      </c>
      <c r="AI26" s="22">
        <f t="shared" ref="AI26:BN26" si="259">+SUM(AI20:AI25)</f>
        <v>73.58</v>
      </c>
      <c r="AJ26" s="22">
        <f t="shared" si="259"/>
        <v>75.97999999999999</v>
      </c>
      <c r="AK26" s="22">
        <f t="shared" si="259"/>
        <v>70.5</v>
      </c>
      <c r="AL26" s="22">
        <f t="shared" si="259"/>
        <v>72.28</v>
      </c>
      <c r="AM26" s="22">
        <f t="shared" si="259"/>
        <v>74.97999999999999</v>
      </c>
      <c r="AN26" s="22">
        <f t="shared" si="259"/>
        <v>79.59</v>
      </c>
      <c r="AO26" s="22">
        <f t="shared" si="259"/>
        <v>81.61</v>
      </c>
      <c r="AP26" s="22">
        <f t="shared" si="259"/>
        <v>77.69</v>
      </c>
      <c r="AQ26" s="22">
        <f t="shared" si="259"/>
        <v>77.2</v>
      </c>
      <c r="AR26" s="22">
        <f t="shared" si="259"/>
        <v>81.509999999999991</v>
      </c>
      <c r="AS26" s="22">
        <f t="shared" si="259"/>
        <v>82.18</v>
      </c>
      <c r="AT26" s="22">
        <f t="shared" si="259"/>
        <v>83.15</v>
      </c>
      <c r="AU26" s="22">
        <f t="shared" si="259"/>
        <v>86.07</v>
      </c>
      <c r="AV26" s="22">
        <f t="shared" si="259"/>
        <v>80.25</v>
      </c>
      <c r="AW26" s="22">
        <f t="shared" si="259"/>
        <v>76.990000000000009</v>
      </c>
      <c r="AX26" s="22">
        <f t="shared" si="259"/>
        <v>84.21</v>
      </c>
      <c r="AY26" s="22">
        <f t="shared" si="259"/>
        <v>69.69</v>
      </c>
      <c r="AZ26" s="22">
        <f t="shared" si="259"/>
        <v>73.650000000000006</v>
      </c>
      <c r="BA26" s="22">
        <f t="shared" si="259"/>
        <v>73.789999999999992</v>
      </c>
      <c r="BB26" s="22">
        <f t="shared" si="259"/>
        <v>78.94</v>
      </c>
      <c r="BC26" s="22">
        <f t="shared" si="259"/>
        <v>77.849999999999994</v>
      </c>
      <c r="BD26" s="22">
        <f t="shared" si="259"/>
        <v>72.069999999999993</v>
      </c>
      <c r="BE26" s="22">
        <f t="shared" si="259"/>
        <v>78.319999999999993</v>
      </c>
      <c r="BF26" s="22">
        <f t="shared" si="259"/>
        <v>80.62</v>
      </c>
      <c r="BG26" s="22">
        <f t="shared" si="259"/>
        <v>87.460000000000008</v>
      </c>
      <c r="BH26" s="22">
        <f t="shared" si="259"/>
        <v>79.62</v>
      </c>
      <c r="BI26" s="22">
        <f t="shared" si="259"/>
        <v>84.09</v>
      </c>
      <c r="BJ26" s="22">
        <f t="shared" si="259"/>
        <v>84.72</v>
      </c>
      <c r="BK26" s="22">
        <f t="shared" si="259"/>
        <v>81.78</v>
      </c>
      <c r="BL26" s="22">
        <f t="shared" si="259"/>
        <v>86.13</v>
      </c>
      <c r="BM26" s="22">
        <f t="shared" si="259"/>
        <v>87.81</v>
      </c>
      <c r="BN26" s="22">
        <f t="shared" si="259"/>
        <v>83.27</v>
      </c>
      <c r="BO26" s="22">
        <f t="shared" ref="BO26:CH26" si="260">+SUM(BO20:BO25)</f>
        <v>67.849999999999994</v>
      </c>
      <c r="BP26" s="22">
        <f t="shared" si="260"/>
        <v>73.87</v>
      </c>
      <c r="BQ26" s="22">
        <f t="shared" si="260"/>
        <v>61.56</v>
      </c>
      <c r="BR26" s="22">
        <f t="shared" si="260"/>
        <v>85.179999999999993</v>
      </c>
      <c r="BS26" s="22">
        <f t="shared" si="260"/>
        <v>90.93</v>
      </c>
      <c r="BT26" s="22">
        <f t="shared" si="260"/>
        <v>105.61</v>
      </c>
      <c r="BU26" s="22">
        <f t="shared" si="260"/>
        <v>105.21</v>
      </c>
      <c r="BV26" s="22">
        <f t="shared" si="260"/>
        <v>110.43</v>
      </c>
      <c r="BW26" s="22">
        <f t="shared" si="260"/>
        <v>134.43</v>
      </c>
      <c r="BX26" s="22">
        <f t="shared" si="260"/>
        <v>139.98000000000002</v>
      </c>
      <c r="BY26" s="22">
        <f t="shared" si="260"/>
        <v>142.91999999999999</v>
      </c>
      <c r="BZ26" s="22">
        <f t="shared" si="260"/>
        <v>138.07</v>
      </c>
      <c r="CA26" s="22">
        <f t="shared" si="260"/>
        <v>134.26</v>
      </c>
      <c r="CB26" s="22">
        <f t="shared" si="260"/>
        <v>121.88</v>
      </c>
      <c r="CC26" s="22">
        <f t="shared" si="260"/>
        <v>119.41</v>
      </c>
      <c r="CD26" s="22">
        <f t="shared" si="260"/>
        <v>122.56</v>
      </c>
      <c r="CE26" s="22">
        <f t="shared" si="260"/>
        <v>135.31</v>
      </c>
      <c r="CF26" s="22">
        <f t="shared" si="260"/>
        <v>129.87</v>
      </c>
      <c r="CG26" s="22">
        <f t="shared" si="260"/>
        <v>127.55000000000001</v>
      </c>
      <c r="CH26" s="22">
        <f t="shared" si="260"/>
        <v>129.15</v>
      </c>
      <c r="CI26" s="22">
        <f t="shared" ref="CI26:CJ26" si="261">+SUM(CI20:CI25)</f>
        <v>115.9</v>
      </c>
      <c r="CJ26" s="22">
        <f t="shared" si="261"/>
        <v>110.12</v>
      </c>
      <c r="CK26" s="22">
        <f t="shared" ref="CK26:CL26" si="262">+SUM(CK20:CK25)</f>
        <v>112.84</v>
      </c>
      <c r="CL26" s="22">
        <f t="shared" si="262"/>
        <v>134.81</v>
      </c>
      <c r="CM26" s="21">
        <f t="shared" ref="CM26:DB26" si="263">CM27*CM10</f>
        <v>105.73965213388372</v>
      </c>
      <c r="CN26" s="21">
        <f t="shared" si="263"/>
        <v>94.91595053262462</v>
      </c>
      <c r="CO26" s="21">
        <f t="shared" si="263"/>
        <v>105.32165797937199</v>
      </c>
      <c r="CP26" s="21">
        <f t="shared" si="263"/>
        <v>162.28326157913389</v>
      </c>
      <c r="CQ26" s="21">
        <f t="shared" si="263"/>
        <v>101.78845765078154</v>
      </c>
      <c r="CR26" s="21">
        <f t="shared" si="263"/>
        <v>92.620406739020396</v>
      </c>
      <c r="CS26" s="21">
        <f t="shared" si="263"/>
        <v>106.26985051968674</v>
      </c>
      <c r="CT26" s="21">
        <f t="shared" si="263"/>
        <v>167.10924348521408</v>
      </c>
      <c r="CU26" s="21">
        <f t="shared" si="263"/>
        <v>101.13943455708677</v>
      </c>
      <c r="CV26" s="21">
        <f t="shared" si="263"/>
        <v>92.774586295748009</v>
      </c>
      <c r="CW26" s="21">
        <f t="shared" si="263"/>
        <v>107.15588196022921</v>
      </c>
      <c r="CX26" s="21">
        <f t="shared" si="263"/>
        <v>168.4745971385976</v>
      </c>
      <c r="CY26" s="21">
        <f t="shared" si="263"/>
        <v>101.43418357244354</v>
      </c>
      <c r="CZ26" s="21">
        <f t="shared" si="263"/>
        <v>93.262855909526948</v>
      </c>
      <c r="DA26" s="21">
        <f t="shared" si="263"/>
        <v>107.8166571227306</v>
      </c>
      <c r="DB26" s="21">
        <f t="shared" si="263"/>
        <v>169.42228813594838</v>
      </c>
      <c r="DE26" s="126"/>
      <c r="DF26" s="22">
        <v>473.66999999999996</v>
      </c>
    </row>
    <row r="27" spans="1:110" s="44" customFormat="1" x14ac:dyDescent="0.2">
      <c r="A27" s="43" t="s">
        <v>349</v>
      </c>
      <c r="B27" s="44">
        <f t="shared" ref="B27:E27" si="264">B26/B10</f>
        <v>0.65392334158108811</v>
      </c>
      <c r="C27" s="44">
        <f t="shared" si="264"/>
        <v>0.51977167426154836</v>
      </c>
      <c r="D27" s="44">
        <f t="shared" si="264"/>
        <v>0.50354571103837809</v>
      </c>
      <c r="E27" s="44">
        <f t="shared" si="264"/>
        <v>0.52020153155859561</v>
      </c>
      <c r="F27" s="44">
        <f t="shared" ref="F27:AE27" si="265">F26/F10</f>
        <v>0.53503368084481706</v>
      </c>
      <c r="G27" s="44">
        <f t="shared" si="265"/>
        <v>0.50522729962057888</v>
      </c>
      <c r="H27" s="44">
        <f t="shared" si="265"/>
        <v>0.48366272739947613</v>
      </c>
      <c r="I27" s="44">
        <f t="shared" si="265"/>
        <v>0.47434330612208619</v>
      </c>
      <c r="J27" s="44">
        <f t="shared" si="265"/>
        <v>0.54461179602137388</v>
      </c>
      <c r="K27" s="44">
        <f t="shared" si="265"/>
        <v>0.53947452134244034</v>
      </c>
      <c r="L27" s="44">
        <f t="shared" si="265"/>
        <v>0.54269426222804795</v>
      </c>
      <c r="M27" s="44">
        <f t="shared" si="265"/>
        <v>0.55411716832581592</v>
      </c>
      <c r="N27" s="44">
        <f t="shared" si="265"/>
        <v>0.53320431202458285</v>
      </c>
      <c r="O27" s="44">
        <f t="shared" si="265"/>
        <v>0.48331499069348044</v>
      </c>
      <c r="P27" s="44">
        <f t="shared" si="265"/>
        <v>0.49338042670896265</v>
      </c>
      <c r="Q27" s="44">
        <f t="shared" si="265"/>
        <v>0.47853330969899172</v>
      </c>
      <c r="R27" s="44">
        <f t="shared" si="265"/>
        <v>0.43759307562479127</v>
      </c>
      <c r="S27" s="44">
        <f t="shared" si="265"/>
        <v>0.45718215795046291</v>
      </c>
      <c r="T27" s="44">
        <f t="shared" si="265"/>
        <v>0.43963455575589766</v>
      </c>
      <c r="U27" s="44">
        <f t="shared" si="265"/>
        <v>0.4948870593202449</v>
      </c>
      <c r="V27" s="44">
        <f t="shared" si="265"/>
        <v>0.60540112011866087</v>
      </c>
      <c r="W27" s="44">
        <f t="shared" si="265"/>
        <v>0.49352125147579695</v>
      </c>
      <c r="X27" s="44">
        <f t="shared" si="265"/>
        <v>0.43858747839446893</v>
      </c>
      <c r="Y27" s="44">
        <f t="shared" si="265"/>
        <v>0.46892881126410368</v>
      </c>
      <c r="Z27" s="44">
        <f t="shared" ref="Z27:AA27" si="266">Z26/Z10</f>
        <v>0.49115356992213777</v>
      </c>
      <c r="AA27" s="44">
        <f t="shared" si="266"/>
        <v>0.47545382794001573</v>
      </c>
      <c r="AB27" s="52">
        <f t="shared" si="265"/>
        <v>0.27405826191535448</v>
      </c>
      <c r="AC27" s="52">
        <f t="shared" si="265"/>
        <v>0.27273920026983278</v>
      </c>
      <c r="AD27" s="52">
        <f t="shared" si="265"/>
        <v>0.27237398230807519</v>
      </c>
      <c r="AE27" s="52">
        <f t="shared" si="265"/>
        <v>0.27229574353132924</v>
      </c>
      <c r="AI27" s="44">
        <f t="shared" ref="AI27:BN27" si="267">AI26/AI10</f>
        <v>0.36926628525544514</v>
      </c>
      <c r="AJ27" s="44">
        <f t="shared" si="267"/>
        <v>0.37517282243729005</v>
      </c>
      <c r="AK27" s="44">
        <f t="shared" si="267"/>
        <v>0.35032796660703641</v>
      </c>
      <c r="AL27" s="44">
        <f t="shared" si="267"/>
        <v>0.31321228929236899</v>
      </c>
      <c r="AM27" s="44">
        <f t="shared" si="267"/>
        <v>0.34492593614867967</v>
      </c>
      <c r="AN27" s="44">
        <f t="shared" si="267"/>
        <v>0.31389020350212971</v>
      </c>
      <c r="AO27" s="44">
        <f t="shared" si="267"/>
        <v>0.3219202398327482</v>
      </c>
      <c r="AP27" s="44">
        <f t="shared" si="267"/>
        <v>0.27015091452813128</v>
      </c>
      <c r="AQ27" s="44">
        <f t="shared" si="267"/>
        <v>0.36128790715087983</v>
      </c>
      <c r="AR27" s="44">
        <f t="shared" si="267"/>
        <v>0.35428347894119178</v>
      </c>
      <c r="AS27" s="44">
        <f t="shared" si="267"/>
        <v>0.31743211402526172</v>
      </c>
      <c r="AT27" s="44">
        <f t="shared" si="267"/>
        <v>0.26695132913830749</v>
      </c>
      <c r="AU27" s="44">
        <f t="shared" si="267"/>
        <v>0.36239999999999994</v>
      </c>
      <c r="AV27" s="44">
        <f t="shared" si="267"/>
        <v>0.34737252185957923</v>
      </c>
      <c r="AW27" s="44">
        <f t="shared" si="267"/>
        <v>0.34181317705558523</v>
      </c>
      <c r="AX27" s="44">
        <f t="shared" si="267"/>
        <v>0.24933380707052763</v>
      </c>
      <c r="AY27" s="44">
        <f t="shared" si="267"/>
        <v>0.28817764545341767</v>
      </c>
      <c r="AZ27" s="44">
        <f t="shared" si="267"/>
        <v>0.28314943677674831</v>
      </c>
      <c r="BA27" s="44">
        <f t="shared" si="267"/>
        <v>0.25359131211767127</v>
      </c>
      <c r="BB27" s="44">
        <f t="shared" si="267"/>
        <v>0.25085004289936125</v>
      </c>
      <c r="BC27" s="44">
        <f t="shared" si="267"/>
        <v>0.3262236004022796</v>
      </c>
      <c r="BD27" s="44">
        <f t="shared" si="267"/>
        <v>0.31709785286870817</v>
      </c>
      <c r="BE27" s="44">
        <f t="shared" si="267"/>
        <v>0.265653619157452</v>
      </c>
      <c r="BF27" s="44">
        <f t="shared" si="267"/>
        <v>0.23173325668295491</v>
      </c>
      <c r="BG27" s="44">
        <f t="shared" si="267"/>
        <v>0.3181520552928338</v>
      </c>
      <c r="BH27" s="44">
        <f t="shared" si="267"/>
        <v>0.2403259885300332</v>
      </c>
      <c r="BI27" s="44">
        <f t="shared" si="267"/>
        <v>0.23717388238612325</v>
      </c>
      <c r="BJ27" s="44">
        <f t="shared" si="267"/>
        <v>0.23226230946375701</v>
      </c>
      <c r="BK27" s="44">
        <f t="shared" si="267"/>
        <v>0.29363398082654124</v>
      </c>
      <c r="BL27" s="44">
        <f t="shared" si="267"/>
        <v>0.28714785797632936</v>
      </c>
      <c r="BM27" s="44">
        <f t="shared" si="267"/>
        <v>0.30760877180690815</v>
      </c>
      <c r="BN27" s="44">
        <f t="shared" si="267"/>
        <v>0.25995067586551368</v>
      </c>
      <c r="BO27" s="44">
        <f t="shared" ref="BO27:CH27" si="268">BO26/BO10</f>
        <v>0.4873231343819579</v>
      </c>
      <c r="BP27" s="44">
        <f t="shared" si="268"/>
        <v>0.49109161015822372</v>
      </c>
      <c r="BQ27" s="44">
        <f t="shared" si="268"/>
        <v>0.37417943107221008</v>
      </c>
      <c r="BR27" s="44">
        <f t="shared" si="268"/>
        <v>0.25978224404525907</v>
      </c>
      <c r="BS27" s="44">
        <f t="shared" si="268"/>
        <v>0.41699532238833353</v>
      </c>
      <c r="BT27" s="44">
        <f t="shared" si="268"/>
        <v>0.31810240963855424</v>
      </c>
      <c r="BU27" s="44">
        <f t="shared" si="268"/>
        <v>0.31484917404836005</v>
      </c>
      <c r="BV27" s="44">
        <f t="shared" si="268"/>
        <v>0.23446855492802243</v>
      </c>
      <c r="BW27" s="44">
        <f t="shared" si="268"/>
        <v>0.31196769627068299</v>
      </c>
      <c r="BX27" s="44">
        <f t="shared" si="268"/>
        <v>0.26769424948843973</v>
      </c>
      <c r="BY27" s="44">
        <f t="shared" si="268"/>
        <v>0.25713823069034381</v>
      </c>
      <c r="BZ27" s="44">
        <f t="shared" si="268"/>
        <v>0.24088839262347994</v>
      </c>
      <c r="CA27" s="44">
        <f t="shared" si="268"/>
        <v>0.31474318400262558</v>
      </c>
      <c r="CB27" s="44">
        <f t="shared" si="268"/>
        <v>0.33635059057291089</v>
      </c>
      <c r="CC27" s="44">
        <f t="shared" si="268"/>
        <v>0.25220182904935895</v>
      </c>
      <c r="CD27" s="44">
        <f t="shared" si="268"/>
        <v>0.22720278812820943</v>
      </c>
      <c r="CE27" s="44">
        <f t="shared" si="268"/>
        <v>0.32046514932619663</v>
      </c>
      <c r="CF27" s="44">
        <f t="shared" si="268"/>
        <v>0.32592165031244508</v>
      </c>
      <c r="CG27" s="44">
        <f t="shared" si="268"/>
        <v>0.29571325898963674</v>
      </c>
      <c r="CH27" s="44">
        <f t="shared" si="268"/>
        <v>0.25709166915497161</v>
      </c>
      <c r="CI27" s="44">
        <f t="shared" ref="CI27:CJ27" si="269">CI26/CI10</f>
        <v>0.30072651790347693</v>
      </c>
      <c r="CJ27" s="44">
        <f t="shared" si="269"/>
        <v>0.317971817971818</v>
      </c>
      <c r="CK27" s="44">
        <f t="shared" ref="CK27:CL27" si="270">CK26/CK10</f>
        <v>0.29166666666666669</v>
      </c>
      <c r="CL27" s="44">
        <f t="shared" si="270"/>
        <v>0.22778115706947824</v>
      </c>
      <c r="CM27" s="52">
        <f t="shared" ref="CM27:DB27" si="271">AVERAGE(CI27:CL27)</f>
        <v>0.28453653990285999</v>
      </c>
      <c r="CN27" s="52">
        <f t="shared" si="271"/>
        <v>0.28048904540270569</v>
      </c>
      <c r="CO27" s="52">
        <f t="shared" si="271"/>
        <v>0.27111835226042769</v>
      </c>
      <c r="CP27" s="52">
        <f t="shared" si="271"/>
        <v>0.26598127365886792</v>
      </c>
      <c r="CQ27" s="52">
        <f t="shared" si="271"/>
        <v>0.27553130280621529</v>
      </c>
      <c r="CR27" s="52">
        <f t="shared" si="271"/>
        <v>0.27327999353205412</v>
      </c>
      <c r="CS27" s="52">
        <f t="shared" si="271"/>
        <v>0.27147773056439128</v>
      </c>
      <c r="CT27" s="52">
        <f t="shared" si="271"/>
        <v>0.27156757514038216</v>
      </c>
      <c r="CU27" s="52">
        <f t="shared" si="271"/>
        <v>0.27296415051076073</v>
      </c>
      <c r="CV27" s="52">
        <f t="shared" si="271"/>
        <v>0.27232236243689706</v>
      </c>
      <c r="CW27" s="52">
        <f t="shared" si="271"/>
        <v>0.27208295466310783</v>
      </c>
      <c r="CX27" s="52">
        <f t="shared" si="271"/>
        <v>0.27223426068778694</v>
      </c>
      <c r="CY27" s="52">
        <f t="shared" si="271"/>
        <v>0.27240093207463817</v>
      </c>
      <c r="CZ27" s="52">
        <f t="shared" si="271"/>
        <v>0.27226012746560752</v>
      </c>
      <c r="DA27" s="52">
        <f t="shared" si="271"/>
        <v>0.27224456872278513</v>
      </c>
      <c r="DB27" s="52">
        <f t="shared" si="271"/>
        <v>0.27228497223770443</v>
      </c>
      <c r="DE27" s="128"/>
      <c r="DF27" s="44">
        <v>0.27692874348120949</v>
      </c>
    </row>
    <row r="28" spans="1:110" s="26" customFormat="1" x14ac:dyDescent="0.2">
      <c r="A28" s="34" t="s">
        <v>13</v>
      </c>
      <c r="B28" s="26">
        <f t="shared" ref="B28:E28" si="272">B16-B26</f>
        <v>22.214699999999965</v>
      </c>
      <c r="C28" s="26">
        <f t="shared" si="272"/>
        <v>37.86609999999996</v>
      </c>
      <c r="D28" s="26">
        <f t="shared" si="272"/>
        <v>66.389600000000002</v>
      </c>
      <c r="E28" s="26">
        <f t="shared" si="272"/>
        <v>54.762599999999964</v>
      </c>
      <c r="F28" s="26">
        <f t="shared" ref="F28:AE28" si="273">F16-F26</f>
        <v>29.065900000000028</v>
      </c>
      <c r="G28" s="26">
        <f t="shared" si="273"/>
        <v>47.055299999999988</v>
      </c>
      <c r="H28" s="26">
        <f t="shared" si="273"/>
        <v>61.821800000000025</v>
      </c>
      <c r="I28" s="26">
        <f t="shared" si="273"/>
        <v>81.530799999999999</v>
      </c>
      <c r="J28" s="26">
        <f t="shared" si="273"/>
        <v>66.366199999999992</v>
      </c>
      <c r="K28" s="26">
        <f t="shared" si="273"/>
        <v>112.98810000000003</v>
      </c>
      <c r="L28" s="26">
        <f t="shared" si="273"/>
        <v>110.41159999999991</v>
      </c>
      <c r="M28" s="26">
        <f t="shared" si="273"/>
        <v>98.906799999999976</v>
      </c>
      <c r="N28" s="26">
        <f t="shared" si="273"/>
        <v>104.96010000000001</v>
      </c>
      <c r="O28" s="26">
        <f t="shared" si="273"/>
        <v>123.64479999999992</v>
      </c>
      <c r="P28" s="26">
        <f t="shared" si="273"/>
        <v>89.494599999999878</v>
      </c>
      <c r="Q28" s="26">
        <f t="shared" si="273"/>
        <v>107.23919999999998</v>
      </c>
      <c r="R28" s="26">
        <f t="shared" si="273"/>
        <v>213.94</v>
      </c>
      <c r="S28" s="26">
        <f t="shared" si="273"/>
        <v>207.32999999999993</v>
      </c>
      <c r="T28" s="26">
        <f t="shared" si="273"/>
        <v>295.85000000000014</v>
      </c>
      <c r="U28" s="26">
        <f t="shared" si="273"/>
        <v>266.93999999999994</v>
      </c>
      <c r="V28" s="26">
        <f t="shared" si="273"/>
        <v>107.55000000000001</v>
      </c>
      <c r="W28" s="26">
        <f t="shared" si="273"/>
        <v>165.71000000000004</v>
      </c>
      <c r="X28" s="26">
        <f t="shared" si="273"/>
        <v>534.13000000000034</v>
      </c>
      <c r="Y28" s="26">
        <f t="shared" si="273"/>
        <v>339.91999999999996</v>
      </c>
      <c r="Z28" s="26">
        <f t="shared" ref="Z28:AA28" si="274">Z16-Z26</f>
        <v>111.40999999999985</v>
      </c>
      <c r="AA28" s="26">
        <f t="shared" si="274"/>
        <v>95.920000000000073</v>
      </c>
      <c r="AB28" s="27">
        <f t="shared" si="273"/>
        <v>96.164992577112685</v>
      </c>
      <c r="AC28" s="27">
        <f t="shared" si="273"/>
        <v>95.99569402707192</v>
      </c>
      <c r="AD28" s="27">
        <f t="shared" si="273"/>
        <v>96.28878807939293</v>
      </c>
      <c r="AE28" s="27">
        <f t="shared" si="273"/>
        <v>96.75994757322519</v>
      </c>
      <c r="AI28" s="26">
        <f t="shared" ref="AI28:BN28" si="275">AI16-AI26</f>
        <v>28.11</v>
      </c>
      <c r="AJ28" s="26">
        <f t="shared" si="275"/>
        <v>26.930000000000021</v>
      </c>
      <c r="AK28" s="26">
        <f t="shared" si="275"/>
        <v>23.889999999999972</v>
      </c>
      <c r="AL28" s="26">
        <f t="shared" si="275"/>
        <v>26.300000000000011</v>
      </c>
      <c r="AM28" s="26">
        <f t="shared" si="275"/>
        <v>32.450000000000017</v>
      </c>
      <c r="AN28" s="26">
        <f t="shared" si="275"/>
        <v>29.709999999999965</v>
      </c>
      <c r="AO28" s="26">
        <f t="shared" si="275"/>
        <v>23.620000000000019</v>
      </c>
      <c r="AP28" s="26">
        <f t="shared" si="275"/>
        <v>39.04000000000002</v>
      </c>
      <c r="AQ28" s="26">
        <f t="shared" si="275"/>
        <v>25.300000000000026</v>
      </c>
      <c r="AR28" s="26">
        <f t="shared" si="275"/>
        <v>27.589999999999989</v>
      </c>
      <c r="AS28" s="26">
        <f t="shared" si="275"/>
        <v>19.810000000000002</v>
      </c>
      <c r="AT28" s="26">
        <f t="shared" si="275"/>
        <v>16.579999999999941</v>
      </c>
      <c r="AU28" s="26">
        <f t="shared" si="275"/>
        <v>23.459999999999994</v>
      </c>
      <c r="AV28" s="26">
        <f t="shared" si="275"/>
        <v>25.490000000000023</v>
      </c>
      <c r="AW28" s="26">
        <f t="shared" si="275"/>
        <v>20.659999999999968</v>
      </c>
      <c r="AX28" s="26">
        <f t="shared" si="275"/>
        <v>37.429999999999964</v>
      </c>
      <c r="AY28" s="26">
        <f t="shared" si="275"/>
        <v>43.760000000000005</v>
      </c>
      <c r="AZ28" s="26">
        <f t="shared" si="275"/>
        <v>49.830000000000041</v>
      </c>
      <c r="BA28" s="26">
        <f t="shared" si="275"/>
        <v>58.80000000000004</v>
      </c>
      <c r="BB28" s="26">
        <f t="shared" si="275"/>
        <v>61.300000000000068</v>
      </c>
      <c r="BC28" s="26">
        <f t="shared" si="275"/>
        <v>39.869999999999976</v>
      </c>
      <c r="BD28" s="26">
        <f t="shared" si="275"/>
        <v>48.060000000000016</v>
      </c>
      <c r="BE28" s="26">
        <f t="shared" si="275"/>
        <v>47.800000000000026</v>
      </c>
      <c r="BF28" s="26">
        <f t="shared" si="275"/>
        <v>71.459999999999951</v>
      </c>
      <c r="BG28" s="26">
        <f t="shared" si="275"/>
        <v>47.369999999999976</v>
      </c>
      <c r="BH28" s="26">
        <f t="shared" si="275"/>
        <v>82.13</v>
      </c>
      <c r="BI28" s="26">
        <f t="shared" si="275"/>
        <v>83.230000000000018</v>
      </c>
      <c r="BJ28" s="26">
        <f t="shared" si="275"/>
        <v>83.12</v>
      </c>
      <c r="BK28" s="26">
        <f t="shared" si="275"/>
        <v>62.27000000000001</v>
      </c>
      <c r="BL28" s="26">
        <f t="shared" si="275"/>
        <v>72.150000000000006</v>
      </c>
      <c r="BM28" s="26">
        <f t="shared" si="275"/>
        <v>67.829999999999956</v>
      </c>
      <c r="BN28" s="26">
        <f t="shared" si="275"/>
        <v>64.689999999999984</v>
      </c>
      <c r="BO28" s="26">
        <f t="shared" ref="BO28:CT28" si="276">BO16-BO26</f>
        <v>31.47999999999999</v>
      </c>
      <c r="BP28" s="26">
        <f t="shared" si="276"/>
        <v>28.029999999999987</v>
      </c>
      <c r="BQ28" s="26">
        <f t="shared" si="276"/>
        <v>13.799999999999997</v>
      </c>
      <c r="BR28" s="26">
        <f t="shared" si="276"/>
        <v>34.239999999999995</v>
      </c>
      <c r="BS28" s="26">
        <f t="shared" si="276"/>
        <v>31.359999999999971</v>
      </c>
      <c r="BT28" s="26">
        <f t="shared" si="276"/>
        <v>39.950000000000003</v>
      </c>
      <c r="BU28" s="26">
        <f t="shared" si="276"/>
        <v>15.250000000000043</v>
      </c>
      <c r="BV28" s="26">
        <f t="shared" si="276"/>
        <v>79.150000000000006</v>
      </c>
      <c r="BW28" s="26">
        <f t="shared" si="276"/>
        <v>87.81</v>
      </c>
      <c r="BX28" s="26">
        <f t="shared" si="276"/>
        <v>139.63999999999999</v>
      </c>
      <c r="BY28" s="26">
        <f t="shared" si="276"/>
        <v>149.84</v>
      </c>
      <c r="BZ28" s="26">
        <f t="shared" si="276"/>
        <v>156.83999999999997</v>
      </c>
      <c r="CA28" s="26">
        <f t="shared" si="276"/>
        <v>95.100000000000023</v>
      </c>
      <c r="CB28" s="26">
        <f t="shared" si="276"/>
        <v>89.41</v>
      </c>
      <c r="CC28" s="26">
        <f t="shared" si="276"/>
        <v>87.669999999999987</v>
      </c>
      <c r="CD28" s="26">
        <f t="shared" si="276"/>
        <v>67.739999999999924</v>
      </c>
      <c r="CE28" s="26">
        <f t="shared" si="276"/>
        <v>47.81</v>
      </c>
      <c r="CF28" s="26">
        <f t="shared" si="276"/>
        <v>30.740000000000038</v>
      </c>
      <c r="CG28" s="26">
        <f t="shared" si="276"/>
        <v>7.6399999999999295</v>
      </c>
      <c r="CH28" s="26">
        <f t="shared" si="276"/>
        <v>25.22</v>
      </c>
      <c r="CI28" s="26">
        <f t="shared" ref="CI28:CJ28" si="277">CI16-CI26</f>
        <v>21.309999999999974</v>
      </c>
      <c r="CJ28" s="26">
        <f t="shared" si="277"/>
        <v>26.300000000000011</v>
      </c>
      <c r="CK28" s="26">
        <f t="shared" ref="CK28:CL28" si="278">CK16-CK26</f>
        <v>24.70999999999998</v>
      </c>
      <c r="CL28" s="26">
        <f t="shared" si="278"/>
        <v>23.590000000000089</v>
      </c>
      <c r="CM28" s="27">
        <f t="shared" si="276"/>
        <v>21.829294584573049</v>
      </c>
      <c r="CN28" s="27">
        <f t="shared" si="276"/>
        <v>20.16922652820567</v>
      </c>
      <c r="CO28" s="27">
        <f t="shared" si="276"/>
        <v>21.567159060272616</v>
      </c>
      <c r="CP28" s="27">
        <f t="shared" si="276"/>
        <v>32.599312404060981</v>
      </c>
      <c r="CQ28" s="27">
        <f t="shared" si="276"/>
        <v>20.991865096755788</v>
      </c>
      <c r="CR28" s="27">
        <f t="shared" si="276"/>
        <v>19.095988331229051</v>
      </c>
      <c r="CS28" s="27">
        <f t="shared" si="276"/>
        <v>21.736654145062431</v>
      </c>
      <c r="CT28" s="27">
        <f t="shared" si="276"/>
        <v>34.171186454024621</v>
      </c>
      <c r="CU28" s="27">
        <f t="shared" ref="CU28:DB28" si="279">CU16-CU26</f>
        <v>20.770229229724123</v>
      </c>
      <c r="CV28" s="27">
        <f t="shared" si="279"/>
        <v>19.032035568981911</v>
      </c>
      <c r="CW28" s="27">
        <f t="shared" si="279"/>
        <v>21.954487319515238</v>
      </c>
      <c r="CX28" s="27">
        <f t="shared" si="279"/>
        <v>34.532035961171601</v>
      </c>
      <c r="CY28" s="27">
        <f t="shared" si="279"/>
        <v>20.803096052698066</v>
      </c>
      <c r="CZ28" s="27">
        <f t="shared" si="279"/>
        <v>19.120866543802393</v>
      </c>
      <c r="DA28" s="27">
        <f t="shared" si="279"/>
        <v>22.101428333768339</v>
      </c>
      <c r="DB28" s="27">
        <f t="shared" si="279"/>
        <v>34.734556642956221</v>
      </c>
      <c r="DE28" s="121"/>
      <c r="DF28" s="26">
        <v>95.909999999999854</v>
      </c>
    </row>
    <row r="29" spans="1:110" s="168" customFormat="1" x14ac:dyDescent="0.2">
      <c r="A29" s="165" t="s">
        <v>14</v>
      </c>
      <c r="B29" s="166">
        <f t="shared" ref="B29:E29" si="280">B28/B10</f>
        <v>9.6686752887258059E-2</v>
      </c>
      <c r="C29" s="166">
        <f t="shared" si="280"/>
        <v>0.11559799503674198</v>
      </c>
      <c r="D29" s="166">
        <f t="shared" si="280"/>
        <v>0.18831113759730109</v>
      </c>
      <c r="E29" s="166">
        <f t="shared" si="280"/>
        <v>0.14636348377730279</v>
      </c>
      <c r="F29" s="166">
        <f t="shared" ref="F29:AE29" si="281">F28/F10</f>
        <v>7.5386113304167196E-2</v>
      </c>
      <c r="G29" s="166">
        <f t="shared" si="281"/>
        <v>0.11225966493369668</v>
      </c>
      <c r="H29" s="166">
        <f t="shared" si="281"/>
        <v>0.1351007369353612</v>
      </c>
      <c r="I29" s="166">
        <f t="shared" si="281"/>
        <v>0.16469524507494743</v>
      </c>
      <c r="J29" s="166">
        <f t="shared" si="281"/>
        <v>0.12542932757374944</v>
      </c>
      <c r="K29" s="166">
        <f t="shared" si="281"/>
        <v>0.22186826470532797</v>
      </c>
      <c r="L29" s="166">
        <f t="shared" si="281"/>
        <v>0.19252955689548698</v>
      </c>
      <c r="M29" s="166">
        <f t="shared" si="281"/>
        <v>0.16176630775224402</v>
      </c>
      <c r="N29" s="166">
        <f t="shared" si="281"/>
        <v>0.12591826309741838</v>
      </c>
      <c r="O29" s="166">
        <f t="shared" si="281"/>
        <v>0.12231759295761334</v>
      </c>
      <c r="P29" s="166">
        <f t="shared" si="281"/>
        <v>8.8220823637903997E-2</v>
      </c>
      <c r="Q29" s="166">
        <f t="shared" si="281"/>
        <v>0.10455973141091754</v>
      </c>
      <c r="R29" s="166">
        <f t="shared" si="281"/>
        <v>0.19309187071852124</v>
      </c>
      <c r="S29" s="166">
        <f t="shared" si="281"/>
        <v>0.18762386541541853</v>
      </c>
      <c r="T29" s="166">
        <f t="shared" si="281"/>
        <v>0.22319710903727633</v>
      </c>
      <c r="U29" s="166">
        <f t="shared" si="281"/>
        <v>0.22540848638378716</v>
      </c>
      <c r="V29" s="166">
        <f t="shared" si="281"/>
        <v>0.13752141779403115</v>
      </c>
      <c r="W29" s="166">
        <f t="shared" si="281"/>
        <v>0.12227715466351832</v>
      </c>
      <c r="X29" s="166">
        <f t="shared" si="281"/>
        <v>0.25644805070097959</v>
      </c>
      <c r="Y29" s="166">
        <f t="shared" si="281"/>
        <v>0.18865264758606526</v>
      </c>
      <c r="Z29" s="166">
        <f t="shared" ref="Z29:AA29" si="282">Z28/Z10</f>
        <v>6.350391591331403E-2</v>
      </c>
      <c r="AA29" s="166">
        <f t="shared" si="282"/>
        <v>5.6078809669969934E-2</v>
      </c>
      <c r="AB29" s="167">
        <f t="shared" si="281"/>
        <v>5.6282367340209263E-2</v>
      </c>
      <c r="AC29" s="167">
        <f t="shared" si="281"/>
        <v>5.5969351815165595E-2</v>
      </c>
      <c r="AD29" s="167">
        <f t="shared" si="281"/>
        <v>5.5855325029901377E-2</v>
      </c>
      <c r="AE29" s="167">
        <f t="shared" si="281"/>
        <v>5.5828168905117194E-2</v>
      </c>
      <c r="AI29" s="166">
        <f t="shared" ref="AI29:BN29" si="283">AI28/AI10</f>
        <v>0.14107196627521831</v>
      </c>
      <c r="AJ29" s="166">
        <f t="shared" si="283"/>
        <v>0.1329745210349596</v>
      </c>
      <c r="AK29" s="166">
        <f t="shared" si="283"/>
        <v>0.11871397336513603</v>
      </c>
      <c r="AL29" s="166">
        <f t="shared" si="283"/>
        <v>0.11396628677904412</v>
      </c>
      <c r="AM29" s="166">
        <f t="shared" si="283"/>
        <v>0.14927776244364716</v>
      </c>
      <c r="AN29" s="166">
        <f t="shared" si="283"/>
        <v>0.1171714781511278</v>
      </c>
      <c r="AO29" s="166">
        <f t="shared" si="283"/>
        <v>9.3171866987495633E-2</v>
      </c>
      <c r="AP29" s="166">
        <f t="shared" si="283"/>
        <v>0.13575352945267408</v>
      </c>
      <c r="AQ29" s="166">
        <f t="shared" si="283"/>
        <v>0.11840134780980918</v>
      </c>
      <c r="AR29" s="166">
        <f t="shared" si="283"/>
        <v>0.1199200243404181</v>
      </c>
      <c r="AS29" s="166">
        <f t="shared" si="283"/>
        <v>7.6518984897060535E-2</v>
      </c>
      <c r="AT29" s="166">
        <f t="shared" si="283"/>
        <v>5.3229741877487941E-2</v>
      </c>
      <c r="AU29" s="166">
        <f t="shared" si="283"/>
        <v>9.8778947368421022E-2</v>
      </c>
      <c r="AV29" s="166">
        <f t="shared" si="283"/>
        <v>0.11033676737944777</v>
      </c>
      <c r="AW29" s="166">
        <f t="shared" si="283"/>
        <v>9.1724382880482902E-2</v>
      </c>
      <c r="AX29" s="166">
        <f t="shared" si="283"/>
        <v>0.11082489488955993</v>
      </c>
      <c r="AY29" s="166">
        <f t="shared" si="283"/>
        <v>0.18095356241988175</v>
      </c>
      <c r="AZ29" s="166">
        <f t="shared" si="283"/>
        <v>0.19157279612471662</v>
      </c>
      <c r="BA29" s="166">
        <f t="shared" si="283"/>
        <v>0.20207574403739101</v>
      </c>
      <c r="BB29" s="166">
        <f t="shared" si="283"/>
        <v>0.19479487749849075</v>
      </c>
      <c r="BC29" s="166">
        <f t="shared" si="283"/>
        <v>0.16707173985920207</v>
      </c>
      <c r="BD29" s="166">
        <f t="shared" si="283"/>
        <v>0.21145723336853228</v>
      </c>
      <c r="BE29" s="166">
        <f t="shared" si="283"/>
        <v>0.16213282680957883</v>
      </c>
      <c r="BF29" s="166">
        <f t="shared" si="283"/>
        <v>0.20540385168151756</v>
      </c>
      <c r="BG29" s="166">
        <f t="shared" si="283"/>
        <v>0.17231720625682059</v>
      </c>
      <c r="BH29" s="166">
        <f t="shared" si="283"/>
        <v>0.24790220344099001</v>
      </c>
      <c r="BI29" s="166">
        <f t="shared" si="283"/>
        <v>0.23474827245804544</v>
      </c>
      <c r="BJ29" s="166">
        <f t="shared" si="283"/>
        <v>0.22787586358153308</v>
      </c>
      <c r="BK29" s="166">
        <f t="shared" si="283"/>
        <v>0.22358263617105315</v>
      </c>
      <c r="BL29" s="166">
        <f t="shared" si="283"/>
        <v>0.24054009001500254</v>
      </c>
      <c r="BM29" s="166">
        <f t="shared" si="283"/>
        <v>0.23761647866601263</v>
      </c>
      <c r="BN29" s="166">
        <f t="shared" si="283"/>
        <v>0.20194799113414288</v>
      </c>
      <c r="BO29" s="166">
        <f t="shared" ref="BO29:CT29" si="284">BO28/BO10</f>
        <v>0.22610069668893193</v>
      </c>
      <c r="BP29" s="166">
        <f t="shared" si="284"/>
        <v>0.18634490094402334</v>
      </c>
      <c r="BQ29" s="166">
        <f t="shared" si="284"/>
        <v>8.3880379285193263E-2</v>
      </c>
      <c r="BR29" s="166">
        <f t="shared" si="284"/>
        <v>0.10442526457043519</v>
      </c>
      <c r="BS29" s="166">
        <f t="shared" si="284"/>
        <v>0.14381362927634583</v>
      </c>
      <c r="BT29" s="166">
        <f t="shared" si="284"/>
        <v>0.12033132530120483</v>
      </c>
      <c r="BU29" s="166">
        <f t="shared" si="284"/>
        <v>4.563682068470206E-2</v>
      </c>
      <c r="BV29" s="166">
        <f t="shared" si="284"/>
        <v>0.16805384517389274</v>
      </c>
      <c r="BW29" s="166">
        <f t="shared" si="284"/>
        <v>0.20377805110115801</v>
      </c>
      <c r="BX29" s="166">
        <f t="shared" si="284"/>
        <v>0.26704404199575454</v>
      </c>
      <c r="BY29" s="166">
        <f t="shared" si="284"/>
        <v>0.26958852845396813</v>
      </c>
      <c r="BZ29" s="166">
        <f t="shared" si="284"/>
        <v>0.27363609400352423</v>
      </c>
      <c r="CA29" s="166">
        <f t="shared" si="284"/>
        <v>0.22294113510092137</v>
      </c>
      <c r="CB29" s="166">
        <f t="shared" si="284"/>
        <v>0.24674356993045587</v>
      </c>
      <c r="CC29" s="166">
        <f t="shared" si="284"/>
        <v>0.18516484676959466</v>
      </c>
      <c r="CD29" s="166">
        <f t="shared" si="284"/>
        <v>0.12557699794227226</v>
      </c>
      <c r="CE29" s="166">
        <f t="shared" si="284"/>
        <v>0.11323212467138763</v>
      </c>
      <c r="CF29" s="166">
        <f t="shared" si="284"/>
        <v>7.7145079930735147E-2</v>
      </c>
      <c r="CG29" s="166">
        <f t="shared" si="284"/>
        <v>1.7712656202907125E-2</v>
      </c>
      <c r="CH29" s="166">
        <f t="shared" si="284"/>
        <v>5.0204041007265846E-2</v>
      </c>
      <c r="CI29" s="166">
        <f t="shared" ref="CI29:CJ29" si="285">CI28/CI10</f>
        <v>5.5293201868188833E-2</v>
      </c>
      <c r="CJ29" s="166">
        <f t="shared" si="285"/>
        <v>7.5941325941325979E-2</v>
      </c>
      <c r="CK29" s="166">
        <f t="shared" ref="CK29:CL29" si="286">CK28/CK10</f>
        <v>6.3869933829611203E-2</v>
      </c>
      <c r="CL29" s="166">
        <f t="shared" si="286"/>
        <v>3.9858745606920938E-2</v>
      </c>
      <c r="CM29" s="167">
        <f t="shared" si="284"/>
        <v>5.8740801811511707E-2</v>
      </c>
      <c r="CN29" s="167">
        <f t="shared" si="284"/>
        <v>5.9602701797342492E-2</v>
      </c>
      <c r="CO29" s="167">
        <f t="shared" si="284"/>
        <v>5.5518045761346557E-2</v>
      </c>
      <c r="CP29" s="167">
        <f t="shared" si="284"/>
        <v>5.343007374428041E-2</v>
      </c>
      <c r="CQ29" s="167">
        <f t="shared" si="284"/>
        <v>5.6822905778620293E-2</v>
      </c>
      <c r="CR29" s="167">
        <f t="shared" si="284"/>
        <v>5.6343431770397454E-2</v>
      </c>
      <c r="CS29" s="167">
        <f t="shared" si="284"/>
        <v>5.5528614263661173E-2</v>
      </c>
      <c r="CT29" s="167">
        <f t="shared" si="284"/>
        <v>5.5531256389239898E-2</v>
      </c>
      <c r="CU29" s="167">
        <f t="shared" ref="CU29:DB29" si="287">CU28/CU10</f>
        <v>5.6056552050479672E-2</v>
      </c>
      <c r="CV29" s="167">
        <f t="shared" si="287"/>
        <v>5.586496361844457E-2</v>
      </c>
      <c r="CW29" s="167">
        <f t="shared" si="287"/>
        <v>5.5745346580456281E-2</v>
      </c>
      <c r="CX29" s="167">
        <f t="shared" si="287"/>
        <v>5.5799529659655116E-2</v>
      </c>
      <c r="CY29" s="167">
        <f t="shared" si="287"/>
        <v>5.5866597977258868E-2</v>
      </c>
      <c r="CZ29" s="167">
        <f t="shared" si="287"/>
        <v>5.5819109458953679E-2</v>
      </c>
      <c r="DA29" s="167">
        <f t="shared" si="287"/>
        <v>5.5807645919080939E-2</v>
      </c>
      <c r="DB29" s="167">
        <f t="shared" si="287"/>
        <v>5.5823220753737135E-2</v>
      </c>
      <c r="DE29" s="169"/>
      <c r="DF29" s="168">
        <v>5.60732910829961E-2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0.70455149067959599</v>
      </c>
      <c r="D30" s="39">
        <f t="shared" si="288"/>
        <v>0.75327271622903003</v>
      </c>
      <c r="E30" s="39">
        <f t="shared" si="288"/>
        <v>-0.1751328521334673</v>
      </c>
      <c r="F30" s="39">
        <f t="shared" ref="F30:Y30" si="289">+IF(E28&lt;0,1-F28/E28,F28/E28-1)</f>
        <v>-0.46923812967243983</v>
      </c>
      <c r="G30" s="39">
        <f t="shared" si="289"/>
        <v>0.61891770081091391</v>
      </c>
      <c r="H30" s="39">
        <f t="shared" si="289"/>
        <v>0.31381162164517162</v>
      </c>
      <c r="I30" s="39">
        <f t="shared" si="289"/>
        <v>0.31880339944809055</v>
      </c>
      <c r="J30" s="39">
        <f t="shared" si="289"/>
        <v>-0.18599842022891966</v>
      </c>
      <c r="K30" s="39">
        <f t="shared" si="289"/>
        <v>0.70249464335761336</v>
      </c>
      <c r="L30" s="39">
        <f t="shared" si="289"/>
        <v>-2.2803286363786257E-2</v>
      </c>
      <c r="M30" s="39">
        <f t="shared" si="289"/>
        <v>-0.10419919646124087</v>
      </c>
      <c r="N30" s="39">
        <f t="shared" si="289"/>
        <v>6.1202060930088065E-2</v>
      </c>
      <c r="O30" s="39">
        <f t="shared" si="289"/>
        <v>0.17801717033424991</v>
      </c>
      <c r="P30" s="39">
        <f t="shared" si="289"/>
        <v>-0.27619600662543076</v>
      </c>
      <c r="Q30" s="39">
        <f t="shared" si="289"/>
        <v>0.19827565015096038</v>
      </c>
      <c r="R30" s="39">
        <f t="shared" si="289"/>
        <v>0.99497944781385939</v>
      </c>
      <c r="S30" s="39">
        <f t="shared" si="289"/>
        <v>-3.0896513041039908E-2</v>
      </c>
      <c r="T30" s="39">
        <f t="shared" si="289"/>
        <v>0.42695220180388871</v>
      </c>
      <c r="U30" s="39">
        <f t="shared" si="289"/>
        <v>-9.7718438397837337E-2</v>
      </c>
      <c r="V30" s="39">
        <f t="shared" si="289"/>
        <v>-0.59710047201618321</v>
      </c>
      <c r="W30" s="39">
        <f t="shared" si="289"/>
        <v>0.5407717340771736</v>
      </c>
      <c r="X30" s="39">
        <f t="shared" si="289"/>
        <v>2.2232816365940513</v>
      </c>
      <c r="Y30" s="39">
        <f t="shared" si="289"/>
        <v>-0.36360062157152806</v>
      </c>
      <c r="Z30" s="39">
        <f t="shared" ref="Z30:AE30" si="290">+IF(Y28&lt;0,1-Z28/Y28,Z28/Y28-1)</f>
        <v>-0.67224641092021686</v>
      </c>
      <c r="AA30" s="39">
        <f t="shared" si="290"/>
        <v>-0.13903599317834847</v>
      </c>
      <c r="AB30" s="40">
        <f t="shared" si="290"/>
        <v>2.5541344569706137E-3</v>
      </c>
      <c r="AC30" s="40">
        <f t="shared" si="290"/>
        <v>-1.7605008382338694E-3</v>
      </c>
      <c r="AD30" s="40">
        <f t="shared" si="290"/>
        <v>3.0531999928908871E-3</v>
      </c>
      <c r="AE30" s="40">
        <f t="shared" si="290"/>
        <v>4.8931916501406825E-3</v>
      </c>
      <c r="AI30" s="39"/>
      <c r="AJ30" s="39"/>
      <c r="AK30" s="39"/>
      <c r="AL30" s="39"/>
      <c r="AM30" s="39">
        <f>+IF(AI28&lt;0,1-AM28/AI28,AM28/AI28-1)</f>
        <v>0.15439345428673135</v>
      </c>
      <c r="AN30" s="39">
        <f t="shared" ref="AN30" si="291">+IF(AJ28&lt;0,1-AN28/AJ28,AN28/AJ28-1)</f>
        <v>0.10323059784626598</v>
      </c>
      <c r="AO30" s="39">
        <f t="shared" ref="AO30" si="292">+IF(AK28&lt;0,1-AO28/AK28,AO28/AK28-1)</f>
        <v>-1.1301799916280997E-2</v>
      </c>
      <c r="AP30" s="39">
        <f t="shared" ref="AP30" si="293">+IF(AL28&lt;0,1-AP28/AL28,AP28/AL28-1)</f>
        <v>0.48441064638783282</v>
      </c>
      <c r="AQ30" s="39">
        <f t="shared" ref="AQ30" si="294">+IF(AM28&lt;0,1-AQ28/AM28,AQ28/AM28-1)</f>
        <v>-0.22033898305084709</v>
      </c>
      <c r="AR30" s="39">
        <f t="shared" ref="AR30" si="295">+IF(AN28&lt;0,1-AR28/AN28,AR28/AN28-1)</f>
        <v>-7.1356445641197475E-2</v>
      </c>
      <c r="AS30" s="39">
        <f t="shared" ref="AS30" si="296">+IF(AO28&lt;0,1-AS28/AO28,AS28/AO28-1)</f>
        <v>-0.1613039796782394</v>
      </c>
      <c r="AT30" s="39">
        <f t="shared" ref="AT30" si="297">+IF(AP28&lt;0,1-AT28/AP28,AT28/AP28-1)</f>
        <v>-0.57530737704918211</v>
      </c>
      <c r="AU30" s="39">
        <f t="shared" ref="AU30" si="298">+IF(AQ28&lt;0,1-AU28/AQ28,AU28/AQ28-1)</f>
        <v>-7.2727272727273862E-2</v>
      </c>
      <c r="AV30" s="39">
        <f t="shared" ref="AV30" si="299">+IF(AR28&lt;0,1-AV28/AR28,AV28/AR28-1)</f>
        <v>-7.6114534251539245E-2</v>
      </c>
      <c r="AW30" s="39">
        <f t="shared" ref="AW30" si="300">+IF(AS28&lt;0,1-AW28/AS28,AW28/AS28-1)</f>
        <v>4.2907622412921009E-2</v>
      </c>
      <c r="AX30" s="39">
        <f t="shared" ref="AX30" si="301">+IF(AT28&lt;0,1-AX28/AT28,AX28/AT28-1)</f>
        <v>1.2575392038600781</v>
      </c>
      <c r="AY30" s="39">
        <f t="shared" ref="AY30" si="302">+IF(AU28&lt;0,1-AY28/AU28,AY28/AU28-1)</f>
        <v>0.86530264279624958</v>
      </c>
      <c r="AZ30" s="39">
        <f t="shared" ref="AZ30" si="303">+IF(AV28&lt;0,1-AZ28/AV28,AZ28/AV28-1)</f>
        <v>0.95488426834052542</v>
      </c>
      <c r="BA30" s="39">
        <f t="shared" ref="BA30" si="304">+IF(AW28&lt;0,1-BA28/AW28,BA28/AW28-1)</f>
        <v>1.8460793804453113</v>
      </c>
      <c r="BB30" s="39">
        <f t="shared" ref="BB30" si="305">+IF(AX28&lt;0,1-BB28/AX28,BB28/AX28-1)</f>
        <v>0.63772375100187362</v>
      </c>
      <c r="BC30" s="39">
        <f t="shared" ref="BC30" si="306">+IF(AY28&lt;0,1-BC28/AY28,BC28/AY28-1)</f>
        <v>-8.8893967093236492E-2</v>
      </c>
      <c r="BD30" s="39">
        <f t="shared" ref="BD30" si="307">+IF(AZ28&lt;0,1-BD28/AZ28,BD28/AZ28-1)</f>
        <v>-3.5520770620108832E-2</v>
      </c>
      <c r="BE30" s="39">
        <f t="shared" ref="BE30" si="308">+IF(BA28&lt;0,1-BE28/BA28,BE28/BA28-1)</f>
        <v>-0.18707482993197289</v>
      </c>
      <c r="BF30" s="39">
        <f t="shared" ref="BF30" si="309">+IF(BB28&lt;0,1-BF28/BB28,BF28/BB28-1)</f>
        <v>0.16574225122348896</v>
      </c>
      <c r="BG30" s="39">
        <f t="shared" ref="BG30" si="310">+IF(BC28&lt;0,1-BG28/BC28,BG28/BC28-1)</f>
        <v>0.18811136192626043</v>
      </c>
      <c r="BH30" s="39">
        <f t="shared" ref="BH30" si="311">+IF(BD28&lt;0,1-BH28/BD28,BH28/BD28-1)</f>
        <v>0.7089055347482307</v>
      </c>
      <c r="BI30" s="39">
        <f t="shared" ref="BI30" si="312">+IF(BE28&lt;0,1-BI28/BE28,BI28/BE28-1)</f>
        <v>0.74121338912133838</v>
      </c>
      <c r="BJ30" s="39">
        <f t="shared" ref="BJ30" si="313">+IF(BF28&lt;0,1-BJ28/BF28,BJ28/BF28-1)</f>
        <v>0.16316820598936554</v>
      </c>
      <c r="BK30" s="39">
        <f t="shared" ref="BK30" si="314">+IF(BG28&lt;0,1-BK28/BG28,BK28/BG28-1)</f>
        <v>0.31454507071986582</v>
      </c>
      <c r="BL30" s="39">
        <f t="shared" ref="BL30" si="315">+IF(BH28&lt;0,1-BL28/BH28,BL28/BH28-1)</f>
        <v>-0.12151467186168263</v>
      </c>
      <c r="BM30" s="39">
        <f t="shared" ref="BM30" si="316">+IF(BI28&lt;0,1-BM28/BI28,BM28/BI28-1)</f>
        <v>-0.18502943650126225</v>
      </c>
      <c r="BN30" s="39">
        <f t="shared" ref="BN30" si="317">+IF(BJ28&lt;0,1-BN28/BJ28,BN28/BJ28-1)</f>
        <v>-0.22172762271414848</v>
      </c>
      <c r="BO30" s="39">
        <f t="shared" ref="BO30" si="318">+IF(BK28&lt;0,1-BO28/BK28,BO28/BK28-1)</f>
        <v>-0.49445961136984129</v>
      </c>
      <c r="BP30" s="39">
        <f t="shared" ref="BP30" si="319">+IF(BL28&lt;0,1-BP28/BL28,BP28/BL28-1)</f>
        <v>-0.61150381150381172</v>
      </c>
      <c r="BQ30" s="39">
        <f t="shared" ref="BQ30" si="320">+IF(BM28&lt;0,1-BQ28/BM28,BQ28/BM28-1)</f>
        <v>-0.7965501990269791</v>
      </c>
      <c r="BR30" s="39">
        <f t="shared" ref="BR30" si="321">+IF(BN28&lt;0,1-BR28/BN28,BR28/BN28-1)</f>
        <v>-0.47070644612768586</v>
      </c>
      <c r="BS30" s="39">
        <f t="shared" ref="BS30" si="322">+IF(BO28&lt;0,1-BS28/BO28,BS28/BO28-1)</f>
        <v>-3.8119440914872182E-3</v>
      </c>
      <c r="BT30" s="39">
        <f t="shared" ref="BT30" si="323">+IF(BP28&lt;0,1-BT28/BP28,BT28/BP28-1)</f>
        <v>0.42525865144488129</v>
      </c>
      <c r="BU30" s="39">
        <f t="shared" ref="BU30" si="324">+IF(BQ28&lt;0,1-BU28/BQ28,BU28/BQ28-1)</f>
        <v>0.1050724637681193</v>
      </c>
      <c r="BV30" s="39">
        <f t="shared" ref="BV30" si="325">+IF(BR28&lt;0,1-BV28/BR28,BV28/BR28-1)</f>
        <v>1.3116238317757016</v>
      </c>
      <c r="BW30" s="39">
        <f t="shared" ref="BW30" si="326">+IF(BS28&lt;0,1-BW28/BS28,BW28/BS28-1)</f>
        <v>1.8000637755102069</v>
      </c>
      <c r="BX30" s="39">
        <f t="shared" ref="BX30" si="327">+IF(BT28&lt;0,1-BX28/BT28,BX28/BT28-1)</f>
        <v>2.4953692115143924</v>
      </c>
      <c r="BY30" s="39">
        <f t="shared" ref="BY30" si="328">+IF(BU28&lt;0,1-BY28/BU28,BY28/BU28-1)</f>
        <v>8.8255737704917756</v>
      </c>
      <c r="BZ30" s="39">
        <f t="shared" ref="BZ30" si="329">+IF(BV28&lt;0,1-BZ28/BV28,BZ28/BV28-1)</f>
        <v>0.98155401137081455</v>
      </c>
      <c r="CA30" s="39">
        <f t="shared" ref="CA30" si="330">+IF(BW28&lt;0,1-CA28/BW28,CA28/BW28-1)</f>
        <v>8.302015715749933E-2</v>
      </c>
      <c r="CB30" s="39">
        <f t="shared" ref="CB30" si="331">+IF(BX28&lt;0,1-CB28/BX28,CB28/BX28-1)</f>
        <v>-0.35971068461758804</v>
      </c>
      <c r="CC30" s="39">
        <f t="shared" ref="CC30" si="332">+IF(BY28&lt;0,1-CC28/BY28,CC28/BY28-1)</f>
        <v>-0.41490923651895362</v>
      </c>
      <c r="CD30" s="39">
        <f t="shared" ref="CD30" si="333">+IF(BZ28&lt;0,1-CD28/BZ28,CD28/BZ28-1)</f>
        <v>-0.5680948737566951</v>
      </c>
      <c r="CE30" s="39">
        <f t="shared" ref="CE30" si="334">+IF(CA28&lt;0,1-CE28/CA28,CE28/CA28-1)</f>
        <v>-0.49726603575184025</v>
      </c>
      <c r="CF30" s="39">
        <f t="shared" ref="CF30" si="335">+IF(CB28&lt;0,1-CF28/CB28,CF28/CB28-1)</f>
        <v>-0.65619058270886876</v>
      </c>
      <c r="CG30" s="39">
        <f t="shared" ref="CG30" si="336">+IF(CC28&lt;0,1-CG28/CC28,CG28/CC28-1)</f>
        <v>-0.9128550245237832</v>
      </c>
      <c r="CH30" s="39">
        <f t="shared" ref="CH30:CL30" si="337">+IF(CD28&lt;0,1-CH28/CD28,CH28/CD28-1)</f>
        <v>-0.62769412459403562</v>
      </c>
      <c r="CI30" s="39">
        <f t="shared" si="337"/>
        <v>-0.55427734783518146</v>
      </c>
      <c r="CJ30" s="39">
        <f t="shared" si="337"/>
        <v>-0.14443721535458753</v>
      </c>
      <c r="CK30" s="39">
        <f t="shared" si="337"/>
        <v>2.2342931937173045</v>
      </c>
      <c r="CL30" s="39">
        <f t="shared" si="337"/>
        <v>-6.4631245043612617E-2</v>
      </c>
      <c r="CM30" s="40">
        <f t="shared" ref="CM30" si="338">+CM28/CI28-1</f>
        <v>2.436858679366849E-2</v>
      </c>
      <c r="CN30" s="40">
        <f t="shared" ref="CN30" si="339">+CN28/CJ28-1</f>
        <v>-0.23310925748267453</v>
      </c>
      <c r="CO30" s="40">
        <f t="shared" ref="CO30" si="340">+CO28/CK28-1</f>
        <v>-0.12718903034105089</v>
      </c>
      <c r="CP30" s="40">
        <f t="shared" ref="CP30" si="341">+CP28/CL28-1</f>
        <v>0.38191235286396186</v>
      </c>
      <c r="CQ30" s="40">
        <f t="shared" ref="CQ30" si="342">+CQ28/CM28-1</f>
        <v>-3.8362645415444541E-2</v>
      </c>
      <c r="CR30" s="40">
        <f t="shared" ref="CR30" si="343">+CR28/CN28-1</f>
        <v>-5.321166855237347E-2</v>
      </c>
      <c r="CS30" s="40">
        <f t="shared" ref="CS30" si="344">+CS28/CO28-1</f>
        <v>7.8589435129650109E-3</v>
      </c>
      <c r="CT30" s="40">
        <f t="shared" ref="CT30" si="345">+CT28/CP28-1</f>
        <v>4.8218012407152067E-2</v>
      </c>
      <c r="CU30" s="40">
        <f t="shared" ref="CU30" si="346">+CU28/CQ28-1</f>
        <v>-1.0558178895019532E-2</v>
      </c>
      <c r="CV30" s="40">
        <f t="shared" ref="CV30" si="347">+CV28/CR28-1</f>
        <v>-3.3490155700689472E-3</v>
      </c>
      <c r="CW30" s="40">
        <f t="shared" ref="CW30" si="348">+CW28/CS28-1</f>
        <v>1.002146756345601E-2</v>
      </c>
      <c r="CX30" s="40">
        <f t="shared" ref="CX30" si="349">+CX28/CT28-1</f>
        <v>1.0560052037773993E-2</v>
      </c>
      <c r="CY30" s="40">
        <f t="shared" ref="CY30" si="350">+CY28/CU28-1</f>
        <v>1.582400589344779E-3</v>
      </c>
      <c r="CZ30" s="40">
        <f t="shared" ref="CZ30" si="351">+CZ28/CV28-1</f>
        <v>4.6674447669305952E-3</v>
      </c>
      <c r="DA30" s="40">
        <f t="shared" ref="DA30" si="352">+DA28/CW28-1</f>
        <v>6.6929831753568259E-3</v>
      </c>
      <c r="DB30" s="40">
        <f t="shared" ref="DB30" si="353">+DB28/CX28-1</f>
        <v>5.8647188370919423E-3</v>
      </c>
      <c r="DE30" s="122"/>
      <c r="DF30" s="38">
        <v>-0.13912575172785224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-4.1977943792243955E-2</v>
      </c>
      <c r="AK31" s="39">
        <f t="shared" ref="AK31:AM31" si="354">+IF(AJ28&lt;0,1-AK28/AJ28,AK28/AJ28-1)</f>
        <v>-0.1128852580764963</v>
      </c>
      <c r="AL31" s="39">
        <f t="shared" si="354"/>
        <v>0.10087902888237932</v>
      </c>
      <c r="AM31" s="39">
        <f t="shared" si="354"/>
        <v>0.23384030418250967</v>
      </c>
      <c r="AN31" s="39">
        <f t="shared" ref="AN31" si="355">+IF(AM28&lt;0,1-AN28/AM28,AN28/AM28-1)</f>
        <v>-8.4437596302004647E-2</v>
      </c>
      <c r="AO31" s="39">
        <f t="shared" ref="AO31" si="356">+IF(AN28&lt;0,1-AO28/AN28,AO28/AN28-1)</f>
        <v>-0.2049814877145727</v>
      </c>
      <c r="AP31" s="39">
        <f t="shared" ref="AP31" si="357">+IF(AO28&lt;0,1-AP28/AO28,AP28/AO28-1)</f>
        <v>0.65283657917019422</v>
      </c>
      <c r="AQ31" s="39">
        <f t="shared" ref="AQ31" si="358">+IF(AP28&lt;0,1-AQ28/AP28,AQ28/AP28-1)</f>
        <v>-0.35194672131147509</v>
      </c>
      <c r="AR31" s="39">
        <f t="shared" ref="AR31" si="359">+IF(AQ28&lt;0,1-AR28/AQ28,AR28/AQ28-1)</f>
        <v>9.0513833992093229E-2</v>
      </c>
      <c r="AS31" s="39">
        <f t="shared" ref="AS31" si="360">+IF(AR28&lt;0,1-AS28/AR28,AS28/AR28-1)</f>
        <v>-0.28198622689380171</v>
      </c>
      <c r="AT31" s="39">
        <f t="shared" ref="AT31" si="361">+IF(AS28&lt;0,1-AT28/AS28,AT28/AS28-1)</f>
        <v>-0.16304896516910961</v>
      </c>
      <c r="AU31" s="39">
        <f t="shared" ref="AU31" si="362">+IF(AT28&lt;0,1-AU28/AT28,AU28/AT28-1)</f>
        <v>0.41495778045838816</v>
      </c>
      <c r="AV31" s="39">
        <f t="shared" ref="AV31" si="363">+IF(AU28&lt;0,1-AV28/AU28,AV28/AU28-1)</f>
        <v>8.6530264279626179E-2</v>
      </c>
      <c r="AW31" s="39">
        <f t="shared" ref="AW31" si="364">+IF(AV28&lt;0,1-AW28/AV28,AW28/AV28-1)</f>
        <v>-0.18948607296979403</v>
      </c>
      <c r="AX31" s="39">
        <f t="shared" ref="AX31" si="365">+IF(AW28&lt;0,1-AX28/AW28,AX28/AW28-1)</f>
        <v>0.81171345595353439</v>
      </c>
      <c r="AY31" s="39">
        <f t="shared" ref="AY31" si="366">+IF(AX28&lt;0,1-AY28/AX28,AY28/AX28-1)</f>
        <v>0.16911568260753529</v>
      </c>
      <c r="AZ31" s="39">
        <f t="shared" ref="AZ31" si="367">+IF(AY28&lt;0,1-AZ28/AY28,AZ28/AY28-1)</f>
        <v>0.13871115173674675</v>
      </c>
      <c r="BA31" s="39">
        <f t="shared" ref="BA31" si="368">+IF(AZ28&lt;0,1-BA28/AZ28,BA28/AZ28-1)</f>
        <v>0.18001204093919299</v>
      </c>
      <c r="BB31" s="39">
        <f t="shared" ref="BB31" si="369">+IF(BA28&lt;0,1-BB28/BA28,BB28/BA28-1)</f>
        <v>4.2517006802721635E-2</v>
      </c>
      <c r="BC31" s="39">
        <f t="shared" ref="BC31" si="370">+IF(BB28&lt;0,1-BC28/BB28,BC28/BB28-1)</f>
        <v>-0.34959216965742368</v>
      </c>
      <c r="BD31" s="39">
        <f t="shared" ref="BD31" si="371">+IF(BC28&lt;0,1-BD28/BC28,BD28/BC28-1)</f>
        <v>0.20541760722347746</v>
      </c>
      <c r="BE31" s="39">
        <f t="shared" ref="BE31" si="372">+IF(BD28&lt;0,1-BE28/BD28,BE28/BD28-1)</f>
        <v>-5.4099042863086089E-3</v>
      </c>
      <c r="BF31" s="39">
        <f t="shared" ref="BF31" si="373">+IF(BE28&lt;0,1-BF28/BE28,BF28/BE28-1)</f>
        <v>0.49497907949790609</v>
      </c>
      <c r="BG31" s="39">
        <f t="shared" ref="BG31" si="374">+IF(BF28&lt;0,1-BG28/BF28,BG28/BF28-1)</f>
        <v>-0.33711167086481941</v>
      </c>
      <c r="BH31" s="39">
        <f t="shared" ref="BH31" si="375">+IF(BG28&lt;0,1-BH28/BG28,BH28/BG28-1)</f>
        <v>0.73379776229681304</v>
      </c>
      <c r="BI31" s="39">
        <f t="shared" ref="BI31" si="376">+IF(BH28&lt;0,1-BI28/BH28,BI28/BH28-1)</f>
        <v>1.3393400706197767E-2</v>
      </c>
      <c r="BJ31" s="39">
        <f t="shared" ref="BJ31" si="377">+IF(BI28&lt;0,1-BJ28/BI28,BJ28/BI28-1)</f>
        <v>-1.3216388321520833E-3</v>
      </c>
      <c r="BK31" s="39">
        <f t="shared" ref="BK31" si="378">+IF(BJ28&lt;0,1-BK28/BJ28,BK28/BJ28-1)</f>
        <v>-0.25084215591915293</v>
      </c>
      <c r="BL31" s="39">
        <f t="shared" ref="BL31" si="379">+IF(BK28&lt;0,1-BL28/BK28,BL28/BK28-1)</f>
        <v>0.1586638830897702</v>
      </c>
      <c r="BM31" s="39">
        <f t="shared" ref="BM31" si="380">+IF(BL28&lt;0,1-BM28/BL28,BM28/BL28-1)</f>
        <v>-5.9875259875260545E-2</v>
      </c>
      <c r="BN31" s="39">
        <f t="shared" ref="BN31" si="381">+IF(BM28&lt;0,1-BN28/BM28,BN28/BM28-1)</f>
        <v>-4.6292201090962326E-2</v>
      </c>
      <c r="BO31" s="39">
        <f t="shared" ref="BO31" si="382">+IF(BN28&lt;0,1-BO28/BN28,BO28/BN28-1)</f>
        <v>-0.51337146390477661</v>
      </c>
      <c r="BP31" s="39">
        <f t="shared" ref="BP31" si="383">+IF(BO28&lt;0,1-BP28/BO28,BP28/BO28-1)</f>
        <v>-0.10959339263024159</v>
      </c>
      <c r="BQ31" s="39">
        <f t="shared" ref="BQ31" si="384">+IF(BP28&lt;0,1-BQ28/BP28,BQ28/BP28-1)</f>
        <v>-0.50767035319300735</v>
      </c>
      <c r="BR31" s="39">
        <f t="shared" ref="BR31" si="385">+IF(BQ28&lt;0,1-BR28/BQ28,BR28/BQ28-1)</f>
        <v>1.4811594202898553</v>
      </c>
      <c r="BS31" s="39">
        <f t="shared" ref="BS31" si="386">+IF(BR28&lt;0,1-BS28/BR28,BS28/BR28-1)</f>
        <v>-8.4112149532710956E-2</v>
      </c>
      <c r="BT31" s="39">
        <f t="shared" ref="BT31" si="387">+IF(BS28&lt;0,1-BT28/BS28,BT28/BS28-1)</f>
        <v>0.27391581632653184</v>
      </c>
      <c r="BU31" s="39">
        <f t="shared" ref="BU31" si="388">+IF(BT28&lt;0,1-BU28/BT28,BU28/BT28-1)</f>
        <v>-0.61827284105131308</v>
      </c>
      <c r="BV31" s="39">
        <f t="shared" ref="BV31" si="389">+IF(BU28&lt;0,1-BV28/BU28,BV28/BU28-1)</f>
        <v>4.1901639344262156</v>
      </c>
      <c r="BW31" s="39">
        <f t="shared" ref="BW31" si="390">+IF(BV28&lt;0,1-BW28/BV28,BW28/BV28-1)</f>
        <v>0.10941250789639922</v>
      </c>
      <c r="BX31" s="39">
        <f t="shared" ref="BX31" si="391">+IF(BW28&lt;0,1-BX28/BW28,BX28/BW28-1)</f>
        <v>0.59025167976312476</v>
      </c>
      <c r="BY31" s="39">
        <f t="shared" ref="BY31" si="392">+IF(BX28&lt;0,1-BY28/BX28,BY28/BX28-1)</f>
        <v>7.3044972787167151E-2</v>
      </c>
      <c r="BZ31" s="39">
        <f t="shared" ref="BZ31" si="393">+IF(BY28&lt;0,1-BZ28/BY28,BZ28/BY28-1)</f>
        <v>4.6716497597437012E-2</v>
      </c>
      <c r="CA31" s="39">
        <f t="shared" ref="CA31" si="394">+IF(BZ28&lt;0,1-CA28/BZ28,CA28/BZ28-1)</f>
        <v>-0.39364957918898213</v>
      </c>
      <c r="CB31" s="39">
        <f t="shared" ref="CB31" si="395">+IF(CA28&lt;0,1-CB28/CA28,CB28/CA28-1)</f>
        <v>-5.9831756046267337E-2</v>
      </c>
      <c r="CC31" s="39">
        <f t="shared" ref="CC31" si="396">+IF(CB28&lt;0,1-CC28/CB28,CC28/CB28-1)</f>
        <v>-1.946091041270559E-2</v>
      </c>
      <c r="CD31" s="39">
        <f t="shared" ref="CD31" si="397">+IF(CC28&lt;0,1-CD28/CC28,CD28/CC28-1)</f>
        <v>-0.22732975932474131</v>
      </c>
      <c r="CE31" s="39">
        <f t="shared" ref="CE31" si="398">+IF(CD28&lt;0,1-CE28/CD28,CE28/CD28-1)</f>
        <v>-0.29421316799527519</v>
      </c>
      <c r="CF31" s="39">
        <f t="shared" ref="CF31" si="399">+IF(CE28&lt;0,1-CF28/CE28,CF28/CE28-1)</f>
        <v>-0.35703827651118936</v>
      </c>
      <c r="CG31" s="39">
        <f t="shared" ref="CG31" si="400">+IF(CF28&lt;0,1-CG28/CF28,CG28/CF28-1)</f>
        <v>-0.75146389069616393</v>
      </c>
      <c r="CH31" s="39">
        <f t="shared" ref="CH31:CI31" si="401">+IF(CG28&lt;0,1-CH28/CG28,CH28/CG28-1)</f>
        <v>2.3010471204188785</v>
      </c>
      <c r="CI31" s="39">
        <f t="shared" si="401"/>
        <v>-0.15503568596352202</v>
      </c>
      <c r="CJ31" s="39">
        <f>+IF(CI28&gt;1,CJ28/CI28-1,1-CJ28/CI28)</f>
        <v>0.23416236508681565</v>
      </c>
      <c r="CK31" s="39">
        <f>+IF(CJ28&gt;1,CK28/CJ28-1,1-CK28/CJ28)</f>
        <v>-6.0456273764259771E-2</v>
      </c>
      <c r="CL31" s="39">
        <f>+IF(CK28&gt;1,CL28/CK28-1,1-CL28/CK28)</f>
        <v>-4.5325779036822778E-2</v>
      </c>
      <c r="CM31" s="40">
        <f t="shared" ref="CM31" si="402">+CM28/CL28-1</f>
        <v>-7.4637787851930204E-2</v>
      </c>
      <c r="CN31" s="40">
        <f t="shared" ref="CN31" si="403">+CN28/CM28-1</f>
        <v>-7.6047718809043152E-2</v>
      </c>
      <c r="CO31" s="40">
        <f t="shared" ref="CO31" si="404">+CO28/CN28-1</f>
        <v>6.931017062612721E-2</v>
      </c>
      <c r="CP31" s="40">
        <f t="shared" ref="CP31" si="405">+CP28/CO28-1</f>
        <v>0.5115255705657562</v>
      </c>
      <c r="CQ31" s="40">
        <f t="shared" ref="CQ31" si="406">+CQ28/CP28-1</f>
        <v>-0.35606417593823925</v>
      </c>
      <c r="CR31" s="40">
        <f t="shared" ref="CR31" si="407">+CR28/CQ28-1</f>
        <v>-9.0314831806904916E-2</v>
      </c>
      <c r="CS31" s="40">
        <f t="shared" ref="CS31" si="408">+CS28/CR28-1</f>
        <v>0.13828379909066602</v>
      </c>
      <c r="CT31" s="40">
        <f t="shared" ref="CT31" si="409">+CT28/CS28-1</f>
        <v>0.57205364845843776</v>
      </c>
      <c r="CU31" s="40">
        <f t="shared" ref="CU31" si="410">+CU28/CT28-1</f>
        <v>-0.39217125932489116</v>
      </c>
      <c r="CV31" s="40">
        <f t="shared" ref="CV31" si="411">+CV28/CU28-1</f>
        <v>-8.3686782727207198E-2</v>
      </c>
      <c r="CW31" s="40">
        <f t="shared" ref="CW31" si="412">+CW28/CV28-1</f>
        <v>0.1535543447226575</v>
      </c>
      <c r="CX31" s="40">
        <f t="shared" ref="CX31" si="413">+CX28/CW28-1</f>
        <v>0.57289193132176863</v>
      </c>
      <c r="CY31" s="40">
        <f t="shared" ref="CY31" si="414">+CY28/CX28-1</f>
        <v>-0.39757111118239841</v>
      </c>
      <c r="CZ31" s="40">
        <f t="shared" ref="CZ31" si="415">+CZ28/CY28-1</f>
        <v>-8.0864382139767876E-2</v>
      </c>
      <c r="DA31" s="40">
        <f t="shared" ref="DA31" si="416">+DA28/CZ28-1</f>
        <v>0.15588005821483186</v>
      </c>
      <c r="DB31" s="40">
        <f t="shared" ref="DB31" si="417">+DB28/DA28-1</f>
        <v>0.5715978224758429</v>
      </c>
      <c r="DE31" s="122"/>
    </row>
    <row r="32" spans="1:110" s="23" customFormat="1" x14ac:dyDescent="0.2">
      <c r="A32" s="23" t="s">
        <v>15</v>
      </c>
      <c r="B32" s="23">
        <f>'Annual Raw'!C27</f>
        <v>13.8019</v>
      </c>
      <c r="C32" s="23">
        <f>'Annual Raw'!D27</f>
        <v>10.6677</v>
      </c>
      <c r="D32" s="23">
        <f>'Annual Raw'!E27</f>
        <v>10.9565</v>
      </c>
      <c r="E32" s="23">
        <f>'Annual Raw'!F27</f>
        <v>11.1106</v>
      </c>
      <c r="F32" s="23">
        <f>'Annual Raw'!G27</f>
        <v>11.279299999999999</v>
      </c>
      <c r="G32" s="23">
        <f>'Annual Raw'!H27</f>
        <v>14.523199999999999</v>
      </c>
      <c r="H32" s="23">
        <f>'Annual Raw'!I27</f>
        <v>14.8337</v>
      </c>
      <c r="I32" s="23">
        <f>'Annual Raw'!J27</f>
        <v>17.415400000000002</v>
      </c>
      <c r="J32" s="23">
        <f>'Annual Raw'!K27</f>
        <v>26.288599999999999</v>
      </c>
      <c r="K32" s="23">
        <f>'Annual Raw'!L27</f>
        <v>33.612499999999997</v>
      </c>
      <c r="L32" s="23">
        <f>'Annual Raw'!M27</f>
        <v>33.994199999999999</v>
      </c>
      <c r="M32" s="23">
        <f>'Annual Raw'!N27</f>
        <v>34.256</v>
      </c>
      <c r="N32" s="23">
        <f>'Annual Raw'!O27</f>
        <v>49.146999999999998</v>
      </c>
      <c r="O32" s="23">
        <f>'Annual Raw'!P27</f>
        <v>48.974899999999998</v>
      </c>
      <c r="P32" s="23">
        <f>'Annual Raw'!Q27</f>
        <v>29.3507</v>
      </c>
      <c r="Q32" s="23">
        <f>'Annual Raw'!R27</f>
        <v>28.810199999999998</v>
      </c>
      <c r="R32" s="23">
        <f>'Annual Raw'!S27</f>
        <v>30.68</v>
      </c>
      <c r="S32" s="23">
        <f>'Annual Raw'!T27</f>
        <v>31.99</v>
      </c>
      <c r="T32" s="23">
        <f>'Annual Raw'!U27</f>
        <v>33.82</v>
      </c>
      <c r="U32" s="23">
        <f>'Annual Raw'!V27</f>
        <v>35.03</v>
      </c>
      <c r="V32" s="23">
        <f>'Annual Raw'!W27</f>
        <v>37.64</v>
      </c>
      <c r="W32" s="23">
        <f>'Annual Raw'!X27</f>
        <v>40.869999999999997</v>
      </c>
      <c r="X32" s="23">
        <f>'Annual Raw'!Y27</f>
        <v>45.29</v>
      </c>
      <c r="Y32" s="23">
        <f>'Annual Raw'!Z27</f>
        <v>43.85</v>
      </c>
      <c r="Z32" s="23">
        <f>'Annual Raw'!AA27</f>
        <v>45.28</v>
      </c>
      <c r="AA32" s="23">
        <f>'Annual Raw'!AB27</f>
        <v>45.01</v>
      </c>
      <c r="AB32" s="76">
        <f>+SUM(CM32:CP32)</f>
        <v>43.097923661175606</v>
      </c>
      <c r="AC32" s="76">
        <f>+SUM(CQ32:CT32)</f>
        <v>40.604426428080977</v>
      </c>
      <c r="AD32" s="76">
        <f>+SUM(CU32:CX32)</f>
        <v>38.255194345677388</v>
      </c>
      <c r="AE32" s="76">
        <f>+SUM(CY32:DB32)</f>
        <v>36.041880729866833</v>
      </c>
      <c r="AI32" s="23">
        <f>'QTR Raw'!C28</f>
        <v>12.32</v>
      </c>
      <c r="AJ32" s="23">
        <f>'QTR Raw'!D28</f>
        <v>12.44</v>
      </c>
      <c r="AK32" s="23">
        <f>'QTR Raw'!E28</f>
        <v>12.44</v>
      </c>
      <c r="AL32" s="23">
        <f>'QTR Raw'!F28</f>
        <v>11.96</v>
      </c>
      <c r="AM32" s="23">
        <f>'QTR Raw'!G28</f>
        <v>12.36</v>
      </c>
      <c r="AN32" s="23">
        <f>'QTR Raw'!H28</f>
        <v>12.45</v>
      </c>
      <c r="AO32" s="23">
        <f>'QTR Raw'!I28</f>
        <v>12.46</v>
      </c>
      <c r="AP32" s="23">
        <f>'QTR Raw'!J28</f>
        <v>11.7</v>
      </c>
      <c r="AQ32" s="23">
        <f>'QTR Raw'!K28</f>
        <v>8.68</v>
      </c>
      <c r="AR32" s="23">
        <f>'QTR Raw'!L28</f>
        <v>6.08</v>
      </c>
      <c r="AS32" s="23">
        <f>'QTR Raw'!M28</f>
        <v>7.44</v>
      </c>
      <c r="AT32" s="23">
        <f>'QTR Raw'!N28</f>
        <v>7.09</v>
      </c>
      <c r="AU32" s="23">
        <f>'QTR Raw'!O28</f>
        <v>7.47</v>
      </c>
      <c r="AV32" s="23">
        <f>'QTR Raw'!P28</f>
        <v>7.55</v>
      </c>
      <c r="AW32" s="23">
        <f>'QTR Raw'!Q28</f>
        <v>7.54</v>
      </c>
      <c r="AX32" s="23">
        <f>'QTR Raw'!R28</f>
        <v>6.19</v>
      </c>
      <c r="AY32" s="23">
        <f>'QTR Raw'!S28</f>
        <v>8.09</v>
      </c>
      <c r="AZ32" s="23">
        <f>'QTR Raw'!T28</f>
        <v>8.18</v>
      </c>
      <c r="BA32" s="23">
        <f>'QTR Raw'!U28</f>
        <v>8.18</v>
      </c>
      <c r="BB32" s="23">
        <f>'QTR Raw'!V28</f>
        <v>6.17</v>
      </c>
      <c r="BC32" s="23">
        <f>'QTR Raw'!W28</f>
        <v>8.25</v>
      </c>
      <c r="BD32" s="23">
        <f>'QTR Raw'!X28</f>
        <v>8.33</v>
      </c>
      <c r="BE32" s="23">
        <f>'QTR Raw'!Y28</f>
        <v>8.34</v>
      </c>
      <c r="BF32" s="23">
        <f>'QTR Raw'!Z28</f>
        <v>7.02</v>
      </c>
      <c r="BG32" s="23">
        <f>'QTR Raw'!AA28</f>
        <v>8.92</v>
      </c>
      <c r="BH32" s="23">
        <f>'QTR Raw'!AB28</f>
        <v>9.01</v>
      </c>
      <c r="BI32" s="23">
        <f>'QTR Raw'!AC28</f>
        <v>9.01</v>
      </c>
      <c r="BJ32" s="23">
        <f>'QTR Raw'!AD28</f>
        <v>6.88</v>
      </c>
      <c r="BK32" s="23">
        <f>'QTR Raw'!AE28</f>
        <v>9.07</v>
      </c>
      <c r="BL32" s="23">
        <f>'QTR Raw'!AF28</f>
        <v>9.17</v>
      </c>
      <c r="BM32" s="23">
        <f>'QTR Raw'!AG28</f>
        <v>9.16</v>
      </c>
      <c r="BN32" s="23">
        <f>'QTR Raw'!AH28</f>
        <v>7.63</v>
      </c>
      <c r="BO32" s="23">
        <f>'QTR Raw'!AI28</f>
        <v>9.16</v>
      </c>
      <c r="BP32" s="23">
        <f>'QTR Raw'!AJ28</f>
        <v>9.27</v>
      </c>
      <c r="BQ32" s="23">
        <f>'QTR Raw'!AK28</f>
        <v>9.4600000000000009</v>
      </c>
      <c r="BR32" s="23">
        <f>'QTR Raw'!AL28</f>
        <v>9.75</v>
      </c>
      <c r="BS32" s="23">
        <f>'QTR Raw'!AM28</f>
        <v>9.8800000000000008</v>
      </c>
      <c r="BT32" s="23">
        <f>'QTR Raw'!AN28</f>
        <v>9.98</v>
      </c>
      <c r="BU32" s="23">
        <f>'QTR Raw'!AO28</f>
        <v>10</v>
      </c>
      <c r="BV32" s="23">
        <f>'QTR Raw'!AP28</f>
        <v>11.01</v>
      </c>
      <c r="BW32" s="23">
        <f>'QTR Raw'!AQ28</f>
        <v>11.79</v>
      </c>
      <c r="BX32" s="23">
        <f>'QTR Raw'!AR28</f>
        <v>11.65</v>
      </c>
      <c r="BY32" s="23">
        <f>'QTR Raw'!AS28</f>
        <v>11.59</v>
      </c>
      <c r="BZ32" s="23">
        <f>'QTR Raw'!AT28</f>
        <v>10.26</v>
      </c>
      <c r="CA32" s="23">
        <f>'QTR Raw'!AU28</f>
        <v>11.45</v>
      </c>
      <c r="CB32" s="23">
        <f>'QTR Raw'!AV28</f>
        <v>11.02</v>
      </c>
      <c r="CC32" s="23">
        <f>'QTR Raw'!AW28</f>
        <v>10.78</v>
      </c>
      <c r="CD32" s="23">
        <f>'QTR Raw'!AX28</f>
        <v>10.6</v>
      </c>
      <c r="CE32" s="23">
        <f>'QTR Raw'!AY28</f>
        <v>11.46</v>
      </c>
      <c r="CF32" s="23">
        <f>'QTR Raw'!AZ28</f>
        <v>11.34</v>
      </c>
      <c r="CG32" s="23">
        <f>'QTR Raw'!BA28</f>
        <v>11.25</v>
      </c>
      <c r="CH32" s="23">
        <f>'QTR Raw'!BB28</f>
        <v>11.23</v>
      </c>
      <c r="CI32" s="23">
        <f>'QTR Raw'!BC28</f>
        <v>11.54</v>
      </c>
      <c r="CJ32" s="23">
        <f>'QTR Raw'!BD28</f>
        <v>11.14</v>
      </c>
      <c r="CK32" s="23">
        <f>'QTR Raw'!BE28</f>
        <v>11.26</v>
      </c>
      <c r="CL32" s="23">
        <f>'QTR Raw'!BF28</f>
        <v>11.07</v>
      </c>
      <c r="CM32" s="24">
        <f t="shared" ref="CM32:DB32" si="418">CM33*CL134</f>
        <v>11.016463869183601</v>
      </c>
      <c r="CN32" s="24">
        <f t="shared" si="418"/>
        <v>10.853541534698861</v>
      </c>
      <c r="CO32" s="24">
        <f t="shared" si="418"/>
        <v>10.693028656405248</v>
      </c>
      <c r="CP32" s="24">
        <f t="shared" si="418"/>
        <v>10.534889600887894</v>
      </c>
      <c r="CQ32" s="24">
        <f t="shared" si="418"/>
        <v>10.379089261714007</v>
      </c>
      <c r="CR32" s="24">
        <f t="shared" si="418"/>
        <v>10.225593051639363</v>
      </c>
      <c r="CS32" s="24">
        <f t="shared" si="418"/>
        <v>10.074366894930014</v>
      </c>
      <c r="CT32" s="24">
        <f t="shared" si="418"/>
        <v>9.9253772197975909</v>
      </c>
      <c r="CU32" s="24">
        <f t="shared" si="418"/>
        <v>9.7785909509464286</v>
      </c>
      <c r="CV32" s="24">
        <f t="shared" si="418"/>
        <v>9.6339755022309781</v>
      </c>
      <c r="CW32" s="24">
        <f t="shared" si="418"/>
        <v>9.4914987694217423</v>
      </c>
      <c r="CX32" s="24">
        <f t="shared" si="418"/>
        <v>9.351129123078243</v>
      </c>
      <c r="CY32" s="24">
        <f t="shared" si="418"/>
        <v>9.2128354015273697</v>
      </c>
      <c r="CZ32" s="24">
        <f t="shared" si="418"/>
        <v>9.0765869039455644</v>
      </c>
      <c r="DA32" s="24">
        <f t="shared" si="418"/>
        <v>8.94235338354334</v>
      </c>
      <c r="DB32" s="24">
        <f t="shared" si="418"/>
        <v>8.8101050408505621</v>
      </c>
      <c r="DE32" s="123"/>
      <c r="DF32" s="23">
        <v>45.01</v>
      </c>
    </row>
    <row r="33" spans="1:110" s="46" customFormat="1" x14ac:dyDescent="0.2">
      <c r="A33" s="46" t="s">
        <v>483</v>
      </c>
      <c r="B33" s="46">
        <f t="shared" ref="B33:D33" si="419">+B32/B134</f>
        <v>7.2365106154958503E-2</v>
      </c>
      <c r="C33" s="46">
        <f t="shared" si="419"/>
        <v>5.701277372165249E-2</v>
      </c>
      <c r="D33" s="46">
        <f t="shared" si="419"/>
        <v>6.1214079713229938E-2</v>
      </c>
      <c r="E33" s="46">
        <f t="shared" ref="E33:AE33" si="420">+E32/E134</f>
        <v>6.4283875223115475E-2</v>
      </c>
      <c r="F33" s="46">
        <f t="shared" si="420"/>
        <v>5.1012373529628577E-2</v>
      </c>
      <c r="G33" s="46">
        <f t="shared" si="420"/>
        <v>6.7461471357952885E-2</v>
      </c>
      <c r="H33" s="46">
        <f t="shared" si="420"/>
        <v>6.2534384278485566E-2</v>
      </c>
      <c r="I33" s="46">
        <f t="shared" si="420"/>
        <v>6.8066981217618616E-2</v>
      </c>
      <c r="J33" s="46">
        <f t="shared" si="420"/>
        <v>4.9919031538203283E-2</v>
      </c>
      <c r="K33" s="46">
        <f t="shared" si="420"/>
        <v>6.7487580678905479E-2</v>
      </c>
      <c r="L33" s="46">
        <f t="shared" si="420"/>
        <v>7.1605509341057944E-2</v>
      </c>
      <c r="M33" s="46">
        <f t="shared" si="420"/>
        <v>7.6119403648380615E-2</v>
      </c>
      <c r="N33" s="46">
        <f t="shared" si="420"/>
        <v>6.8849523578443719E-2</v>
      </c>
      <c r="O33" s="46">
        <f t="shared" si="420"/>
        <v>7.3520155222043332E-2</v>
      </c>
      <c r="P33" s="46">
        <f t="shared" si="420"/>
        <v>4.5176851225479445E-2</v>
      </c>
      <c r="Q33" s="46">
        <f t="shared" si="420"/>
        <v>4.600286426119609E-2</v>
      </c>
      <c r="R33" s="46">
        <f t="shared" si="420"/>
        <v>4.8148148148148141E-2</v>
      </c>
      <c r="S33" s="46">
        <f t="shared" si="420"/>
        <v>4.7558165464952055E-2</v>
      </c>
      <c r="T33" s="46">
        <f t="shared" si="420"/>
        <v>5.0337868008215998E-2</v>
      </c>
      <c r="U33" s="46">
        <f t="shared" si="420"/>
        <v>5.192783764953527E-2</v>
      </c>
      <c r="V33" s="46">
        <f t="shared" si="420"/>
        <v>5.1255515006263956E-2</v>
      </c>
      <c r="W33" s="46">
        <f t="shared" si="420"/>
        <v>5.0144162934789259E-2</v>
      </c>
      <c r="X33" s="46">
        <f t="shared" si="420"/>
        <v>5.6923444314568319E-2</v>
      </c>
      <c r="Y33" s="46">
        <f t="shared" si="420"/>
        <v>5.6508460160569082E-2</v>
      </c>
      <c r="Z33" s="46">
        <f t="shared" si="420"/>
        <v>5.9864880944511291E-2</v>
      </c>
      <c r="AA33" s="46">
        <f t="shared" ref="AA33" si="421">+AA32/AA134</f>
        <v>6.0423406854519329E-2</v>
      </c>
      <c r="AB33" s="110">
        <f t="shared" si="420"/>
        <v>6.1409492817516842E-2</v>
      </c>
      <c r="AC33" s="110">
        <f t="shared" si="420"/>
        <v>6.1409492817516828E-2</v>
      </c>
      <c r="AD33" s="110">
        <f t="shared" si="420"/>
        <v>6.1409492817516828E-2</v>
      </c>
      <c r="AE33" s="110">
        <f t="shared" si="420"/>
        <v>6.1409492817516828E-2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2.8004772517502982E-2</v>
      </c>
      <c r="AL33" s="46">
        <f t="shared" si="422"/>
        <v>2.6924202516827631E-2</v>
      </c>
      <c r="AM33" s="46">
        <f t="shared" si="422"/>
        <v>1.7255821745686045E-2</v>
      </c>
      <c r="AN33" s="46">
        <f t="shared" si="422"/>
        <v>1.7381470933154633E-2</v>
      </c>
      <c r="AO33" s="46">
        <f t="shared" si="422"/>
        <v>1.7902298850574715E-2</v>
      </c>
      <c r="AP33" s="46">
        <f t="shared" si="422"/>
        <v>1.6810344827586206E-2</v>
      </c>
      <c r="AQ33" s="46">
        <f t="shared" si="422"/>
        <v>1.2854688703275871E-2</v>
      </c>
      <c r="AR33" s="46">
        <f t="shared" si="422"/>
        <v>9.0042059119720391E-3</v>
      </c>
      <c r="AS33" s="46">
        <f t="shared" si="422"/>
        <v>1.1202288639614547E-2</v>
      </c>
      <c r="AT33" s="46">
        <f t="shared" si="422"/>
        <v>1.0675299254686441E-2</v>
      </c>
      <c r="AU33" s="46">
        <f t="shared" si="422"/>
        <v>1.1265608976292453E-2</v>
      </c>
      <c r="AV33" s="46">
        <f t="shared" si="422"/>
        <v>1.1386258068408034E-2</v>
      </c>
      <c r="AW33" s="46">
        <f t="shared" si="422"/>
        <v>1.1278307954647441E-2</v>
      </c>
      <c r="AX33" s="46">
        <f t="shared" si="422"/>
        <v>9.2589822598498229E-3</v>
      </c>
      <c r="AY33" s="46">
        <f t="shared" si="422"/>
        <v>1.1954899439937343E-2</v>
      </c>
      <c r="AZ33" s="46">
        <f t="shared" si="422"/>
        <v>1.2087895849034297E-2</v>
      </c>
      <c r="BA33" s="46">
        <f t="shared" si="422"/>
        <v>1.2063829159661388E-2</v>
      </c>
      <c r="BB33" s="46">
        <f t="shared" si="422"/>
        <v>9.0994897206736879E-3</v>
      </c>
      <c r="BC33" s="46">
        <f t="shared" si="422"/>
        <v>1.2947269303201506E-2</v>
      </c>
      <c r="BD33" s="46">
        <f t="shared" si="422"/>
        <v>1.3072818581293156E-2</v>
      </c>
      <c r="BE33" s="46">
        <f t="shared" si="422"/>
        <v>1.2865406864635557E-2</v>
      </c>
      <c r="BF33" s="46">
        <f t="shared" si="422"/>
        <v>1.0829155418434246E-2</v>
      </c>
      <c r="BG33" s="46">
        <f t="shared" si="422"/>
        <v>1.3260982680443024E-2</v>
      </c>
      <c r="BH33" s="46">
        <f t="shared" si="422"/>
        <v>1.339478183304839E-2</v>
      </c>
      <c r="BI33" s="46">
        <f t="shared" si="422"/>
        <v>1.3329782669803086E-2</v>
      </c>
      <c r="BJ33" s="46">
        <f t="shared" si="422"/>
        <v>1.0178568786708683E-2</v>
      </c>
      <c r="BK33" s="46">
        <f t="shared" si="422"/>
        <v>1.349983627541452E-2</v>
      </c>
      <c r="BL33" s="46">
        <f t="shared" si="422"/>
        <v>1.3648676807668264E-2</v>
      </c>
      <c r="BM33" s="46">
        <f t="shared" si="422"/>
        <v>1.3633995683560319E-2</v>
      </c>
      <c r="BN33" s="46">
        <f t="shared" si="422"/>
        <v>1.135670164471236E-2</v>
      </c>
      <c r="BO33" s="46">
        <f t="shared" ref="BO33:CL33" si="423">+BO32/BN134</f>
        <v>1.3578618123601002E-2</v>
      </c>
      <c r="BP33" s="46">
        <f t="shared" si="423"/>
        <v>1.3741680131635511E-2</v>
      </c>
      <c r="BQ33" s="46">
        <f t="shared" si="423"/>
        <v>1.3902973119938865E-2</v>
      </c>
      <c r="BR33" s="46">
        <f t="shared" si="423"/>
        <v>1.432917419866849E-2</v>
      </c>
      <c r="BS33" s="46">
        <f t="shared" si="423"/>
        <v>1.345389182417343E-2</v>
      </c>
      <c r="BT33" s="46">
        <f t="shared" si="423"/>
        <v>1.3590064818345226E-2</v>
      </c>
      <c r="BU33" s="46">
        <f t="shared" si="423"/>
        <v>1.3800908099752963E-2</v>
      </c>
      <c r="BV33" s="46">
        <f t="shared" si="423"/>
        <v>1.5194799817828012E-2</v>
      </c>
      <c r="BW33" s="46">
        <f t="shared" si="423"/>
        <v>1.4465370222685724E-2</v>
      </c>
      <c r="BX33" s="46">
        <f t="shared" si="423"/>
        <v>1.4293601619532545E-2</v>
      </c>
      <c r="BY33" s="46">
        <f t="shared" si="423"/>
        <v>1.4478993591265131E-2</v>
      </c>
      <c r="BZ33" s="46">
        <f t="shared" si="423"/>
        <v>1.2817469736529788E-2</v>
      </c>
      <c r="CA33" s="46">
        <f t="shared" si="423"/>
        <v>1.4391111446275279E-2</v>
      </c>
      <c r="CB33" s="46">
        <f t="shared" si="423"/>
        <v>1.3850659226022145E-2</v>
      </c>
      <c r="CC33" s="46">
        <f t="shared" si="423"/>
        <v>1.3751052376457381E-2</v>
      </c>
      <c r="CD33" s="46">
        <f t="shared" si="423"/>
        <v>1.3521442967574048E-2</v>
      </c>
      <c r="CE33" s="46">
        <f t="shared" si="423"/>
        <v>1.4768231549375637E-2</v>
      </c>
      <c r="CF33" s="46">
        <f t="shared" si="423"/>
        <v>1.4613590381319347E-2</v>
      </c>
      <c r="CG33" s="46">
        <f t="shared" si="423"/>
        <v>1.4744236641721602E-2</v>
      </c>
      <c r="CH33" s="46">
        <f t="shared" si="423"/>
        <v>1.4718024665469653E-2</v>
      </c>
      <c r="CI33" s="46">
        <f t="shared" si="423"/>
        <v>1.5257083173579069E-2</v>
      </c>
      <c r="CJ33" s="46">
        <f t="shared" si="423"/>
        <v>1.4956433011559687E-2</v>
      </c>
      <c r="CK33" s="46">
        <f t="shared" si="423"/>
        <v>1.4819884441753643E-2</v>
      </c>
      <c r="CL33" s="46">
        <f t="shared" si="423"/>
        <v>1.4788986413370208E-2</v>
      </c>
      <c r="CM33" s="47">
        <f t="shared" ref="CM33" si="424">CL33</f>
        <v>1.4788986413370208E-2</v>
      </c>
      <c r="CN33" s="47">
        <f t="shared" ref="CN33" si="425">CM33</f>
        <v>1.4788986413370208E-2</v>
      </c>
      <c r="CO33" s="47">
        <f t="shared" ref="CO33" si="426">CN33</f>
        <v>1.4788986413370208E-2</v>
      </c>
      <c r="CP33" s="47">
        <f t="shared" ref="CP33" si="427">CO33</f>
        <v>1.4788986413370208E-2</v>
      </c>
      <c r="CQ33" s="47">
        <f t="shared" ref="CQ33" si="428">CP33</f>
        <v>1.4788986413370208E-2</v>
      </c>
      <c r="CR33" s="47">
        <f t="shared" ref="CR33" si="429">CQ33</f>
        <v>1.4788986413370208E-2</v>
      </c>
      <c r="CS33" s="47">
        <f t="shared" ref="CS33" si="430">CR33</f>
        <v>1.4788986413370208E-2</v>
      </c>
      <c r="CT33" s="47">
        <f t="shared" ref="CT33" si="431">CS33</f>
        <v>1.4788986413370208E-2</v>
      </c>
      <c r="CU33" s="47">
        <f t="shared" ref="CU33" si="432">CT33</f>
        <v>1.4788986413370208E-2</v>
      </c>
      <c r="CV33" s="47">
        <f t="shared" ref="CV33" si="433">CU33</f>
        <v>1.4788986413370208E-2</v>
      </c>
      <c r="CW33" s="47">
        <f t="shared" ref="CW33" si="434">CV33</f>
        <v>1.4788986413370208E-2</v>
      </c>
      <c r="CX33" s="47">
        <f t="shared" ref="CX33" si="435">CW33</f>
        <v>1.4788986413370208E-2</v>
      </c>
      <c r="CY33" s="47">
        <f t="shared" ref="CY33" si="436">CX33</f>
        <v>1.4788986413370208E-2</v>
      </c>
      <c r="CZ33" s="47">
        <f t="shared" ref="CZ33" si="437">CY33</f>
        <v>1.4788986413370208E-2</v>
      </c>
      <c r="DA33" s="47">
        <f t="shared" ref="DA33" si="438">CZ33</f>
        <v>1.4788986413370208E-2</v>
      </c>
      <c r="DB33" s="47">
        <f t="shared" ref="DB33" si="439">DA33</f>
        <v>1.4788986413370208E-2</v>
      </c>
      <c r="DE33" s="130"/>
      <c r="DF33" s="46">
        <v>6.042340685451935E-2</v>
      </c>
    </row>
    <row r="34" spans="1:110" s="26" customFormat="1" x14ac:dyDescent="0.2">
      <c r="A34" s="34" t="s">
        <v>16</v>
      </c>
      <c r="B34" s="26">
        <f>B28-B32</f>
        <v>8.4127999999999652</v>
      </c>
      <c r="C34" s="26">
        <f t="shared" ref="C34:T34" si="440">C28-C32</f>
        <v>27.19839999999996</v>
      </c>
      <c r="D34" s="26">
        <f>D28-D32</f>
        <v>55.433100000000003</v>
      </c>
      <c r="E34" s="26">
        <f t="shared" si="440"/>
        <v>43.651999999999965</v>
      </c>
      <c r="F34" s="26">
        <f t="shared" si="440"/>
        <v>17.786600000000028</v>
      </c>
      <c r="G34" s="26">
        <f t="shared" si="440"/>
        <v>32.532099999999986</v>
      </c>
      <c r="H34" s="26">
        <f t="shared" si="440"/>
        <v>46.988100000000024</v>
      </c>
      <c r="I34" s="26">
        <f t="shared" si="440"/>
        <v>64.115399999999994</v>
      </c>
      <c r="J34" s="26">
        <f t="shared" si="440"/>
        <v>40.07759999999999</v>
      </c>
      <c r="K34" s="26">
        <f t="shared" si="440"/>
        <v>79.375600000000034</v>
      </c>
      <c r="L34" s="26">
        <f t="shared" si="440"/>
        <v>76.417399999999901</v>
      </c>
      <c r="M34" s="26">
        <f t="shared" si="440"/>
        <v>64.650799999999975</v>
      </c>
      <c r="N34" s="26">
        <f t="shared" si="440"/>
        <v>55.813100000000013</v>
      </c>
      <c r="O34" s="26">
        <f t="shared" si="440"/>
        <v>74.669899999999927</v>
      </c>
      <c r="P34" s="26">
        <f t="shared" si="440"/>
        <v>60.143899999999874</v>
      </c>
      <c r="Q34" s="26">
        <f t="shared" si="440"/>
        <v>78.428999999999988</v>
      </c>
      <c r="R34" s="26">
        <f t="shared" si="440"/>
        <v>183.26</v>
      </c>
      <c r="S34" s="26">
        <f t="shared" si="440"/>
        <v>175.33999999999992</v>
      </c>
      <c r="T34" s="26">
        <f t="shared" si="440"/>
        <v>262.03000000000014</v>
      </c>
      <c r="U34" s="26">
        <f t="shared" ref="U34:Z34" si="441">U28-U32</f>
        <v>231.90999999999994</v>
      </c>
      <c r="V34" s="26">
        <f t="shared" si="441"/>
        <v>69.910000000000011</v>
      </c>
      <c r="W34" s="26">
        <f t="shared" si="441"/>
        <v>124.84000000000003</v>
      </c>
      <c r="X34" s="26">
        <f t="shared" si="441"/>
        <v>488.84000000000032</v>
      </c>
      <c r="Y34" s="26">
        <f t="shared" si="441"/>
        <v>296.06999999999994</v>
      </c>
      <c r="Z34" s="26">
        <f t="shared" si="441"/>
        <v>66.129999999999853</v>
      </c>
      <c r="AA34" s="26">
        <f t="shared" ref="AA34" si="442">AA28-AA32</f>
        <v>50.910000000000075</v>
      </c>
      <c r="AB34" s="27">
        <f t="shared" ref="AA34:AD34" si="443">AB28-AB32</f>
        <v>53.067068915937078</v>
      </c>
      <c r="AC34" s="27">
        <f t="shared" si="443"/>
        <v>55.391267598990943</v>
      </c>
      <c r="AD34" s="27">
        <f t="shared" si="443"/>
        <v>58.033593733715541</v>
      </c>
      <c r="AE34" s="27">
        <f t="shared" ref="AE34" si="444">AE28-AE32</f>
        <v>60.718066843358358</v>
      </c>
      <c r="AI34" s="26">
        <f t="shared" ref="AI34" si="445">AI28-AI32</f>
        <v>15.79</v>
      </c>
      <c r="AJ34" s="26">
        <f t="shared" ref="AJ34" si="446">AJ28-AJ32</f>
        <v>14.490000000000022</v>
      </c>
      <c r="AK34" s="26">
        <f t="shared" ref="AK34:AM34" si="447">AK28-AK32</f>
        <v>11.449999999999973</v>
      </c>
      <c r="AL34" s="26">
        <f t="shared" si="447"/>
        <v>14.340000000000011</v>
      </c>
      <c r="AM34" s="26">
        <f t="shared" si="447"/>
        <v>20.090000000000018</v>
      </c>
      <c r="AN34" s="26">
        <f t="shared" ref="AN34:AO34" si="448">AN28-AN32</f>
        <v>17.259999999999966</v>
      </c>
      <c r="AO34" s="26">
        <f t="shared" si="448"/>
        <v>11.160000000000018</v>
      </c>
      <c r="AP34" s="26">
        <f t="shared" ref="AP34:CD34" si="449">AP28-AP32</f>
        <v>27.340000000000021</v>
      </c>
      <c r="AQ34" s="26">
        <f t="shared" si="449"/>
        <v>16.620000000000026</v>
      </c>
      <c r="AR34" s="26">
        <f t="shared" si="449"/>
        <v>21.509999999999991</v>
      </c>
      <c r="AS34" s="26">
        <f t="shared" si="449"/>
        <v>12.370000000000001</v>
      </c>
      <c r="AT34" s="26">
        <f t="shared" si="449"/>
        <v>9.4899999999999416</v>
      </c>
      <c r="AU34" s="26">
        <f t="shared" si="449"/>
        <v>15.989999999999995</v>
      </c>
      <c r="AV34" s="26">
        <f t="shared" si="449"/>
        <v>17.940000000000023</v>
      </c>
      <c r="AW34" s="26">
        <f t="shared" si="449"/>
        <v>13.119999999999969</v>
      </c>
      <c r="AX34" s="26">
        <f t="shared" si="449"/>
        <v>31.239999999999963</v>
      </c>
      <c r="AY34" s="26">
        <f t="shared" si="449"/>
        <v>35.67</v>
      </c>
      <c r="AZ34" s="26">
        <f t="shared" si="449"/>
        <v>41.650000000000041</v>
      </c>
      <c r="BA34" s="26">
        <f t="shared" si="449"/>
        <v>50.62000000000004</v>
      </c>
      <c r="BB34" s="26">
        <f t="shared" si="449"/>
        <v>55.130000000000067</v>
      </c>
      <c r="BC34" s="26">
        <f t="shared" si="449"/>
        <v>31.619999999999976</v>
      </c>
      <c r="BD34" s="26">
        <f t="shared" si="449"/>
        <v>39.730000000000018</v>
      </c>
      <c r="BE34" s="26">
        <f t="shared" si="449"/>
        <v>39.460000000000022</v>
      </c>
      <c r="BF34" s="26">
        <f t="shared" si="449"/>
        <v>64.439999999999955</v>
      </c>
      <c r="BG34" s="26">
        <f t="shared" si="449"/>
        <v>38.449999999999974</v>
      </c>
      <c r="BH34" s="26">
        <f t="shared" si="449"/>
        <v>73.11999999999999</v>
      </c>
      <c r="BI34" s="26">
        <f t="shared" si="449"/>
        <v>74.220000000000013</v>
      </c>
      <c r="BJ34" s="26">
        <f t="shared" si="449"/>
        <v>76.240000000000009</v>
      </c>
      <c r="BK34" s="26">
        <f t="shared" si="449"/>
        <v>53.20000000000001</v>
      </c>
      <c r="BL34" s="26">
        <f t="shared" si="449"/>
        <v>62.980000000000004</v>
      </c>
      <c r="BM34" s="26">
        <f t="shared" si="449"/>
        <v>58.669999999999959</v>
      </c>
      <c r="BN34" s="26">
        <f t="shared" si="449"/>
        <v>57.059999999999981</v>
      </c>
      <c r="BO34" s="26">
        <f t="shared" si="449"/>
        <v>22.31999999999999</v>
      </c>
      <c r="BP34" s="26">
        <f t="shared" si="449"/>
        <v>18.759999999999987</v>
      </c>
      <c r="BQ34" s="26">
        <f t="shared" si="449"/>
        <v>4.3399999999999963</v>
      </c>
      <c r="BR34" s="26">
        <f t="shared" si="449"/>
        <v>24.489999999999995</v>
      </c>
      <c r="BS34" s="26">
        <f t="shared" si="449"/>
        <v>21.479999999999968</v>
      </c>
      <c r="BT34" s="26">
        <f t="shared" si="449"/>
        <v>29.970000000000002</v>
      </c>
      <c r="BU34" s="26">
        <f t="shared" si="449"/>
        <v>5.2500000000000426</v>
      </c>
      <c r="BV34" s="26">
        <f t="shared" si="449"/>
        <v>68.14</v>
      </c>
      <c r="BW34" s="26">
        <f t="shared" si="449"/>
        <v>76.02000000000001</v>
      </c>
      <c r="BX34" s="26">
        <f t="shared" si="449"/>
        <v>127.98999999999998</v>
      </c>
      <c r="BY34" s="26">
        <f t="shared" si="449"/>
        <v>138.25</v>
      </c>
      <c r="BZ34" s="26">
        <f t="shared" si="449"/>
        <v>146.57999999999998</v>
      </c>
      <c r="CA34" s="26">
        <f t="shared" si="449"/>
        <v>83.65000000000002</v>
      </c>
      <c r="CB34" s="26">
        <f t="shared" si="449"/>
        <v>78.39</v>
      </c>
      <c r="CC34" s="26">
        <f t="shared" si="449"/>
        <v>76.889999999999986</v>
      </c>
      <c r="CD34" s="26">
        <f t="shared" si="449"/>
        <v>57.139999999999922</v>
      </c>
      <c r="CE34" s="26">
        <f t="shared" ref="CE34:CF34" si="450">CE28-CE32</f>
        <v>36.35</v>
      </c>
      <c r="CF34" s="26">
        <f t="shared" si="450"/>
        <v>19.400000000000038</v>
      </c>
      <c r="CG34" s="26">
        <f t="shared" ref="CG34:CH34" si="451">CG28-CG32</f>
        <v>-3.6100000000000705</v>
      </c>
      <c r="CH34" s="26">
        <f t="shared" si="451"/>
        <v>13.989999999999998</v>
      </c>
      <c r="CI34" s="26">
        <f t="shared" ref="CI34:CJ34" si="452">CI28-CI32</f>
        <v>9.7699999999999747</v>
      </c>
      <c r="CJ34" s="26">
        <f t="shared" si="452"/>
        <v>15.160000000000011</v>
      </c>
      <c r="CK34" s="26">
        <f t="shared" ref="CK34:CL34" si="453">CK28-CK32</f>
        <v>13.44999999999998</v>
      </c>
      <c r="CL34" s="26">
        <f t="shared" si="453"/>
        <v>12.520000000000088</v>
      </c>
      <c r="CM34" s="27">
        <f t="shared" ref="CM34:DB34" si="454">CM28-CM32</f>
        <v>10.812830715389447</v>
      </c>
      <c r="CN34" s="27">
        <f t="shared" si="454"/>
        <v>9.3156849935068085</v>
      </c>
      <c r="CO34" s="27">
        <f t="shared" si="454"/>
        <v>10.874130403867367</v>
      </c>
      <c r="CP34" s="27">
        <f t="shared" si="454"/>
        <v>22.064422803173088</v>
      </c>
      <c r="CQ34" s="27">
        <f t="shared" si="454"/>
        <v>10.612775835041781</v>
      </c>
      <c r="CR34" s="27">
        <f t="shared" si="454"/>
        <v>8.8703952795896885</v>
      </c>
      <c r="CS34" s="27">
        <f t="shared" si="454"/>
        <v>11.662287250132417</v>
      </c>
      <c r="CT34" s="27">
        <f t="shared" si="454"/>
        <v>24.245809234227032</v>
      </c>
      <c r="CU34" s="27">
        <f t="shared" si="454"/>
        <v>10.991638278777694</v>
      </c>
      <c r="CV34" s="27">
        <f t="shared" si="454"/>
        <v>9.3980600667509329</v>
      </c>
      <c r="CW34" s="27">
        <f t="shared" si="454"/>
        <v>12.462988550093495</v>
      </c>
      <c r="CX34" s="27">
        <f t="shared" si="454"/>
        <v>25.180906838093357</v>
      </c>
      <c r="CY34" s="27">
        <f t="shared" si="454"/>
        <v>11.590260651170697</v>
      </c>
      <c r="CZ34" s="27">
        <f t="shared" si="454"/>
        <v>10.044279639856828</v>
      </c>
      <c r="DA34" s="27">
        <f t="shared" si="454"/>
        <v>13.159074950225</v>
      </c>
      <c r="DB34" s="27">
        <f t="shared" si="454"/>
        <v>25.924451602105659</v>
      </c>
      <c r="DE34" s="121"/>
      <c r="DF34" s="26">
        <v>50.899999999999856</v>
      </c>
    </row>
    <row r="35" spans="1:110" s="23" customFormat="1" x14ac:dyDescent="0.2">
      <c r="A35" s="23" t="s">
        <v>17</v>
      </c>
      <c r="B35" s="23">
        <f>'Annual Raw'!C23</f>
        <v>24.985199999999999</v>
      </c>
      <c r="C35" s="23">
        <f>'Annual Raw'!D23</f>
        <v>7.9970999999999997</v>
      </c>
      <c r="D35" s="23">
        <f>'Annual Raw'!E23</f>
        <v>5.0853000000000002</v>
      </c>
      <c r="E35" s="23">
        <f>'Annual Raw'!F23</f>
        <v>4.9341999999999997</v>
      </c>
      <c r="F35" s="23">
        <f>'Annual Raw'!G23</f>
        <v>5.2396000000000003</v>
      </c>
      <c r="G35" s="23">
        <f>'Annual Raw'!H23</f>
        <v>7.0887000000000002</v>
      </c>
      <c r="H35" s="23">
        <f>'Annual Raw'!I23</f>
        <v>7.1772</v>
      </c>
      <c r="I35" s="23">
        <f>'Annual Raw'!J23</f>
        <v>8.9787999999999997</v>
      </c>
      <c r="J35" s="23">
        <f>'Annual Raw'!K23</f>
        <v>9.9189000000000007</v>
      </c>
      <c r="K35" s="23">
        <f>'Annual Raw'!L23</f>
        <v>8.7299000000000007</v>
      </c>
      <c r="L35" s="23">
        <f>'Annual Raw'!M23</f>
        <v>6.3846999999999996</v>
      </c>
      <c r="M35" s="23">
        <f>'Annual Raw'!N23</f>
        <v>4.6276999999999999</v>
      </c>
      <c r="N35" s="23">
        <f>'Annual Raw'!O23</f>
        <v>5.1116999999999999</v>
      </c>
      <c r="O35" s="23">
        <f>'Annual Raw'!P23</f>
        <v>5.2774999999999999</v>
      </c>
      <c r="P35" s="23">
        <f>'Annual Raw'!Q23</f>
        <v>5.8502999999999998</v>
      </c>
      <c r="Q35" s="23">
        <f>'Annual Raw'!R23</f>
        <v>4.2868000000000004</v>
      </c>
      <c r="R35" s="23">
        <f>'Annual Raw'!S23</f>
        <v>7.89</v>
      </c>
      <c r="S35" s="23">
        <f>'Annual Raw'!T23</f>
        <v>8.86</v>
      </c>
      <c r="T35" s="23">
        <f>'Annual Raw'!U23</f>
        <v>22.88</v>
      </c>
      <c r="U35" s="23">
        <f>'Annual Raw'!V23</f>
        <v>22.32</v>
      </c>
      <c r="V35" s="23">
        <f>'Annual Raw'!W23</f>
        <v>18.440000000000001</v>
      </c>
      <c r="W35" s="23">
        <f>'Annual Raw'!X23</f>
        <v>15.53</v>
      </c>
      <c r="X35" s="23">
        <f>'Annual Raw'!Y23</f>
        <v>29.29</v>
      </c>
      <c r="Y35" s="23">
        <f>'Annual Raw'!Z23</f>
        <v>50.03</v>
      </c>
      <c r="Z35" s="23">
        <f>'Annual Raw'!AA23</f>
        <v>68.599999999999994</v>
      </c>
      <c r="AA35" s="23">
        <f>'Annual Raw'!AB23</f>
        <v>48.75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0.53</v>
      </c>
      <c r="AJ35" s="23">
        <f>'QTR Raw'!D23</f>
        <v>1.34</v>
      </c>
      <c r="AK35" s="23">
        <f>'QTR Raw'!E23</f>
        <v>0.6</v>
      </c>
      <c r="AL35" s="23">
        <f>'QTR Raw'!F23</f>
        <v>2.4</v>
      </c>
      <c r="AM35" s="23">
        <f>'QTR Raw'!G23</f>
        <v>0.3</v>
      </c>
      <c r="AN35" s="23">
        <f>'QTR Raw'!H23</f>
        <v>1.04</v>
      </c>
      <c r="AO35" s="23">
        <f>'QTR Raw'!I23</f>
        <v>1.1299999999999999</v>
      </c>
      <c r="AP35" s="23">
        <f>'QTR Raw'!J23</f>
        <v>1.63</v>
      </c>
      <c r="AQ35" s="23">
        <f>'QTR Raw'!K23</f>
        <v>0.77</v>
      </c>
      <c r="AR35" s="23">
        <f>'QTR Raw'!L23</f>
        <v>1.35</v>
      </c>
      <c r="AS35" s="23">
        <f>'QTR Raw'!M23</f>
        <v>0.88</v>
      </c>
      <c r="AT35" s="23">
        <f>'QTR Raw'!N23</f>
        <v>2.85</v>
      </c>
      <c r="AU35" s="23">
        <f>'QTR Raw'!O23</f>
        <v>0.79</v>
      </c>
      <c r="AV35" s="23">
        <f>'QTR Raw'!P23</f>
        <v>1.07</v>
      </c>
      <c r="AW35" s="23">
        <f>'QTR Raw'!Q23</f>
        <v>0.95</v>
      </c>
      <c r="AX35" s="23">
        <f>'QTR Raw'!R23</f>
        <v>1.47</v>
      </c>
      <c r="AY35" s="23">
        <f>'QTR Raw'!S23</f>
        <v>0.61</v>
      </c>
      <c r="AZ35" s="23">
        <f>'QTR Raw'!T23</f>
        <v>1.65</v>
      </c>
      <c r="BA35" s="23">
        <f>'QTR Raw'!U23</f>
        <v>2.31</v>
      </c>
      <c r="BB35" s="23">
        <f>'QTR Raw'!V23</f>
        <v>3.56</v>
      </c>
      <c r="BC35" s="23">
        <f>'QTR Raw'!W23</f>
        <v>0.69</v>
      </c>
      <c r="BD35" s="23">
        <f>'QTR Raw'!X23</f>
        <v>1.97</v>
      </c>
      <c r="BE35" s="23">
        <f>'QTR Raw'!Y23</f>
        <v>2.0699999999999998</v>
      </c>
      <c r="BF35" s="23">
        <f>'QTR Raw'!Z23</f>
        <v>4.67</v>
      </c>
      <c r="BG35" s="23">
        <f>'QTR Raw'!AA23</f>
        <v>2.96</v>
      </c>
      <c r="BH35" s="23">
        <f>'QTR Raw'!AB23</f>
        <v>4.32</v>
      </c>
      <c r="BI35" s="23">
        <f>'QTR Raw'!AC23</f>
        <v>4.21</v>
      </c>
      <c r="BJ35" s="23">
        <f>'QTR Raw'!AD23</f>
        <v>11.39</v>
      </c>
      <c r="BK35" s="23">
        <f>'QTR Raw'!AE23</f>
        <v>6.37</v>
      </c>
      <c r="BL35" s="23">
        <f>'QTR Raw'!AF23</f>
        <v>6.61</v>
      </c>
      <c r="BM35" s="23">
        <f>'QTR Raw'!AG23</f>
        <v>5.86</v>
      </c>
      <c r="BN35" s="23">
        <f>'QTR Raw'!AH23</f>
        <v>3.48</v>
      </c>
      <c r="BO35" s="23">
        <f>'QTR Raw'!AI23</f>
        <v>6.03</v>
      </c>
      <c r="BP35" s="23">
        <f>'QTR Raw'!AJ23</f>
        <v>6.16</v>
      </c>
      <c r="BQ35" s="23">
        <f>'QTR Raw'!AK23</f>
        <v>3.34</v>
      </c>
      <c r="BR35" s="23">
        <f>'QTR Raw'!AL23</f>
        <v>2.91</v>
      </c>
      <c r="BS35" s="23">
        <f>'QTR Raw'!AM23</f>
        <v>4.3899999999999997</v>
      </c>
      <c r="BT35" s="23">
        <f>'QTR Raw'!AN23</f>
        <v>3.45</v>
      </c>
      <c r="BU35" s="23">
        <f>'QTR Raw'!AO23</f>
        <v>3.35</v>
      </c>
      <c r="BV35" s="23">
        <f>'QTR Raw'!AP23</f>
        <v>4.34</v>
      </c>
      <c r="BW35" s="23">
        <f>'QTR Raw'!AQ23</f>
        <v>4.74</v>
      </c>
      <c r="BX35" s="23">
        <f>'QTR Raw'!AR23</f>
        <v>7.32</v>
      </c>
      <c r="BY35" s="23">
        <f>'QTR Raw'!AS23</f>
        <v>8.59</v>
      </c>
      <c r="BZ35" s="23">
        <f>'QTR Raw'!AT23</f>
        <v>8.64</v>
      </c>
      <c r="CA35" s="23">
        <f>'QTR Raw'!AU23</f>
        <v>11.02</v>
      </c>
      <c r="CB35" s="23">
        <f>'QTR Raw'!AV23</f>
        <v>14.31</v>
      </c>
      <c r="CC35" s="23">
        <f>'QTR Raw'!AW23</f>
        <v>11.36</v>
      </c>
      <c r="CD35" s="23">
        <f>'QTR Raw'!AX23</f>
        <v>13.34</v>
      </c>
      <c r="CE35" s="23">
        <f>'QTR Raw'!AY23</f>
        <v>14.53</v>
      </c>
      <c r="CF35" s="23">
        <f>'QTR Raw'!AZ23</f>
        <v>15.32</v>
      </c>
      <c r="CG35" s="23">
        <f>'QTR Raw'!BA23</f>
        <v>20.56</v>
      </c>
      <c r="CH35" s="23">
        <f>'QTR Raw'!BB23</f>
        <v>18.190000000000001</v>
      </c>
      <c r="CI35" s="23">
        <f>'QTR Raw'!BC23</f>
        <v>13.56</v>
      </c>
      <c r="CJ35" s="23">
        <f>'QTR Raw'!BD23</f>
        <v>13.34</v>
      </c>
      <c r="CK35" s="23">
        <f>'QTR Raw'!BE23</f>
        <v>10.23</v>
      </c>
      <c r="CL35" s="23">
        <f>'QTR Raw'!BF23</f>
        <v>11.63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48.76</v>
      </c>
    </row>
    <row r="36" spans="1:110" s="23" customFormat="1" x14ac:dyDescent="0.2">
      <c r="A36" s="23" t="s">
        <v>18</v>
      </c>
      <c r="B36" s="23">
        <f>'Annual Raw'!C25</f>
        <v>30.353999999999999</v>
      </c>
      <c r="C36" s="23">
        <f>'Annual Raw'!D25</f>
        <v>30.4739</v>
      </c>
      <c r="D36" s="23">
        <f>'Annual Raw'!E25</f>
        <v>28.096299999999999</v>
      </c>
      <c r="E36" s="23">
        <f>'Annual Raw'!F25</f>
        <v>17.064499999999999</v>
      </c>
      <c r="F36" s="23">
        <f>'Annual Raw'!G25</f>
        <v>11.421799999999999</v>
      </c>
      <c r="G36" s="23">
        <f>'Annual Raw'!H25</f>
        <v>12.392799999999999</v>
      </c>
      <c r="H36" s="23">
        <f>'Annual Raw'!I25</f>
        <v>10.4686</v>
      </c>
      <c r="I36" s="23">
        <f>'Annual Raw'!J25</f>
        <v>12.5839</v>
      </c>
      <c r="J36" s="23">
        <f>'Annual Raw'!K25</f>
        <v>26.089200000000002</v>
      </c>
      <c r="K36" s="23">
        <f>'Annual Raw'!L25</f>
        <v>28.395900000000001</v>
      </c>
      <c r="L36" s="23">
        <f>'Annual Raw'!M25</f>
        <v>22.029800000000002</v>
      </c>
      <c r="M36" s="23">
        <f>'Annual Raw'!N25</f>
        <v>24.3231</v>
      </c>
      <c r="N36" s="23">
        <f>'Annual Raw'!O25</f>
        <v>44.462899999999998</v>
      </c>
      <c r="O36" s="23">
        <f>'Annual Raw'!P25</f>
        <v>38.708199999999998</v>
      </c>
      <c r="P36" s="23">
        <f>'Annual Raw'!Q25</f>
        <v>37.279400000000003</v>
      </c>
      <c r="Q36" s="23">
        <f>'Annual Raw'!R25</f>
        <v>32.364699999999999</v>
      </c>
      <c r="R36" s="23">
        <f>'Annual Raw'!S25</f>
        <v>23.22</v>
      </c>
      <c r="S36" s="23">
        <f>'Annual Raw'!T25</f>
        <v>14.3</v>
      </c>
      <c r="T36" s="23">
        <f>'Annual Raw'!U25</f>
        <v>13.81</v>
      </c>
      <c r="U36" s="23">
        <f>'Annual Raw'!V25</f>
        <v>6.89</v>
      </c>
      <c r="V36" s="23">
        <f>'Annual Raw'!W25</f>
        <v>2.91</v>
      </c>
      <c r="W36" s="23">
        <f>'Annual Raw'!X25</f>
        <v>2.87</v>
      </c>
      <c r="X36" s="23">
        <f>'Annual Raw'!Y25</f>
        <v>3.19</v>
      </c>
      <c r="Y36" s="23">
        <f>'Annual Raw'!Z25</f>
        <v>2.14</v>
      </c>
      <c r="Z36" s="23">
        <f>'Annual Raw'!AA25</f>
        <v>8.43</v>
      </c>
      <c r="AA36" s="23">
        <f>'Annual Raw'!AB25</f>
        <v>8.76</v>
      </c>
      <c r="AB36" s="76">
        <f t="shared" si="455"/>
        <v>-44.329429795827892</v>
      </c>
      <c r="AC36" s="76">
        <f t="shared" si="456"/>
        <v>-58.836015118226371</v>
      </c>
      <c r="AD36" s="76">
        <f t="shared" si="457"/>
        <v>-74.79402044547804</v>
      </c>
      <c r="AE36" s="76">
        <f t="shared" si="458"/>
        <v>-91.98353286137592</v>
      </c>
      <c r="AI36" s="23">
        <f>'QTR Raw'!C25</f>
        <v>11.4</v>
      </c>
      <c r="AJ36" s="23">
        <f>'QTR Raw'!D25</f>
        <v>11.54</v>
      </c>
      <c r="AK36" s="23">
        <f>'QTR Raw'!E25</f>
        <v>11.04</v>
      </c>
      <c r="AL36" s="23">
        <f>'QTR Raw'!F25</f>
        <v>10.48</v>
      </c>
      <c r="AM36" s="23">
        <f>'QTR Raw'!G25</f>
        <v>10.27</v>
      </c>
      <c r="AN36" s="23">
        <f>'QTR Raw'!H25</f>
        <v>9.8000000000000007</v>
      </c>
      <c r="AO36" s="23">
        <f>'QTR Raw'!I25</f>
        <v>9.15</v>
      </c>
      <c r="AP36" s="23">
        <f>'QTR Raw'!J25</f>
        <v>9.49</v>
      </c>
      <c r="AQ36" s="23">
        <f>'QTR Raw'!K25</f>
        <v>9.8800000000000008</v>
      </c>
      <c r="AR36" s="23">
        <f>'QTR Raw'!L25</f>
        <v>9.3800000000000008</v>
      </c>
      <c r="AS36" s="23">
        <f>'QTR Raw'!M25</f>
        <v>9.3000000000000007</v>
      </c>
      <c r="AT36" s="23">
        <f>'QTR Raw'!N25</f>
        <v>8.65</v>
      </c>
      <c r="AU36" s="23">
        <f>'QTR Raw'!O25</f>
        <v>8.7799999999999994</v>
      </c>
      <c r="AV36" s="23">
        <f>'QTR Raw'!P25</f>
        <v>8.33</v>
      </c>
      <c r="AW36" s="23">
        <f>'QTR Raw'!Q25</f>
        <v>7.93</v>
      </c>
      <c r="AX36" s="23">
        <f>'QTR Raw'!R25</f>
        <v>7.25</v>
      </c>
      <c r="AY36" s="23">
        <f>'QTR Raw'!S25</f>
        <v>6.13</v>
      </c>
      <c r="AZ36" s="23">
        <f>'QTR Raw'!T25</f>
        <v>4.9400000000000004</v>
      </c>
      <c r="BA36" s="23">
        <f>'QTR Raw'!U25</f>
        <v>4.6100000000000003</v>
      </c>
      <c r="BB36" s="23">
        <f>'QTR Raw'!V25</f>
        <v>7.52</v>
      </c>
      <c r="BC36" s="23">
        <f>'QTR Raw'!W25</f>
        <v>3.41</v>
      </c>
      <c r="BD36" s="23">
        <f>'QTR Raw'!X25</f>
        <v>3.25</v>
      </c>
      <c r="BE36" s="23">
        <f>'QTR Raw'!Y25</f>
        <v>3.3</v>
      </c>
      <c r="BF36" s="23">
        <f>'QTR Raw'!Z25</f>
        <v>4.34</v>
      </c>
      <c r="BG36" s="23">
        <f>'QTR Raw'!AA25</f>
        <v>3.79</v>
      </c>
      <c r="BH36" s="23">
        <f>'QTR Raw'!AB25</f>
        <v>3.56</v>
      </c>
      <c r="BI36" s="23">
        <f>'QTR Raw'!AC25</f>
        <v>3.41</v>
      </c>
      <c r="BJ36" s="23">
        <f>'QTR Raw'!AD25</f>
        <v>3.05</v>
      </c>
      <c r="BK36" s="23">
        <f>'QTR Raw'!AE25</f>
        <v>2.87</v>
      </c>
      <c r="BL36" s="23">
        <f>'QTR Raw'!AF25</f>
        <v>2.04</v>
      </c>
      <c r="BM36" s="23">
        <f>'QTR Raw'!AG25</f>
        <v>1.1299999999999999</v>
      </c>
      <c r="BN36" s="23">
        <f>'QTR Raw'!AH25</f>
        <v>0.85</v>
      </c>
      <c r="BO36" s="23">
        <f>'QTR Raw'!AI25</f>
        <v>0.72</v>
      </c>
      <c r="BP36" s="23">
        <f>'QTR Raw'!AJ25</f>
        <v>0.88</v>
      </c>
      <c r="BQ36" s="23">
        <f>'QTR Raw'!AK25</f>
        <v>0.71</v>
      </c>
      <c r="BR36" s="23">
        <f>'QTR Raw'!AL25</f>
        <v>0.6</v>
      </c>
      <c r="BS36" s="23">
        <f>'QTR Raw'!AM25</f>
        <v>0.64</v>
      </c>
      <c r="BT36" s="23">
        <f>'QTR Raw'!AN25</f>
        <v>0.66</v>
      </c>
      <c r="BU36" s="23">
        <f>'QTR Raw'!AO25</f>
        <v>0.65</v>
      </c>
      <c r="BV36" s="23">
        <f>'QTR Raw'!AP25</f>
        <v>0.92</v>
      </c>
      <c r="BW36" s="23">
        <f>'QTR Raw'!AQ25</f>
        <v>0.61</v>
      </c>
      <c r="BX36" s="23">
        <f>'QTR Raw'!AR25</f>
        <v>0.6</v>
      </c>
      <c r="BY36" s="23">
        <f>'QTR Raw'!AS25</f>
        <v>0.51</v>
      </c>
      <c r="BZ36" s="23">
        <f>'QTR Raw'!AT25</f>
        <v>1.47</v>
      </c>
      <c r="CA36" s="23">
        <f>'QTR Raw'!AU25</f>
        <v>0.5</v>
      </c>
      <c r="CB36" s="23">
        <f>'QTR Raw'!AV25</f>
        <v>0.5</v>
      </c>
      <c r="CC36" s="23">
        <f>'QTR Raw'!AW25</f>
        <v>0.5</v>
      </c>
      <c r="CD36" s="23">
        <f>'QTR Raw'!AX25</f>
        <v>0.64</v>
      </c>
      <c r="CE36" s="23">
        <f>'QTR Raw'!AY25</f>
        <v>1.02</v>
      </c>
      <c r="CF36" s="23">
        <f>'QTR Raw'!AZ25</f>
        <v>1.39</v>
      </c>
      <c r="CG36" s="23">
        <f>'QTR Raw'!BA25</f>
        <v>1.81</v>
      </c>
      <c r="CH36" s="23">
        <f>'QTR Raw'!BB25</f>
        <v>4.21</v>
      </c>
      <c r="CI36" s="23">
        <f>'QTR Raw'!BC25</f>
        <v>1.07</v>
      </c>
      <c r="CJ36" s="23">
        <f>'QTR Raw'!BD25</f>
        <v>4.43</v>
      </c>
      <c r="CK36" s="23">
        <f>'QTR Raw'!BE25</f>
        <v>2.5499999999999998</v>
      </c>
      <c r="CL36" s="23">
        <f>'QTR Raw'!BF25</f>
        <v>0.71</v>
      </c>
      <c r="CM36" s="24">
        <f t="shared" ref="CM36:DB36" si="459">CM37*CL168</f>
        <v>-3.6508486730147185</v>
      </c>
      <c r="CN36" s="24">
        <f t="shared" si="459"/>
        <v>-12.450638862046967</v>
      </c>
      <c r="CO36" s="24">
        <f t="shared" si="459"/>
        <v>-14.552444867545187</v>
      </c>
      <c r="CP36" s="24">
        <f t="shared" si="459"/>
        <v>-13.675497393221017</v>
      </c>
      <c r="CQ36" s="24">
        <f t="shared" si="459"/>
        <v>-6.7192371941725213</v>
      </c>
      <c r="CR36" s="24">
        <f t="shared" si="459"/>
        <v>-16.30475324855589</v>
      </c>
      <c r="CS36" s="24">
        <f t="shared" si="459"/>
        <v>-18.354545873171212</v>
      </c>
      <c r="CT36" s="24">
        <f t="shared" si="459"/>
        <v>-17.457478802326751</v>
      </c>
      <c r="CU36" s="24">
        <f t="shared" si="459"/>
        <v>-10.513702657315593</v>
      </c>
      <c r="CV36" s="24">
        <f t="shared" si="459"/>
        <v>-20.312013320436836</v>
      </c>
      <c r="CW36" s="24">
        <f t="shared" si="459"/>
        <v>-22.406631442700164</v>
      </c>
      <c r="CX36" s="24">
        <f t="shared" si="459"/>
        <v>-21.561673025025446</v>
      </c>
      <c r="CY36" s="24">
        <f t="shared" si="459"/>
        <v>-14.655530643044951</v>
      </c>
      <c r="CZ36" s="24">
        <f t="shared" si="459"/>
        <v>-24.587915737238507</v>
      </c>
      <c r="DA36" s="24">
        <f t="shared" si="459"/>
        <v>-26.758656736656114</v>
      </c>
      <c r="DB36" s="24">
        <f t="shared" si="459"/>
        <v>-25.981429744436358</v>
      </c>
      <c r="DE36" s="123"/>
      <c r="DF36" s="23">
        <v>8.7600000000000016</v>
      </c>
    </row>
    <row r="37" spans="1:110" s="46" customFormat="1" x14ac:dyDescent="0.2">
      <c r="A37" s="46" t="s">
        <v>482</v>
      </c>
      <c r="B37" s="46">
        <f t="shared" ref="B37:D37" si="460">+B36/B128</f>
        <v>0.17394373905115448</v>
      </c>
      <c r="C37" s="46">
        <f t="shared" si="460"/>
        <v>0.17401724531749657</v>
      </c>
      <c r="D37" s="46">
        <f t="shared" si="460"/>
        <v>0.18722541376601204</v>
      </c>
      <c r="E37" s="46">
        <f t="shared" ref="E37:AE37" si="461">+E36/E128</f>
        <v>0.15332178482029424</v>
      </c>
      <c r="F37" s="46">
        <f t="shared" si="461"/>
        <v>7.759201050519926E-2</v>
      </c>
      <c r="G37" s="46">
        <f t="shared" si="461"/>
        <v>9.9073128068854252E-2</v>
      </c>
      <c r="H37" s="46">
        <f t="shared" si="461"/>
        <v>4.294198938653656E-2</v>
      </c>
      <c r="I37" s="46">
        <f t="shared" si="461"/>
        <v>3.6928880233736076E-2</v>
      </c>
      <c r="J37" s="46">
        <f t="shared" si="461"/>
        <v>7.0430964874414956E-2</v>
      </c>
      <c r="K37" s="46">
        <f t="shared" si="461"/>
        <v>8.7264892413588382E-2</v>
      </c>
      <c r="L37" s="46">
        <f t="shared" si="461"/>
        <v>5.541439806412584E-2</v>
      </c>
      <c r="M37" s="46">
        <f t="shared" si="461"/>
        <v>0.11071121982570667</v>
      </c>
      <c r="N37" s="46">
        <f t="shared" si="461"/>
        <v>0.1023505718114156</v>
      </c>
      <c r="O37" s="46">
        <f t="shared" si="461"/>
        <v>9.9386756991031902E-2</v>
      </c>
      <c r="P37" s="46">
        <f t="shared" si="461"/>
        <v>0.11334108005329062</v>
      </c>
      <c r="Q37" s="46">
        <f t="shared" si="461"/>
        <v>0.10722365839978347</v>
      </c>
      <c r="R37" s="46">
        <f t="shared" si="461"/>
        <v>0.13601218369259604</v>
      </c>
      <c r="S37" s="46">
        <f t="shared" si="461"/>
        <v>9.58380805576034E-2</v>
      </c>
      <c r="T37" s="46">
        <f t="shared" si="461"/>
        <v>0.14247395027339316</v>
      </c>
      <c r="U37" s="46">
        <f t="shared" si="461"/>
        <v>0.67482859941234075</v>
      </c>
      <c r="V37" s="46">
        <f t="shared" si="461"/>
        <v>0.37403598971722368</v>
      </c>
      <c r="W37" s="46">
        <f t="shared" si="461"/>
        <v>0.70000000000000007</v>
      </c>
      <c r="X37" s="46" t="e">
        <f t="shared" si="461"/>
        <v>#DIV/0!</v>
      </c>
      <c r="Y37" s="46">
        <f t="shared" si="461"/>
        <v>0.10190476190476191</v>
      </c>
      <c r="Z37" s="46">
        <f t="shared" si="461"/>
        <v>0.10298069875397019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6.8279921517331588E-2</v>
      </c>
      <c r="AL37" s="46">
        <f t="shared" si="463"/>
        <v>5.3965346970366278E-2</v>
      </c>
      <c r="AM37" s="46">
        <f t="shared" si="463"/>
        <v>3.3450763294749199E-2</v>
      </c>
      <c r="AN37" s="46">
        <f t="shared" si="463"/>
        <v>3.1235094421648749E-2</v>
      </c>
      <c r="AO37" s="46">
        <f t="shared" si="463"/>
        <v>2.7573403011758233E-2</v>
      </c>
      <c r="AP37" s="46">
        <f t="shared" si="463"/>
        <v>2.7219664974293064E-2</v>
      </c>
      <c r="AQ37" s="46">
        <f t="shared" si="463"/>
        <v>2.787637698898409E-2</v>
      </c>
      <c r="AR37" s="46">
        <f t="shared" si="463"/>
        <v>2.6126018205026691E-2</v>
      </c>
      <c r="AS37" s="46">
        <f t="shared" si="463"/>
        <v>2.7435646790485498E-2</v>
      </c>
      <c r="AT37" s="46">
        <f t="shared" si="463"/>
        <v>1.855709693991801E-2</v>
      </c>
      <c r="AU37" s="46">
        <f t="shared" si="463"/>
        <v>2.9402023919043237E-2</v>
      </c>
      <c r="AV37" s="46">
        <f t="shared" si="463"/>
        <v>2.8063623054768286E-2</v>
      </c>
      <c r="AW37" s="46">
        <f t="shared" si="463"/>
        <v>2.4062327633756202E-2</v>
      </c>
      <c r="AX37" s="46">
        <f t="shared" si="463"/>
        <v>2.0453045067171952E-2</v>
      </c>
      <c r="AY37" s="46">
        <f t="shared" si="463"/>
        <v>2.2593320235756383E-2</v>
      </c>
      <c r="AZ37" s="46">
        <f t="shared" si="463"/>
        <v>1.544363652145226E-2</v>
      </c>
      <c r="BA37" s="46">
        <f t="shared" si="463"/>
        <v>1.04740653035202E-2</v>
      </c>
      <c r="BB37" s="46">
        <f t="shared" si="463"/>
        <v>2.1126635378626822E-2</v>
      </c>
      <c r="BC37" s="46">
        <f t="shared" si="463"/>
        <v>2.8119507908611601E-2</v>
      </c>
      <c r="BD37" s="46">
        <f t="shared" si="463"/>
        <v>2.0636714889396886E-2</v>
      </c>
      <c r="BE37" s="46">
        <f t="shared" si="463"/>
        <v>1.3075369405761665E-2</v>
      </c>
      <c r="BF37" s="46">
        <f t="shared" si="463"/>
        <v>-3.8763603018043789E-3</v>
      </c>
      <c r="BG37" s="46">
        <f t="shared" si="463"/>
        <v>-1.5958469525091327E-2</v>
      </c>
      <c r="BH37" s="46">
        <f t="shared" si="463"/>
        <v>9.0065512131017513E-3</v>
      </c>
      <c r="BI37" s="46">
        <f t="shared" si="463"/>
        <v>6.6088393225939689E-3</v>
      </c>
      <c r="BJ37" s="46">
        <f t="shared" si="463"/>
        <v>4.9401654132833893E-2</v>
      </c>
      <c r="BK37" s="46">
        <f t="shared" si="463"/>
        <v>1.3460503038227829E-2</v>
      </c>
      <c r="BL37" s="46">
        <f t="shared" si="463"/>
        <v>1.5837537411817093E-2</v>
      </c>
      <c r="BM37" s="46">
        <f t="shared" si="463"/>
        <v>2.0825995068686157E-2</v>
      </c>
      <c r="BN37" s="46">
        <f t="shared" si="463"/>
        <v>9.5797157340881626E-3</v>
      </c>
      <c r="BO37" s="46">
        <f t="shared" ref="BO37:CL37" si="464">(BO36-BO35)/BN168</f>
        <v>1.6608282246966095E-2</v>
      </c>
      <c r="BP37" s="46">
        <f t="shared" si="464"/>
        <v>1.4256056372682811E-2</v>
      </c>
      <c r="BQ37" s="46">
        <f t="shared" si="464"/>
        <v>1.7696137801103483E-2</v>
      </c>
      <c r="BR37" s="46">
        <f t="shared" si="464"/>
        <v>1.7114368173422715E-2</v>
      </c>
      <c r="BS37" s="46">
        <f t="shared" si="464"/>
        <v>1.8802647412755714E-2</v>
      </c>
      <c r="BT37" s="46">
        <f t="shared" si="464"/>
        <v>1.0512545732366534E-2</v>
      </c>
      <c r="BU37" s="46">
        <f t="shared" si="464"/>
        <v>1.6728624535315987E-2</v>
      </c>
      <c r="BV37" s="46">
        <f t="shared" si="464"/>
        <v>2.058195794238658E-2</v>
      </c>
      <c r="BW37" s="46">
        <f t="shared" si="464"/>
        <v>1.2651248276918364E-2</v>
      </c>
      <c r="BX37" s="46">
        <f t="shared" si="464"/>
        <v>1.7261723656472976E-2</v>
      </c>
      <c r="BY37" s="46">
        <f t="shared" si="464"/>
        <v>4.6063508351861356E-2</v>
      </c>
      <c r="BZ37" s="46">
        <f t="shared" si="464"/>
        <v>2.5174122800899184E-2</v>
      </c>
      <c r="CA37" s="46">
        <f t="shared" si="464"/>
        <v>2.1155934521176045E-2</v>
      </c>
      <c r="CB37" s="46">
        <f t="shared" si="464"/>
        <v>2.3193678272335136E-2</v>
      </c>
      <c r="CC37" s="46">
        <f t="shared" si="464"/>
        <v>1.8404907975460124E-2</v>
      </c>
      <c r="CD37" s="46">
        <f t="shared" si="464"/>
        <v>2.0814306749863575E-2</v>
      </c>
      <c r="CE37" s="46">
        <f t="shared" si="464"/>
        <v>2.2997310455179925E-2</v>
      </c>
      <c r="CF37" s="46">
        <f t="shared" si="464"/>
        <v>2.1216608564449721E-2</v>
      </c>
      <c r="CG37" s="46">
        <f t="shared" si="464"/>
        <v>2.8426318981200731E-2</v>
      </c>
      <c r="CH37" s="46">
        <f t="shared" si="464"/>
        <v>2.1273068673158018E-2</v>
      </c>
      <c r="CI37" s="46">
        <f t="shared" si="464"/>
        <v>2.113116889708495E-2</v>
      </c>
      <c r="CJ37" s="46">
        <f t="shared" si="464"/>
        <v>1.2491206203262883E-2</v>
      </c>
      <c r="CK37" s="46">
        <f t="shared" si="464"/>
        <v>1.6418676244227812E-2</v>
      </c>
      <c r="CL37" s="46">
        <f t="shared" si="464"/>
        <v>2.4993829485963705E-2</v>
      </c>
      <c r="CM37" s="47">
        <f t="shared" ref="CM37" si="465">+CL37</f>
        <v>2.4993829485963705E-2</v>
      </c>
      <c r="CN37" s="47">
        <f t="shared" ref="CN37" si="466">+CM37</f>
        <v>2.4993829485963705E-2</v>
      </c>
      <c r="CO37" s="47">
        <f t="shared" ref="CO37" si="467">+CN37</f>
        <v>2.4993829485963705E-2</v>
      </c>
      <c r="CP37" s="47">
        <f t="shared" ref="CP37" si="468">+CO37</f>
        <v>2.4993829485963705E-2</v>
      </c>
      <c r="CQ37" s="47">
        <f t="shared" ref="CQ37" si="469">+CP37</f>
        <v>2.4993829485963705E-2</v>
      </c>
      <c r="CR37" s="47">
        <f t="shared" ref="CR37" si="470">+CQ37</f>
        <v>2.4993829485963705E-2</v>
      </c>
      <c r="CS37" s="47">
        <f t="shared" ref="CS37" si="471">+CR37</f>
        <v>2.4993829485963705E-2</v>
      </c>
      <c r="CT37" s="47">
        <f t="shared" ref="CT37" si="472">+CS37</f>
        <v>2.4993829485963705E-2</v>
      </c>
      <c r="CU37" s="47">
        <f t="shared" ref="CU37" si="473">+CT37</f>
        <v>2.4993829485963705E-2</v>
      </c>
      <c r="CV37" s="47">
        <f t="shared" ref="CV37" si="474">+CU37</f>
        <v>2.4993829485963705E-2</v>
      </c>
      <c r="CW37" s="47">
        <f t="shared" ref="CW37" si="475">+CV37</f>
        <v>2.4993829485963705E-2</v>
      </c>
      <c r="CX37" s="47">
        <f t="shared" ref="CX37" si="476">+CW37</f>
        <v>2.4993829485963705E-2</v>
      </c>
      <c r="CY37" s="47">
        <f t="shared" ref="CY37" si="477">+CX37</f>
        <v>2.4993829485963705E-2</v>
      </c>
      <c r="CZ37" s="47">
        <f t="shared" ref="CZ37" si="478">+CY37</f>
        <v>2.4993829485963705E-2</v>
      </c>
      <c r="DA37" s="47">
        <f t="shared" ref="DA37" si="479">+CZ37</f>
        <v>2.4993829485963705E-2</v>
      </c>
      <c r="DB37" s="47">
        <f t="shared" ref="DB37" si="480">+DA37</f>
        <v>2.4993829485963705E-2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3.0439999999999685</v>
      </c>
      <c r="C38" s="26">
        <f t="shared" ref="C38:T38" si="481">C34+C35-C36</f>
        <v>4.7215999999999596</v>
      </c>
      <c r="D38" s="26">
        <f>D34+D35-D36</f>
        <v>32.4221</v>
      </c>
      <c r="E38" s="26">
        <f t="shared" si="481"/>
        <v>31.521699999999964</v>
      </c>
      <c r="F38" s="26">
        <f t="shared" si="481"/>
        <v>11.604400000000028</v>
      </c>
      <c r="G38" s="26">
        <f t="shared" si="481"/>
        <v>27.227999999999987</v>
      </c>
      <c r="H38" s="26">
        <f t="shared" si="481"/>
        <v>43.696700000000021</v>
      </c>
      <c r="I38" s="26">
        <f t="shared" si="481"/>
        <v>60.510300000000001</v>
      </c>
      <c r="J38" s="26">
        <f t="shared" si="481"/>
        <v>23.907299999999989</v>
      </c>
      <c r="K38" s="26">
        <f t="shared" si="481"/>
        <v>59.709600000000037</v>
      </c>
      <c r="L38" s="26">
        <f t="shared" si="481"/>
        <v>60.772299999999895</v>
      </c>
      <c r="M38" s="26">
        <f t="shared" si="481"/>
        <v>44.955399999999983</v>
      </c>
      <c r="N38" s="26">
        <f t="shared" si="481"/>
        <v>16.461900000000014</v>
      </c>
      <c r="O38" s="26">
        <f t="shared" si="481"/>
        <v>41.239199999999933</v>
      </c>
      <c r="P38" s="26">
        <f t="shared" si="481"/>
        <v>28.714799999999876</v>
      </c>
      <c r="Q38" s="26">
        <f t="shared" si="481"/>
        <v>50.351099999999988</v>
      </c>
      <c r="R38" s="26">
        <f t="shared" si="481"/>
        <v>167.92999999999998</v>
      </c>
      <c r="S38" s="26">
        <f t="shared" si="481"/>
        <v>169.89999999999992</v>
      </c>
      <c r="T38" s="26">
        <f t="shared" si="481"/>
        <v>271.10000000000014</v>
      </c>
      <c r="U38" s="26">
        <f t="shared" ref="U38:Z38" si="482">U34+U35-U36</f>
        <v>247.33999999999995</v>
      </c>
      <c r="V38" s="26">
        <f t="shared" si="482"/>
        <v>85.440000000000012</v>
      </c>
      <c r="W38" s="26">
        <f t="shared" si="482"/>
        <v>137.50000000000003</v>
      </c>
      <c r="X38" s="26">
        <f t="shared" si="482"/>
        <v>514.94000000000028</v>
      </c>
      <c r="Y38" s="26">
        <f t="shared" si="482"/>
        <v>343.95999999999992</v>
      </c>
      <c r="Z38" s="26">
        <f t="shared" si="482"/>
        <v>126.29999999999984</v>
      </c>
      <c r="AA38" s="26">
        <f t="shared" ref="AA38" si="483">AA34+AA35-AA36</f>
        <v>90.900000000000077</v>
      </c>
      <c r="AB38" s="27">
        <f t="shared" ref="AB38:AD38" si="484">AB34+AB35-AB36</f>
        <v>97.396498711764963</v>
      </c>
      <c r="AC38" s="27">
        <f t="shared" si="484"/>
        <v>114.22728271721732</v>
      </c>
      <c r="AD38" s="27">
        <f t="shared" si="484"/>
        <v>132.82761417919357</v>
      </c>
      <c r="AE38" s="27">
        <f t="shared" ref="AE38" si="485">AE34+AE35-AE36</f>
        <v>152.70159970473429</v>
      </c>
      <c r="AI38" s="26">
        <f>AI34+AI35-AI36</f>
        <v>4.92</v>
      </c>
      <c r="AJ38" s="26">
        <f t="shared" ref="AJ38" si="486">AJ34+AJ35-AJ36</f>
        <v>4.2900000000000222</v>
      </c>
      <c r="AK38" s="26">
        <f t="shared" ref="AK38:AM38" si="487">AK34+AK35-AK36</f>
        <v>1.0099999999999731</v>
      </c>
      <c r="AL38" s="26">
        <f t="shared" si="487"/>
        <v>6.2600000000000087</v>
      </c>
      <c r="AM38" s="26">
        <f t="shared" si="487"/>
        <v>10.120000000000019</v>
      </c>
      <c r="AN38" s="26">
        <f t="shared" ref="AN38:AO38" si="488">AN34+AN35-AN36</f>
        <v>8.4999999999999645</v>
      </c>
      <c r="AO38" s="26">
        <f t="shared" si="488"/>
        <v>3.1400000000000166</v>
      </c>
      <c r="AP38" s="26">
        <f t="shared" ref="AP38:CD38" si="489">AP34+AP35-AP36</f>
        <v>19.480000000000018</v>
      </c>
      <c r="AQ38" s="26">
        <f t="shared" si="489"/>
        <v>7.5100000000000247</v>
      </c>
      <c r="AR38" s="26">
        <f t="shared" si="489"/>
        <v>13.479999999999992</v>
      </c>
      <c r="AS38" s="26">
        <f t="shared" si="489"/>
        <v>3.9500000000000011</v>
      </c>
      <c r="AT38" s="26">
        <f t="shared" si="489"/>
        <v>3.6899999999999409</v>
      </c>
      <c r="AU38" s="26">
        <f t="shared" si="489"/>
        <v>7.9999999999999947</v>
      </c>
      <c r="AV38" s="26">
        <f t="shared" si="489"/>
        <v>10.680000000000023</v>
      </c>
      <c r="AW38" s="26">
        <f t="shared" si="489"/>
        <v>6.1399999999999686</v>
      </c>
      <c r="AX38" s="26">
        <f t="shared" si="489"/>
        <v>25.459999999999965</v>
      </c>
      <c r="AY38" s="26">
        <f t="shared" si="489"/>
        <v>30.150000000000002</v>
      </c>
      <c r="AZ38" s="26">
        <f t="shared" si="489"/>
        <v>38.360000000000042</v>
      </c>
      <c r="BA38" s="26">
        <f t="shared" si="489"/>
        <v>48.320000000000043</v>
      </c>
      <c r="BB38" s="26">
        <f t="shared" si="489"/>
        <v>51.170000000000073</v>
      </c>
      <c r="BC38" s="26">
        <f t="shared" si="489"/>
        <v>28.899999999999974</v>
      </c>
      <c r="BD38" s="26">
        <f t="shared" si="489"/>
        <v>38.450000000000017</v>
      </c>
      <c r="BE38" s="26">
        <f t="shared" si="489"/>
        <v>38.230000000000025</v>
      </c>
      <c r="BF38" s="26">
        <f t="shared" si="489"/>
        <v>64.769999999999953</v>
      </c>
      <c r="BG38" s="26">
        <f t="shared" si="489"/>
        <v>37.619999999999976</v>
      </c>
      <c r="BH38" s="26">
        <f t="shared" si="489"/>
        <v>73.88</v>
      </c>
      <c r="BI38" s="26">
        <f t="shared" si="489"/>
        <v>75.02000000000001</v>
      </c>
      <c r="BJ38" s="26">
        <f t="shared" si="489"/>
        <v>84.580000000000013</v>
      </c>
      <c r="BK38" s="26">
        <f t="shared" si="489"/>
        <v>56.70000000000001</v>
      </c>
      <c r="BL38" s="26">
        <f t="shared" si="489"/>
        <v>67.55</v>
      </c>
      <c r="BM38" s="26">
        <f t="shared" si="489"/>
        <v>63.399999999999956</v>
      </c>
      <c r="BN38" s="26">
        <f t="shared" si="489"/>
        <v>59.689999999999976</v>
      </c>
      <c r="BO38" s="26">
        <f t="shared" si="489"/>
        <v>27.629999999999992</v>
      </c>
      <c r="BP38" s="26">
        <f t="shared" si="489"/>
        <v>24.039999999999988</v>
      </c>
      <c r="BQ38" s="26">
        <f t="shared" si="489"/>
        <v>6.9699999999999962</v>
      </c>
      <c r="BR38" s="26">
        <f t="shared" si="489"/>
        <v>26.799999999999994</v>
      </c>
      <c r="BS38" s="26">
        <f t="shared" si="489"/>
        <v>25.229999999999968</v>
      </c>
      <c r="BT38" s="26">
        <f t="shared" si="489"/>
        <v>32.760000000000005</v>
      </c>
      <c r="BU38" s="26">
        <f t="shared" si="489"/>
        <v>7.9500000000000419</v>
      </c>
      <c r="BV38" s="26">
        <f t="shared" si="489"/>
        <v>71.56</v>
      </c>
      <c r="BW38" s="26">
        <f t="shared" si="489"/>
        <v>80.150000000000006</v>
      </c>
      <c r="BX38" s="26">
        <f t="shared" si="489"/>
        <v>134.70999999999998</v>
      </c>
      <c r="BY38" s="26">
        <f t="shared" si="489"/>
        <v>146.33000000000001</v>
      </c>
      <c r="BZ38" s="26">
        <f t="shared" si="489"/>
        <v>153.74999999999997</v>
      </c>
      <c r="CA38" s="26">
        <f t="shared" si="489"/>
        <v>94.170000000000016</v>
      </c>
      <c r="CB38" s="26">
        <f t="shared" si="489"/>
        <v>92.2</v>
      </c>
      <c r="CC38" s="26">
        <f t="shared" si="489"/>
        <v>87.749999999999986</v>
      </c>
      <c r="CD38" s="26">
        <f t="shared" si="489"/>
        <v>69.839999999999918</v>
      </c>
      <c r="CE38" s="26">
        <f t="shared" ref="CE38:CF38" si="490">CE34+CE35-CE36</f>
        <v>49.86</v>
      </c>
      <c r="CF38" s="26">
        <f t="shared" si="490"/>
        <v>33.330000000000041</v>
      </c>
      <c r="CG38" s="26">
        <f t="shared" ref="CG38:CH38" si="491">CG34+CG35-CG36</f>
        <v>15.139999999999928</v>
      </c>
      <c r="CH38" s="26">
        <f t="shared" si="491"/>
        <v>27.97</v>
      </c>
      <c r="CI38" s="26">
        <f t="shared" ref="CI38:CJ38" si="492">CI34+CI35-CI36</f>
        <v>22.259999999999977</v>
      </c>
      <c r="CJ38" s="26">
        <f t="shared" si="492"/>
        <v>24.070000000000011</v>
      </c>
      <c r="CK38" s="26">
        <f t="shared" ref="CK38:CL38" si="493">CK34+CK35-CK36</f>
        <v>21.129999999999978</v>
      </c>
      <c r="CL38" s="26">
        <f t="shared" si="493"/>
        <v>23.44000000000009</v>
      </c>
      <c r="CM38" s="27">
        <f t="shared" ref="CM38:DB38" si="494">CM34+CM35-CM36</f>
        <v>14.463679388404167</v>
      </c>
      <c r="CN38" s="27">
        <f t="shared" si="494"/>
        <v>21.766323855553775</v>
      </c>
      <c r="CO38" s="27">
        <f t="shared" si="494"/>
        <v>25.426575271412553</v>
      </c>
      <c r="CP38" s="27">
        <f t="shared" si="494"/>
        <v>35.739920196394102</v>
      </c>
      <c r="CQ38" s="27">
        <f t="shared" si="494"/>
        <v>17.332013029214302</v>
      </c>
      <c r="CR38" s="27">
        <f t="shared" si="494"/>
        <v>25.175148528145577</v>
      </c>
      <c r="CS38" s="27">
        <f t="shared" si="494"/>
        <v>30.016833123303627</v>
      </c>
      <c r="CT38" s="27">
        <f t="shared" si="494"/>
        <v>41.703288036553786</v>
      </c>
      <c r="CU38" s="27">
        <f t="shared" si="494"/>
        <v>21.505340936093287</v>
      </c>
      <c r="CV38" s="27">
        <f t="shared" si="494"/>
        <v>29.710073387187769</v>
      </c>
      <c r="CW38" s="27">
        <f t="shared" si="494"/>
        <v>34.869619992793659</v>
      </c>
      <c r="CX38" s="27">
        <f t="shared" si="494"/>
        <v>46.742579863118806</v>
      </c>
      <c r="CY38" s="27">
        <f t="shared" si="494"/>
        <v>26.24579129421565</v>
      </c>
      <c r="CZ38" s="27">
        <f t="shared" si="494"/>
        <v>34.632195377095336</v>
      </c>
      <c r="DA38" s="27">
        <f t="shared" si="494"/>
        <v>39.917731686881112</v>
      </c>
      <c r="DB38" s="27">
        <f t="shared" si="494"/>
        <v>51.905881346542017</v>
      </c>
      <c r="DE38" s="121"/>
      <c r="DF38" s="26">
        <v>90.899999999999849</v>
      </c>
    </row>
    <row r="39" spans="1:110" s="23" customFormat="1" x14ac:dyDescent="0.2">
      <c r="A39" s="23" t="s">
        <v>21</v>
      </c>
      <c r="B39" s="23">
        <f>'Annual Raw'!C30</f>
        <v>0.2</v>
      </c>
      <c r="C39" s="23">
        <f>'Annual Raw'!D30</f>
        <v>2.0299999999999998</v>
      </c>
      <c r="D39" s="23">
        <f>'Annual Raw'!E30</f>
        <v>10.94</v>
      </c>
      <c r="E39" s="23">
        <f>'Annual Raw'!F30</f>
        <v>11.86</v>
      </c>
      <c r="F39" s="23">
        <f>'Annual Raw'!G30</f>
        <v>5.0199999999999996</v>
      </c>
      <c r="G39" s="23">
        <f>'Annual Raw'!H30</f>
        <v>9.3149999999999995</v>
      </c>
      <c r="H39" s="23">
        <f>'Annual Raw'!I30</f>
        <v>2.2949999999999999</v>
      </c>
      <c r="I39" s="23">
        <f>'Annual Raw'!J30</f>
        <v>14.72</v>
      </c>
      <c r="J39" s="23">
        <f>'Annual Raw'!K30</f>
        <v>8.8800000000000008</v>
      </c>
      <c r="K39" s="23">
        <f>'Annual Raw'!L30</f>
        <v>19.78</v>
      </c>
      <c r="L39" s="23">
        <f>'Annual Raw'!M30</f>
        <v>-4.2300000000000004</v>
      </c>
      <c r="M39" s="23">
        <f>'Annual Raw'!N30</f>
        <v>10.86</v>
      </c>
      <c r="N39" s="23">
        <f>'Annual Raw'!O30</f>
        <v>-4.0427999999999997</v>
      </c>
      <c r="O39" s="23">
        <f>'Annual Raw'!P30</f>
        <v>14.4489</v>
      </c>
      <c r="P39" s="23">
        <f>'Annual Raw'!Q30</f>
        <v>8.1098999999999997</v>
      </c>
      <c r="Q39" s="23">
        <f>'Annual Raw'!R30</f>
        <v>14.7516</v>
      </c>
      <c r="R39" s="23">
        <f>'Annual Raw'!S30</f>
        <v>40.020000000000003</v>
      </c>
      <c r="S39" s="23">
        <f>'Annual Raw'!T30</f>
        <v>52.37</v>
      </c>
      <c r="T39" s="23">
        <f>'Annual Raw'!U30</f>
        <v>81.36</v>
      </c>
      <c r="U39" s="23">
        <f>'Annual Raw'!V30</f>
        <v>74.27</v>
      </c>
      <c r="V39" s="23">
        <f>'Annual Raw'!W30</f>
        <v>-13.86</v>
      </c>
      <c r="W39" s="23">
        <f>'Annual Raw'!X30</f>
        <v>35.5</v>
      </c>
      <c r="X39" s="23">
        <f>'Annual Raw'!Y30</f>
        <v>129.65</v>
      </c>
      <c r="Y39" s="23">
        <f>'Annual Raw'!Z30</f>
        <v>86.08</v>
      </c>
      <c r="Z39" s="23">
        <f>'Annual Raw'!AA30</f>
        <v>23.32</v>
      </c>
      <c r="AA39" s="23">
        <f>'Annual Raw'!AB30</f>
        <v>23.9</v>
      </c>
      <c r="AB39" s="24">
        <f>+SUM(CM39:CP39)</f>
        <v>25.441921213262486</v>
      </c>
      <c r="AC39" s="24">
        <f>+SUM(CQ39:CT39)</f>
        <v>29.827804809797129</v>
      </c>
      <c r="AD39" s="24">
        <f>+SUM(CU39:CX39)</f>
        <v>34.682165663945781</v>
      </c>
      <c r="AE39" s="24">
        <f>+SUM(CY39:DB39)</f>
        <v>39.87072630039043</v>
      </c>
      <c r="AI39" s="23">
        <f>'QTR Raw'!C29</f>
        <v>-1.01</v>
      </c>
      <c r="AJ39" s="23">
        <f>'QTR Raw'!D29</f>
        <v>-1.01</v>
      </c>
      <c r="AK39" s="23">
        <f>'QTR Raw'!E29</f>
        <v>-1.01</v>
      </c>
      <c r="AL39" s="23">
        <f>'QTR Raw'!F29</f>
        <v>-1.01</v>
      </c>
      <c r="AM39" s="23">
        <f>'QTR Raw'!G29</f>
        <v>3.33</v>
      </c>
      <c r="AN39" s="23">
        <f>'QTR Raw'!H29</f>
        <v>2.81</v>
      </c>
      <c r="AO39" s="23">
        <f>'QTR Raw'!I29</f>
        <v>1.04</v>
      </c>
      <c r="AP39" s="23">
        <f>'QTR Raw'!J29</f>
        <v>7.27</v>
      </c>
      <c r="AQ39" s="23">
        <f>'QTR Raw'!K29</f>
        <v>2.48</v>
      </c>
      <c r="AR39" s="23">
        <f>'QTR Raw'!L29</f>
        <v>3.39</v>
      </c>
      <c r="AS39" s="23">
        <f>'QTR Raw'!M29</f>
        <v>1.3</v>
      </c>
      <c r="AT39" s="23">
        <f>'QTR Raw'!N29</f>
        <v>0.89</v>
      </c>
      <c r="AU39" s="23">
        <f>'QTR Raw'!O29</f>
        <v>2.61</v>
      </c>
      <c r="AV39" s="23">
        <f>'QTR Raw'!P29</f>
        <v>3.49</v>
      </c>
      <c r="AW39" s="23">
        <f>'QTR Raw'!Q29</f>
        <v>2.0099999999999998</v>
      </c>
      <c r="AX39" s="23">
        <f>'QTR Raw'!R29</f>
        <v>6.59</v>
      </c>
      <c r="AY39" s="23">
        <f>'QTR Raw'!S29</f>
        <v>6.03</v>
      </c>
      <c r="AZ39" s="23">
        <f>'QTR Raw'!T29</f>
        <v>7.67</v>
      </c>
      <c r="BA39" s="23">
        <f>'QTR Raw'!U29</f>
        <v>13.83</v>
      </c>
      <c r="BB39" s="23">
        <f>'QTR Raw'!V29</f>
        <v>12.42</v>
      </c>
      <c r="BC39" s="23">
        <f>'QTR Raw'!W29</f>
        <v>7.15</v>
      </c>
      <c r="BD39" s="23">
        <f>'QTR Raw'!X29</f>
        <v>12.19</v>
      </c>
      <c r="BE39" s="23">
        <f>'QTR Raw'!Y29</f>
        <v>12.15</v>
      </c>
      <c r="BF39" s="23">
        <f>'QTR Raw'!Z29</f>
        <v>20.81</v>
      </c>
      <c r="BG39" s="23">
        <f>'QTR Raw'!AA29</f>
        <v>10.71</v>
      </c>
      <c r="BH39" s="23">
        <f>'QTR Raw'!AB29</f>
        <v>23.71</v>
      </c>
      <c r="BI39" s="23">
        <f>'QTR Raw'!AC29</f>
        <v>24.47</v>
      </c>
      <c r="BJ39" s="23">
        <f>'QTR Raw'!AD29</f>
        <v>22.48</v>
      </c>
      <c r="BK39" s="23">
        <f>'QTR Raw'!AE29</f>
        <v>17.84</v>
      </c>
      <c r="BL39" s="23">
        <f>'QTR Raw'!AF29</f>
        <v>21.25</v>
      </c>
      <c r="BM39" s="23">
        <f>'QTR Raw'!AG29</f>
        <v>19.850000000000001</v>
      </c>
      <c r="BN39" s="23">
        <f>'QTR Raw'!AH29</f>
        <v>15.33</v>
      </c>
      <c r="BO39" s="23">
        <f>'QTR Raw'!AI29</f>
        <v>9.7200000000000006</v>
      </c>
      <c r="BP39" s="23">
        <f>'QTR Raw'!AJ29</f>
        <v>8.5500000000000007</v>
      </c>
      <c r="BQ39" s="23">
        <f>'QTR Raw'!AK29</f>
        <v>2.4900000000000002</v>
      </c>
      <c r="BR39" s="23">
        <f>'QTR Raw'!AL29</f>
        <v>-34.619999999999997</v>
      </c>
      <c r="BS39" s="23">
        <f>'QTR Raw'!AM29</f>
        <v>6.63</v>
      </c>
      <c r="BT39" s="23">
        <f>'QTR Raw'!AN29</f>
        <v>8.84</v>
      </c>
      <c r="BU39" s="23">
        <f>'QTR Raw'!AO29</f>
        <v>2.0299999999999998</v>
      </c>
      <c r="BV39" s="23">
        <f>'QTR Raw'!AP29</f>
        <v>18</v>
      </c>
      <c r="BW39" s="23">
        <f>'QTR Raw'!AQ29</f>
        <v>20.46</v>
      </c>
      <c r="BX39" s="23">
        <f>'QTR Raw'!AR29</f>
        <v>34.39</v>
      </c>
      <c r="BY39" s="23">
        <f>'QTR Raw'!AS29</f>
        <v>36.869999999999997</v>
      </c>
      <c r="BZ39" s="23">
        <f>'QTR Raw'!AT29</f>
        <v>37.93</v>
      </c>
      <c r="CA39" s="23">
        <f>'QTR Raw'!AU29</f>
        <v>24.28</v>
      </c>
      <c r="CB39" s="23">
        <f>'QTR Raw'!AV29</f>
        <v>23.1</v>
      </c>
      <c r="CC39" s="23">
        <f>'QTR Raw'!AW29</f>
        <v>21.98</v>
      </c>
      <c r="CD39" s="23">
        <f>'QTR Raw'!AX29</f>
        <v>16.72</v>
      </c>
      <c r="CE39" s="23">
        <f>'QTR Raw'!AY29</f>
        <v>13.12</v>
      </c>
      <c r="CF39" s="23">
        <f>'QTR Raw'!AZ29</f>
        <v>8.56</v>
      </c>
      <c r="CG39" s="23">
        <f>'QTR Raw'!BA29</f>
        <v>-0.68</v>
      </c>
      <c r="CH39" s="23">
        <f>'QTR Raw'!BB29</f>
        <v>2.3199999999999998</v>
      </c>
      <c r="CI39" s="23">
        <f>'QTR Raw'!BC29</f>
        <v>6.01</v>
      </c>
      <c r="CJ39" s="23">
        <f>'QTR Raw'!BD29</f>
        <v>6.3</v>
      </c>
      <c r="CK39" s="23">
        <f>'QTR Raw'!BE29</f>
        <v>5.59</v>
      </c>
      <c r="CL39" s="23">
        <f>'QTR Raw'!BF29</f>
        <v>6</v>
      </c>
      <c r="CM39" s="24">
        <f t="shared" ref="CM39:DB39" si="495">+CM38*CM40</f>
        <v>3.8048628021981821</v>
      </c>
      <c r="CN39" s="24">
        <f t="shared" si="495"/>
        <v>5.6882224539015107</v>
      </c>
      <c r="CO39" s="24">
        <f t="shared" si="495"/>
        <v>6.6421846995839333</v>
      </c>
      <c r="CP39" s="24">
        <f t="shared" si="495"/>
        <v>9.30665125757886</v>
      </c>
      <c r="CQ39" s="24">
        <f t="shared" si="495"/>
        <v>4.5324251892475997</v>
      </c>
      <c r="CR39" s="24">
        <f t="shared" si="495"/>
        <v>6.5736508812471666</v>
      </c>
      <c r="CS39" s="24">
        <f t="shared" si="495"/>
        <v>7.8362845210986016</v>
      </c>
      <c r="CT39" s="24">
        <f t="shared" si="495"/>
        <v>10.885444218203761</v>
      </c>
      <c r="CU39" s="24">
        <f t="shared" si="495"/>
        <v>5.6166945262019041</v>
      </c>
      <c r="CV39" s="24">
        <f t="shared" si="495"/>
        <v>7.7571340787934524</v>
      </c>
      <c r="CW39" s="24">
        <f t="shared" si="495"/>
        <v>9.104068828633336</v>
      </c>
      <c r="CX39" s="24">
        <f t="shared" si="495"/>
        <v>12.204268230317094</v>
      </c>
      <c r="CY39" s="24">
        <f t="shared" si="495"/>
        <v>6.8531388744970876</v>
      </c>
      <c r="CZ39" s="24">
        <f t="shared" si="495"/>
        <v>9.0424002748021888</v>
      </c>
      <c r="DA39" s="24">
        <f t="shared" si="495"/>
        <v>10.422480527601245</v>
      </c>
      <c r="DB39" s="24">
        <f t="shared" si="495"/>
        <v>13.552706623489911</v>
      </c>
      <c r="DE39" s="123"/>
      <c r="DF39" s="23">
        <v>23.9</v>
      </c>
    </row>
    <row r="40" spans="1:110" s="90" customFormat="1" x14ac:dyDescent="0.2">
      <c r="A40" s="90" t="s">
        <v>106</v>
      </c>
      <c r="B40" s="90">
        <f t="shared" ref="B40:E40" si="496">B39/B38</f>
        <v>6.5703022339028277E-2</v>
      </c>
      <c r="C40" s="90">
        <f t="shared" si="496"/>
        <v>0.42993900372755361</v>
      </c>
      <c r="D40" s="90">
        <f t="shared" si="496"/>
        <v>0.33742416438170258</v>
      </c>
      <c r="E40" s="90">
        <f t="shared" si="496"/>
        <v>0.37624874292947441</v>
      </c>
      <c r="F40" s="90">
        <f t="shared" ref="F40:T40" si="497">F39/F38</f>
        <v>0.43259453310813029</v>
      </c>
      <c r="G40" s="90">
        <f t="shared" si="497"/>
        <v>0.34211106214191289</v>
      </c>
      <c r="H40" s="90">
        <f t="shared" si="497"/>
        <v>5.252112859781171E-2</v>
      </c>
      <c r="I40" s="90">
        <f t="shared" si="497"/>
        <v>0.24326436986760933</v>
      </c>
      <c r="J40" s="90">
        <f t="shared" si="497"/>
        <v>0.37143466639896622</v>
      </c>
      <c r="K40" s="90">
        <f t="shared" si="497"/>
        <v>0.33127001353216212</v>
      </c>
      <c r="L40" s="90">
        <f t="shared" si="497"/>
        <v>-6.960407949016259E-2</v>
      </c>
      <c r="M40" s="90">
        <f t="shared" si="497"/>
        <v>0.24157275877870074</v>
      </c>
      <c r="N40" s="90">
        <f t="shared" si="497"/>
        <v>-0.24558526051063342</v>
      </c>
      <c r="O40" s="90">
        <f t="shared" si="497"/>
        <v>0.35036809637432403</v>
      </c>
      <c r="P40" s="90">
        <f t="shared" si="497"/>
        <v>0.28242926992352496</v>
      </c>
      <c r="Q40" s="90">
        <f t="shared" si="497"/>
        <v>0.29297473143585745</v>
      </c>
      <c r="R40" s="90">
        <f t="shared" si="497"/>
        <v>0.23831358304055267</v>
      </c>
      <c r="S40" s="90">
        <f t="shared" si="497"/>
        <v>0.30824014125956456</v>
      </c>
      <c r="T40" s="90">
        <f t="shared" si="497"/>
        <v>0.30011066027296185</v>
      </c>
      <c r="U40" s="90">
        <f t="shared" ref="U40:Z40" si="498">U39/U38</f>
        <v>0.30027492520417243</v>
      </c>
      <c r="V40" s="90">
        <f t="shared" si="498"/>
        <v>-0.16221910112359547</v>
      </c>
      <c r="W40" s="90">
        <f t="shared" si="498"/>
        <v>0.25818181818181812</v>
      </c>
      <c r="X40" s="90">
        <f t="shared" si="498"/>
        <v>0.25177690604730635</v>
      </c>
      <c r="Y40" s="90">
        <f t="shared" si="498"/>
        <v>0.2502616583323643</v>
      </c>
      <c r="Z40" s="90">
        <f t="shared" si="498"/>
        <v>0.18463974663499627</v>
      </c>
      <c r="AA40" s="90">
        <f t="shared" ref="AA40" si="499">AA39/AA38</f>
        <v>0.2629262926292627</v>
      </c>
      <c r="AB40" s="91">
        <f t="shared" ref="AA40:AD40" si="500">AB39/AB38</f>
        <v>0.26122008028805294</v>
      </c>
      <c r="AC40" s="91">
        <f t="shared" si="500"/>
        <v>0.26112680001011024</v>
      </c>
      <c r="AD40" s="91">
        <f t="shared" si="500"/>
        <v>0.26110659201600322</v>
      </c>
      <c r="AE40" s="91">
        <f t="shared" ref="AE40" si="501">AE39/AE38</f>
        <v>0.26110221751104745</v>
      </c>
      <c r="AI40" s="90">
        <f t="shared" ref="AI40" si="502">AI39/AI38</f>
        <v>-0.20528455284552846</v>
      </c>
      <c r="AJ40" s="90">
        <f t="shared" ref="AJ40" si="503">AJ39/AJ38</f>
        <v>-0.2354312354312342</v>
      </c>
      <c r="AK40" s="90">
        <f t="shared" ref="AK40:AM40" si="504">AK39/AK38</f>
        <v>-1.0000000000000266</v>
      </c>
      <c r="AL40" s="90">
        <f t="shared" si="504"/>
        <v>-0.16134185303514353</v>
      </c>
      <c r="AM40" s="90">
        <f t="shared" si="504"/>
        <v>0.32905138339920886</v>
      </c>
      <c r="AN40" s="90">
        <f t="shared" ref="AN40:AO40" si="505">AN39/AN38</f>
        <v>0.33058823529411901</v>
      </c>
      <c r="AO40" s="90">
        <f t="shared" si="505"/>
        <v>0.33121019108280081</v>
      </c>
      <c r="AP40" s="90">
        <f t="shared" ref="AP40:CD40" si="506">AP39/AP38</f>
        <v>0.37320328542094416</v>
      </c>
      <c r="AQ40" s="90">
        <f t="shared" si="506"/>
        <v>0.33022636484686974</v>
      </c>
      <c r="AR40" s="90">
        <f t="shared" si="506"/>
        <v>0.25148367952522271</v>
      </c>
      <c r="AS40" s="90">
        <f t="shared" si="506"/>
        <v>0.32911392405063283</v>
      </c>
      <c r="AT40" s="90">
        <f t="shared" si="506"/>
        <v>0.24119241192412311</v>
      </c>
      <c r="AU40" s="90">
        <f t="shared" si="506"/>
        <v>0.32625000000000021</v>
      </c>
      <c r="AV40" s="90">
        <f t="shared" si="506"/>
        <v>0.32677902621722776</v>
      </c>
      <c r="AW40" s="90">
        <f t="shared" si="506"/>
        <v>0.32736156351791695</v>
      </c>
      <c r="AX40" s="90">
        <f t="shared" si="506"/>
        <v>0.25883739198743161</v>
      </c>
      <c r="AY40" s="90">
        <f t="shared" si="506"/>
        <v>0.19999999999999998</v>
      </c>
      <c r="AZ40" s="90">
        <f t="shared" si="506"/>
        <v>0.19994786235662126</v>
      </c>
      <c r="BA40" s="90">
        <f t="shared" si="506"/>
        <v>0.28621688741721829</v>
      </c>
      <c r="BB40" s="90">
        <f t="shared" si="506"/>
        <v>0.24272034395153375</v>
      </c>
      <c r="BC40" s="90">
        <f t="shared" si="506"/>
        <v>0.24740484429065768</v>
      </c>
      <c r="BD40" s="90">
        <f t="shared" si="506"/>
        <v>0.3170351105331598</v>
      </c>
      <c r="BE40" s="90">
        <f t="shared" si="506"/>
        <v>0.31781323567878611</v>
      </c>
      <c r="BF40" s="90">
        <f t="shared" si="506"/>
        <v>0.32129072101281481</v>
      </c>
      <c r="BG40" s="90">
        <f t="shared" si="506"/>
        <v>0.28468899521531121</v>
      </c>
      <c r="BH40" s="90">
        <f t="shared" si="506"/>
        <v>0.32092582566323774</v>
      </c>
      <c r="BI40" s="90">
        <f t="shared" si="506"/>
        <v>0.32617968541722203</v>
      </c>
      <c r="BJ40" s="90">
        <f t="shared" si="506"/>
        <v>0.26578387325608888</v>
      </c>
      <c r="BK40" s="90">
        <f t="shared" si="506"/>
        <v>0.31463844797178125</v>
      </c>
      <c r="BL40" s="90">
        <f t="shared" si="506"/>
        <v>0.3145817912657291</v>
      </c>
      <c r="BM40" s="90">
        <f t="shared" si="506"/>
        <v>0.31309148264984249</v>
      </c>
      <c r="BN40" s="90">
        <f t="shared" si="506"/>
        <v>0.25682693918579336</v>
      </c>
      <c r="BO40" s="90">
        <f t="shared" si="506"/>
        <v>0.35179153094462551</v>
      </c>
      <c r="BP40" s="90">
        <f t="shared" si="506"/>
        <v>0.35565723793677223</v>
      </c>
      <c r="BQ40" s="90">
        <f t="shared" si="506"/>
        <v>0.35724533715925416</v>
      </c>
      <c r="BR40" s="90">
        <f t="shared" si="506"/>
        <v>-1.2917910447761196</v>
      </c>
      <c r="BS40" s="90">
        <f t="shared" si="506"/>
        <v>0.26278240190249735</v>
      </c>
      <c r="BT40" s="90">
        <f t="shared" si="506"/>
        <v>0.26984126984126977</v>
      </c>
      <c r="BU40" s="90">
        <f t="shared" si="506"/>
        <v>0.25534591194968415</v>
      </c>
      <c r="BV40" s="90">
        <f t="shared" si="506"/>
        <v>0.25153717160424816</v>
      </c>
      <c r="BW40" s="90">
        <f t="shared" si="506"/>
        <v>0.25527136618839674</v>
      </c>
      <c r="BX40" s="90">
        <f t="shared" si="506"/>
        <v>0.25528913963328637</v>
      </c>
      <c r="BY40" s="90">
        <f t="shared" si="506"/>
        <v>0.25196473723775026</v>
      </c>
      <c r="BZ40" s="90">
        <f t="shared" si="506"/>
        <v>0.24669918699186996</v>
      </c>
      <c r="CA40" s="90">
        <f t="shared" si="506"/>
        <v>0.25783158118296695</v>
      </c>
      <c r="CB40" s="90">
        <f t="shared" si="506"/>
        <v>0.25054229934924077</v>
      </c>
      <c r="CC40" s="90">
        <f t="shared" si="506"/>
        <v>0.25048433048433055</v>
      </c>
      <c r="CD40" s="90">
        <f t="shared" si="506"/>
        <v>0.23940435280641492</v>
      </c>
      <c r="CE40" s="90">
        <f t="shared" ref="CE40:CF40" si="507">CE39/CE38</f>
        <v>0.26313678299237864</v>
      </c>
      <c r="CF40" s="90">
        <f t="shared" si="507"/>
        <v>0.25682568256825655</v>
      </c>
      <c r="CG40" s="90">
        <f t="shared" ref="CG40:CH40" si="508">CG39/CG38</f>
        <v>-4.4914134742404445E-2</v>
      </c>
      <c r="CH40" s="90">
        <f t="shared" si="508"/>
        <v>8.2946013585984982E-2</v>
      </c>
      <c r="CI40" s="90">
        <f t="shared" ref="CI40:CJ40" si="509">CI39/CI38</f>
        <v>0.26999101527403441</v>
      </c>
      <c r="CJ40" s="90">
        <f t="shared" si="509"/>
        <v>0.26173660157872858</v>
      </c>
      <c r="CK40" s="90">
        <f t="shared" ref="CK40:CL40" si="510">CK39/CK38</f>
        <v>0.26455276857548538</v>
      </c>
      <c r="CL40" s="90">
        <f t="shared" si="510"/>
        <v>0.25597269624573282</v>
      </c>
      <c r="CM40" s="91">
        <f t="shared" ref="CM40:DB40" si="511">AVERAGE(CI40:CL40)</f>
        <v>0.26306327041849531</v>
      </c>
      <c r="CN40" s="91">
        <f t="shared" si="511"/>
        <v>0.26133133420461052</v>
      </c>
      <c r="CO40" s="91">
        <f t="shared" si="511"/>
        <v>0.26123001736108098</v>
      </c>
      <c r="CP40" s="91">
        <f t="shared" si="511"/>
        <v>0.26039932955747991</v>
      </c>
      <c r="CQ40" s="91">
        <f t="shared" si="511"/>
        <v>0.26150598788541668</v>
      </c>
      <c r="CR40" s="91">
        <f t="shared" si="511"/>
        <v>0.26111666725214699</v>
      </c>
      <c r="CS40" s="91">
        <f t="shared" si="511"/>
        <v>0.26106300051403114</v>
      </c>
      <c r="CT40" s="91">
        <f t="shared" si="511"/>
        <v>0.26102124630226869</v>
      </c>
      <c r="CU40" s="91">
        <f t="shared" si="511"/>
        <v>0.26117672548846588</v>
      </c>
      <c r="CV40" s="91">
        <f t="shared" si="511"/>
        <v>0.26109440988922816</v>
      </c>
      <c r="CW40" s="91">
        <f t="shared" si="511"/>
        <v>0.26108884554849843</v>
      </c>
      <c r="CX40" s="91">
        <f t="shared" si="511"/>
        <v>0.26109530680711529</v>
      </c>
      <c r="CY40" s="91">
        <f t="shared" si="511"/>
        <v>0.26111382193332694</v>
      </c>
      <c r="CZ40" s="91">
        <f t="shared" si="511"/>
        <v>0.2610980960445422</v>
      </c>
      <c r="DA40" s="91">
        <f t="shared" si="511"/>
        <v>0.26109901758337067</v>
      </c>
      <c r="DB40" s="91">
        <f t="shared" si="511"/>
        <v>0.26110156059208878</v>
      </c>
      <c r="DE40" s="127"/>
      <c r="DF40" s="90">
        <v>0.26292629262926337</v>
      </c>
    </row>
    <row r="41" spans="1:110" s="26" customFormat="1" x14ac:dyDescent="0.2">
      <c r="A41" s="26" t="s">
        <v>22</v>
      </c>
      <c r="B41" s="26">
        <f t="shared" ref="B41:E41" si="512">B38-B39</f>
        <v>2.8439999999999683</v>
      </c>
      <c r="C41" s="26">
        <f t="shared" si="512"/>
        <v>2.6915999999999598</v>
      </c>
      <c r="D41" s="26">
        <f t="shared" si="512"/>
        <v>21.482100000000003</v>
      </c>
      <c r="E41" s="26">
        <f t="shared" si="512"/>
        <v>19.661699999999964</v>
      </c>
      <c r="F41" s="26">
        <f t="shared" ref="F41:T41" si="513">F38-F39</f>
        <v>6.5844000000000289</v>
      </c>
      <c r="G41" s="26">
        <f t="shared" si="513"/>
        <v>17.91299999999999</v>
      </c>
      <c r="H41" s="26">
        <f t="shared" si="513"/>
        <v>41.401700000000019</v>
      </c>
      <c r="I41" s="26">
        <f t="shared" si="513"/>
        <v>45.790300000000002</v>
      </c>
      <c r="J41" s="26">
        <f t="shared" si="513"/>
        <v>15.027299999999988</v>
      </c>
      <c r="K41" s="26">
        <f t="shared" si="513"/>
        <v>39.929600000000036</v>
      </c>
      <c r="L41" s="26">
        <f t="shared" si="513"/>
        <v>65.002299999999892</v>
      </c>
      <c r="M41" s="26">
        <f t="shared" si="513"/>
        <v>34.095399999999984</v>
      </c>
      <c r="N41" s="26">
        <f t="shared" si="513"/>
        <v>20.504700000000014</v>
      </c>
      <c r="O41" s="26">
        <f t="shared" si="513"/>
        <v>26.790299999999931</v>
      </c>
      <c r="P41" s="26">
        <f t="shared" si="513"/>
        <v>20.604899999999876</v>
      </c>
      <c r="Q41" s="26">
        <f t="shared" si="513"/>
        <v>35.599499999999992</v>
      </c>
      <c r="R41" s="26">
        <f t="shared" si="513"/>
        <v>127.90999999999997</v>
      </c>
      <c r="S41" s="26">
        <f t="shared" si="513"/>
        <v>117.52999999999992</v>
      </c>
      <c r="T41" s="26">
        <f t="shared" si="513"/>
        <v>189.74000000000012</v>
      </c>
      <c r="U41" s="26">
        <f t="shared" ref="U41:Z41" si="514">U38-U39</f>
        <v>173.06999999999994</v>
      </c>
      <c r="V41" s="26">
        <f t="shared" si="514"/>
        <v>99.300000000000011</v>
      </c>
      <c r="W41" s="26">
        <f t="shared" si="514"/>
        <v>102.00000000000003</v>
      </c>
      <c r="X41" s="26">
        <f t="shared" si="514"/>
        <v>385.2900000000003</v>
      </c>
      <c r="Y41" s="26">
        <f t="shared" si="514"/>
        <v>257.87999999999994</v>
      </c>
      <c r="Z41" s="26">
        <f t="shared" si="514"/>
        <v>102.97999999999985</v>
      </c>
      <c r="AA41" s="26">
        <f t="shared" ref="AA41" si="515">AA38-AA39</f>
        <v>67.000000000000085</v>
      </c>
      <c r="AB41" s="27">
        <f t="shared" ref="AA41:AD41" si="516">AB38-AB39</f>
        <v>71.954577498502474</v>
      </c>
      <c r="AC41" s="27">
        <f t="shared" si="516"/>
        <v>84.399477907420192</v>
      </c>
      <c r="AD41" s="27">
        <f t="shared" si="516"/>
        <v>98.145448515247793</v>
      </c>
      <c r="AE41" s="27">
        <f t="shared" ref="AE41" si="517">AE38-AE39</f>
        <v>112.83087340434386</v>
      </c>
      <c r="AI41" s="26">
        <f>AI38-AI39</f>
        <v>5.93</v>
      </c>
      <c r="AJ41" s="26">
        <f t="shared" ref="AJ41" si="518">AJ38-AJ39</f>
        <v>5.300000000000022</v>
      </c>
      <c r="AK41" s="26">
        <f t="shared" ref="AK41:AM41" si="519">AK38-AK39</f>
        <v>2.0199999999999729</v>
      </c>
      <c r="AL41" s="26">
        <f t="shared" si="519"/>
        <v>7.2700000000000085</v>
      </c>
      <c r="AM41" s="26">
        <f t="shared" si="519"/>
        <v>6.7900000000000187</v>
      </c>
      <c r="AN41" s="26">
        <f t="shared" ref="AN41:AO41" si="520">AN38-AN39</f>
        <v>5.689999999999964</v>
      </c>
      <c r="AO41" s="26">
        <f t="shared" si="520"/>
        <v>2.1000000000000165</v>
      </c>
      <c r="AP41" s="26">
        <f t="shared" ref="AP41:CD41" si="521">AP38-AP39</f>
        <v>12.210000000000019</v>
      </c>
      <c r="AQ41" s="26">
        <f t="shared" si="521"/>
        <v>5.0300000000000242</v>
      </c>
      <c r="AR41" s="26">
        <f t="shared" si="521"/>
        <v>10.089999999999991</v>
      </c>
      <c r="AS41" s="26">
        <f t="shared" si="521"/>
        <v>2.6500000000000012</v>
      </c>
      <c r="AT41" s="26">
        <f t="shared" si="521"/>
        <v>2.7999999999999408</v>
      </c>
      <c r="AU41" s="26">
        <f t="shared" si="521"/>
        <v>5.3899999999999952</v>
      </c>
      <c r="AV41" s="26">
        <f t="shared" si="521"/>
        <v>7.1900000000000226</v>
      </c>
      <c r="AW41" s="26">
        <f t="shared" si="521"/>
        <v>4.1299999999999688</v>
      </c>
      <c r="AX41" s="26">
        <f t="shared" si="521"/>
        <v>18.869999999999965</v>
      </c>
      <c r="AY41" s="26">
        <f t="shared" si="521"/>
        <v>24.12</v>
      </c>
      <c r="AZ41" s="26">
        <f t="shared" si="521"/>
        <v>30.69000000000004</v>
      </c>
      <c r="BA41" s="26">
        <f t="shared" si="521"/>
        <v>34.490000000000045</v>
      </c>
      <c r="BB41" s="26">
        <f t="shared" si="521"/>
        <v>38.750000000000071</v>
      </c>
      <c r="BC41" s="26">
        <f t="shared" si="521"/>
        <v>21.749999999999972</v>
      </c>
      <c r="BD41" s="26">
        <f t="shared" si="521"/>
        <v>26.260000000000019</v>
      </c>
      <c r="BE41" s="26">
        <f t="shared" si="521"/>
        <v>26.080000000000027</v>
      </c>
      <c r="BF41" s="26">
        <f t="shared" si="521"/>
        <v>43.959999999999951</v>
      </c>
      <c r="BG41" s="26">
        <f t="shared" si="521"/>
        <v>26.909999999999975</v>
      </c>
      <c r="BH41" s="26">
        <f t="shared" si="521"/>
        <v>50.169999999999995</v>
      </c>
      <c r="BI41" s="26">
        <f t="shared" si="521"/>
        <v>50.550000000000011</v>
      </c>
      <c r="BJ41" s="26">
        <f t="shared" si="521"/>
        <v>62.100000000000009</v>
      </c>
      <c r="BK41" s="26">
        <f t="shared" si="521"/>
        <v>38.860000000000014</v>
      </c>
      <c r="BL41" s="26">
        <f t="shared" si="521"/>
        <v>46.3</v>
      </c>
      <c r="BM41" s="26">
        <f t="shared" si="521"/>
        <v>43.549999999999955</v>
      </c>
      <c r="BN41" s="26">
        <f t="shared" si="521"/>
        <v>44.359999999999978</v>
      </c>
      <c r="BO41" s="26">
        <f t="shared" si="521"/>
        <v>17.909999999999989</v>
      </c>
      <c r="BP41" s="26">
        <f t="shared" si="521"/>
        <v>15.489999999999988</v>
      </c>
      <c r="BQ41" s="26">
        <f t="shared" si="521"/>
        <v>4.479999999999996</v>
      </c>
      <c r="BR41" s="26">
        <f t="shared" si="521"/>
        <v>61.419999999999987</v>
      </c>
      <c r="BS41" s="26">
        <f t="shared" si="521"/>
        <v>18.599999999999969</v>
      </c>
      <c r="BT41" s="26">
        <f t="shared" si="521"/>
        <v>23.920000000000005</v>
      </c>
      <c r="BU41" s="26">
        <f t="shared" si="521"/>
        <v>5.9200000000000426</v>
      </c>
      <c r="BV41" s="26">
        <f t="shared" si="521"/>
        <v>53.56</v>
      </c>
      <c r="BW41" s="26">
        <f t="shared" si="521"/>
        <v>59.690000000000005</v>
      </c>
      <c r="BX41" s="26">
        <f t="shared" si="521"/>
        <v>100.31999999999998</v>
      </c>
      <c r="BY41" s="26">
        <f t="shared" si="521"/>
        <v>109.46000000000001</v>
      </c>
      <c r="BZ41" s="26">
        <f t="shared" si="521"/>
        <v>115.81999999999996</v>
      </c>
      <c r="CA41" s="26">
        <f t="shared" si="521"/>
        <v>69.890000000000015</v>
      </c>
      <c r="CB41" s="26">
        <f t="shared" si="521"/>
        <v>69.099999999999994</v>
      </c>
      <c r="CC41" s="26">
        <f t="shared" si="521"/>
        <v>65.769999999999982</v>
      </c>
      <c r="CD41" s="26">
        <f t="shared" si="521"/>
        <v>53.119999999999919</v>
      </c>
      <c r="CE41" s="26">
        <f t="shared" ref="CE41:CF41" si="522">CE38-CE39</f>
        <v>36.74</v>
      </c>
      <c r="CF41" s="26">
        <f t="shared" si="522"/>
        <v>24.770000000000039</v>
      </c>
      <c r="CG41" s="26">
        <f t="shared" ref="CG41:CH41" si="523">CG38-CG39</f>
        <v>15.819999999999927</v>
      </c>
      <c r="CH41" s="26">
        <f t="shared" si="523"/>
        <v>25.65</v>
      </c>
      <c r="CI41" s="26">
        <f t="shared" ref="CI41:CJ41" si="524">CI38-CI39</f>
        <v>16.249999999999979</v>
      </c>
      <c r="CJ41" s="26">
        <f t="shared" si="524"/>
        <v>17.77000000000001</v>
      </c>
      <c r="CK41" s="26">
        <f t="shared" ref="CK41:CL41" si="525">CK38-CK39</f>
        <v>15.539999999999978</v>
      </c>
      <c r="CL41" s="26">
        <f t="shared" si="525"/>
        <v>17.44000000000009</v>
      </c>
      <c r="CM41" s="27">
        <f t="shared" ref="CM41:DB41" si="526">CM38-CM39</f>
        <v>10.658816586205985</v>
      </c>
      <c r="CN41" s="27">
        <f t="shared" si="526"/>
        <v>16.078101401652265</v>
      </c>
      <c r="CO41" s="27">
        <f t="shared" si="526"/>
        <v>18.78439057182862</v>
      </c>
      <c r="CP41" s="27">
        <f t="shared" si="526"/>
        <v>26.433268938815242</v>
      </c>
      <c r="CQ41" s="27">
        <f t="shared" si="526"/>
        <v>12.799587839966701</v>
      </c>
      <c r="CR41" s="27">
        <f t="shared" si="526"/>
        <v>18.601497646898409</v>
      </c>
      <c r="CS41" s="27">
        <f t="shared" si="526"/>
        <v>22.180548602205025</v>
      </c>
      <c r="CT41" s="27">
        <f t="shared" si="526"/>
        <v>30.817843818350028</v>
      </c>
      <c r="CU41" s="27">
        <f t="shared" si="526"/>
        <v>15.888646409891383</v>
      </c>
      <c r="CV41" s="27">
        <f t="shared" si="526"/>
        <v>21.952939308394317</v>
      </c>
      <c r="CW41" s="27">
        <f t="shared" si="526"/>
        <v>25.765551164160321</v>
      </c>
      <c r="CX41" s="27">
        <f t="shared" si="526"/>
        <v>34.538311632801708</v>
      </c>
      <c r="CY41" s="27">
        <f t="shared" si="526"/>
        <v>19.392652419718562</v>
      </c>
      <c r="CZ41" s="27">
        <f t="shared" si="526"/>
        <v>25.589795102293145</v>
      </c>
      <c r="DA41" s="27">
        <f t="shared" si="526"/>
        <v>29.495251159279867</v>
      </c>
      <c r="DB41" s="27">
        <f t="shared" si="526"/>
        <v>38.353174723052106</v>
      </c>
      <c r="DE41" s="121"/>
      <c r="DF41" s="26">
        <v>66.999999999999858</v>
      </c>
    </row>
    <row r="42" spans="1:110" s="45" customFormat="1" x14ac:dyDescent="0.2">
      <c r="A42" s="45" t="s">
        <v>107</v>
      </c>
      <c r="B42" s="45">
        <f t="shared" ref="B42:E42" si="527">+B41/B10</f>
        <v>1.2378160641888448E-2</v>
      </c>
      <c r="C42" s="45">
        <f t="shared" si="527"/>
        <v>8.2169424218731368E-3</v>
      </c>
      <c r="D42" s="45">
        <f t="shared" si="527"/>
        <v>6.093301795731533E-2</v>
      </c>
      <c r="E42" s="45">
        <f t="shared" si="527"/>
        <v>5.2549639881674555E-2</v>
      </c>
      <c r="F42" s="45">
        <f t="shared" ref="F42:AE42" si="528">+F41/F10</f>
        <v>1.7077479948667002E-2</v>
      </c>
      <c r="G42" s="45">
        <f t="shared" si="528"/>
        <v>4.2734981563337354E-2</v>
      </c>
      <c r="H42" s="45">
        <f t="shared" si="528"/>
        <v>9.0476177988617998E-2</v>
      </c>
      <c r="I42" s="45">
        <f t="shared" si="528"/>
        <v>9.24981072251881E-2</v>
      </c>
      <c r="J42" s="45">
        <f t="shared" si="528"/>
        <v>2.8400965163727979E-2</v>
      </c>
      <c r="K42" s="45">
        <f t="shared" si="528"/>
        <v>7.8407470011247815E-2</v>
      </c>
      <c r="L42" s="45">
        <f t="shared" si="528"/>
        <v>0.11334736582195623</v>
      </c>
      <c r="M42" s="45">
        <f t="shared" si="528"/>
        <v>5.5764487065963708E-2</v>
      </c>
      <c r="N42" s="45">
        <f t="shared" si="528"/>
        <v>2.4599025813939163E-2</v>
      </c>
      <c r="O42" s="45">
        <f t="shared" si="528"/>
        <v>2.6502732105291464E-2</v>
      </c>
      <c r="P42" s="45">
        <f t="shared" si="528"/>
        <v>2.0311630522697903E-2</v>
      </c>
      <c r="Q42" s="45">
        <f t="shared" si="528"/>
        <v>3.4710014233255738E-2</v>
      </c>
      <c r="R42" s="45">
        <f t="shared" si="528"/>
        <v>0.11544536404415279</v>
      </c>
      <c r="S42" s="45">
        <f t="shared" si="528"/>
        <v>0.10635910337275904</v>
      </c>
      <c r="T42" s="45">
        <f t="shared" si="528"/>
        <v>0.14314490271669028</v>
      </c>
      <c r="U42" s="45">
        <f t="shared" si="528"/>
        <v>0.14614312856238121</v>
      </c>
      <c r="V42" s="45">
        <f t="shared" si="528"/>
        <v>0.12697235506227145</v>
      </c>
      <c r="W42" s="45">
        <f t="shared" si="528"/>
        <v>7.5265643447461644E-2</v>
      </c>
      <c r="X42" s="45">
        <f t="shared" si="528"/>
        <v>0.18498655655847909</v>
      </c>
      <c r="Y42" s="45">
        <f t="shared" si="528"/>
        <v>0.14312116015384357</v>
      </c>
      <c r="Z42" s="45">
        <f t="shared" ref="Z42:AA42" si="529">+Z41/Z10</f>
        <v>5.8698799575918476E-2</v>
      </c>
      <c r="AA42" s="45">
        <f t="shared" si="529"/>
        <v>3.917097839749778E-2</v>
      </c>
      <c r="AB42" s="48">
        <f t="shared" si="528"/>
        <v>4.211276738084125E-2</v>
      </c>
      <c r="AC42" s="48">
        <f t="shared" si="528"/>
        <v>4.9208291266528412E-2</v>
      </c>
      <c r="AD42" s="48">
        <f t="shared" si="528"/>
        <v>5.6932339022738469E-2</v>
      </c>
      <c r="AE42" s="48">
        <f t="shared" si="528"/>
        <v>6.5100707639001068E-2</v>
      </c>
      <c r="AI42" s="45">
        <f t="shared" ref="AI42:BN42" si="530">+AI41/AI10</f>
        <v>2.9760112415938973E-2</v>
      </c>
      <c r="AJ42" s="45">
        <f t="shared" si="530"/>
        <v>2.6170254789650512E-2</v>
      </c>
      <c r="AK42" s="45">
        <f t="shared" si="530"/>
        <v>1.0037765851719206E-2</v>
      </c>
      <c r="AL42" s="45">
        <f t="shared" si="530"/>
        <v>3.1503228322572296E-2</v>
      </c>
      <c r="AM42" s="45">
        <f t="shared" si="530"/>
        <v>3.1235624252461215E-2</v>
      </c>
      <c r="AN42" s="45">
        <f t="shared" si="530"/>
        <v>2.2440448020192318E-2</v>
      </c>
      <c r="AO42" s="45">
        <f t="shared" si="530"/>
        <v>8.2836968955860377E-3</v>
      </c>
      <c r="AP42" s="45">
        <f t="shared" si="530"/>
        <v>4.2457750886709847E-2</v>
      </c>
      <c r="AQ42" s="45">
        <f t="shared" si="530"/>
        <v>2.353987270685148E-2</v>
      </c>
      <c r="AR42" s="45">
        <f t="shared" si="530"/>
        <v>4.3856217672882128E-2</v>
      </c>
      <c r="AS42" s="45">
        <f t="shared" si="530"/>
        <v>1.0236007570782963E-2</v>
      </c>
      <c r="AT42" s="45">
        <f t="shared" si="530"/>
        <v>8.989341209708299E-3</v>
      </c>
      <c r="AU42" s="45">
        <f t="shared" si="530"/>
        <v>2.2694736842105243E-2</v>
      </c>
      <c r="AV42" s="45">
        <f t="shared" si="530"/>
        <v>3.1122846506796045E-2</v>
      </c>
      <c r="AW42" s="45">
        <f t="shared" si="530"/>
        <v>1.8335997158586258E-2</v>
      </c>
      <c r="AX42" s="45">
        <f t="shared" si="530"/>
        <v>5.5871380351749773E-2</v>
      </c>
      <c r="AY42" s="45">
        <f t="shared" si="530"/>
        <v>9.9739486416077411E-2</v>
      </c>
      <c r="AZ42" s="45">
        <f t="shared" si="530"/>
        <v>0.11798854330860035</v>
      </c>
      <c r="BA42" s="45">
        <f t="shared" si="530"/>
        <v>0.11853048319472144</v>
      </c>
      <c r="BB42" s="45">
        <f t="shared" si="530"/>
        <v>0.12313705551495142</v>
      </c>
      <c r="BC42" s="45">
        <f t="shared" si="530"/>
        <v>9.1141468320482616E-2</v>
      </c>
      <c r="BD42" s="45">
        <f t="shared" si="530"/>
        <v>0.11554030271031336</v>
      </c>
      <c r="BE42" s="45">
        <f t="shared" si="530"/>
        <v>8.8460755715351835E-2</v>
      </c>
      <c r="BF42" s="45">
        <f t="shared" si="530"/>
        <v>0.12635814889336003</v>
      </c>
      <c r="BG42" s="45">
        <f t="shared" si="530"/>
        <v>9.7890141869770742E-2</v>
      </c>
      <c r="BH42" s="45">
        <f t="shared" si="530"/>
        <v>0.15143374584968305</v>
      </c>
      <c r="BI42" s="45">
        <f t="shared" si="530"/>
        <v>0.14257509519108733</v>
      </c>
      <c r="BJ42" s="45">
        <f t="shared" si="530"/>
        <v>0.17024893080381623</v>
      </c>
      <c r="BK42" s="45">
        <f t="shared" si="530"/>
        <v>0.13952820365516505</v>
      </c>
      <c r="BL42" s="45">
        <f t="shared" si="530"/>
        <v>0.15435905984330722</v>
      </c>
      <c r="BM42" s="45">
        <f t="shared" si="530"/>
        <v>0.15256077909339297</v>
      </c>
      <c r="BN42" s="45">
        <f t="shared" si="530"/>
        <v>0.13848219024131359</v>
      </c>
      <c r="BO42" s="45">
        <f t="shared" ref="BO42:CT42" si="531">+BO41/BO10</f>
        <v>0.12863606981254033</v>
      </c>
      <c r="BP42" s="45">
        <f t="shared" si="531"/>
        <v>0.10297832735008636</v>
      </c>
      <c r="BQ42" s="45">
        <f t="shared" si="531"/>
        <v>2.7230731825917797E-2</v>
      </c>
      <c r="BR42" s="45">
        <f t="shared" si="531"/>
        <v>0.18731891792979349</v>
      </c>
      <c r="BS42" s="45">
        <f t="shared" si="531"/>
        <v>8.5297624507016279E-2</v>
      </c>
      <c r="BT42" s="45">
        <f t="shared" si="531"/>
        <v>7.204819277108436E-2</v>
      </c>
      <c r="BU42" s="45">
        <f t="shared" si="531"/>
        <v>1.7716064160881142E-2</v>
      </c>
      <c r="BV42" s="45">
        <f t="shared" si="531"/>
        <v>0.11372032782708395</v>
      </c>
      <c r="BW42" s="45">
        <f t="shared" si="531"/>
        <v>0.13852080480842868</v>
      </c>
      <c r="BX42" s="45">
        <f t="shared" si="531"/>
        <v>0.19184945784169358</v>
      </c>
      <c r="BY42" s="45">
        <f t="shared" si="531"/>
        <v>0.19693780248646123</v>
      </c>
      <c r="BZ42" s="45">
        <f t="shared" si="531"/>
        <v>0.20206919413088609</v>
      </c>
      <c r="CA42" s="45">
        <f t="shared" si="531"/>
        <v>0.16384180790960456</v>
      </c>
      <c r="CB42" s="45">
        <f t="shared" si="531"/>
        <v>0.19069433712330278</v>
      </c>
      <c r="CC42" s="45">
        <f t="shared" si="531"/>
        <v>0.13891059623629792</v>
      </c>
      <c r="CD42" s="45">
        <f t="shared" si="531"/>
        <v>9.84743154811559E-2</v>
      </c>
      <c r="CE42" s="45">
        <f t="shared" si="531"/>
        <v>8.701418658077352E-2</v>
      </c>
      <c r="CF42" s="45">
        <f t="shared" si="531"/>
        <v>6.2162772605215043E-2</v>
      </c>
      <c r="CG42" s="45">
        <f t="shared" si="531"/>
        <v>3.6677254074606286E-2</v>
      </c>
      <c r="CH42" s="45">
        <f t="shared" si="531"/>
        <v>5.1060017915795758E-2</v>
      </c>
      <c r="CI42" s="45">
        <f t="shared" ref="CI42:CJ42" si="532">+CI41/CI10</f>
        <v>4.2163985469641875E-2</v>
      </c>
      <c r="CJ42" s="45">
        <f t="shared" si="532"/>
        <v>5.131092631092634E-2</v>
      </c>
      <c r="CK42" s="45">
        <f t="shared" ref="CK42:CL42" si="533">+CK41/CK10</f>
        <v>4.0167493796525996E-2</v>
      </c>
      <c r="CL42" s="45">
        <f t="shared" si="533"/>
        <v>2.9467423628007722E-2</v>
      </c>
      <c r="CM42" s="48">
        <f t="shared" si="531"/>
        <v>2.8681981921580512E-2</v>
      </c>
      <c r="CN42" s="48">
        <f t="shared" si="531"/>
        <v>4.7512892076946103E-2</v>
      </c>
      <c r="CO42" s="48">
        <f t="shared" si="531"/>
        <v>4.8354660549000741E-2</v>
      </c>
      <c r="CP42" s="48">
        <f t="shared" si="531"/>
        <v>4.3323966198972878E-2</v>
      </c>
      <c r="CQ42" s="48">
        <f t="shared" si="531"/>
        <v>3.4647220267626663E-2</v>
      </c>
      <c r="CR42" s="48">
        <f t="shared" si="531"/>
        <v>5.4884418408511541E-2</v>
      </c>
      <c r="CS42" s="48">
        <f t="shared" si="531"/>
        <v>5.6662590261988749E-2</v>
      </c>
      <c r="CT42" s="48">
        <f t="shared" si="531"/>
        <v>5.0081772511553727E-2</v>
      </c>
      <c r="CU42" s="48">
        <f t="shared" ref="CU42:DB42" si="534">+CU41/CU10</f>
        <v>4.2881699794296076E-2</v>
      </c>
      <c r="CV42" s="48">
        <f t="shared" si="534"/>
        <v>6.4438727604110638E-2</v>
      </c>
      <c r="CW42" s="48">
        <f t="shared" si="534"/>
        <v>6.5422141659662772E-2</v>
      </c>
      <c r="CX42" s="48">
        <f t="shared" si="534"/>
        <v>5.5809670374371505E-2</v>
      </c>
      <c r="CY42" s="48">
        <f t="shared" si="534"/>
        <v>5.2078859497676599E-2</v>
      </c>
      <c r="CZ42" s="48">
        <f t="shared" si="534"/>
        <v>7.4703705011218868E-2</v>
      </c>
      <c r="DA42" s="48">
        <f t="shared" si="534"/>
        <v>7.4477563537215768E-2</v>
      </c>
      <c r="DB42" s="48">
        <f t="shared" si="534"/>
        <v>6.1638838842232903E-2</v>
      </c>
      <c r="DE42" s="129"/>
      <c r="DF42" s="45">
        <v>3.9171207408619922E-2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-5.3586497890298901E-2</v>
      </c>
      <c r="D43" s="39">
        <f t="shared" si="535"/>
        <v>6.9811636201517029</v>
      </c>
      <c r="E43" s="39">
        <f t="shared" si="535"/>
        <v>-8.4740318683929283E-2</v>
      </c>
      <c r="F43" s="39">
        <f t="shared" ref="F43:AE43" si="536">+IF(E41&lt;0,1-F41/E41,F41/E41-1)</f>
        <v>-0.66511542745540608</v>
      </c>
      <c r="G43" s="39">
        <f t="shared" si="536"/>
        <v>1.7205212320029024</v>
      </c>
      <c r="H43" s="39">
        <f t="shared" si="536"/>
        <v>1.3112655613241806</v>
      </c>
      <c r="I43" s="39">
        <f t="shared" si="536"/>
        <v>0.10600047824123116</v>
      </c>
      <c r="J43" s="39">
        <f t="shared" si="536"/>
        <v>-0.67182350847231864</v>
      </c>
      <c r="K43" s="39">
        <f t="shared" si="536"/>
        <v>1.6571373433684076</v>
      </c>
      <c r="L43" s="39">
        <f t="shared" si="536"/>
        <v>0.62792264385317731</v>
      </c>
      <c r="M43" s="39">
        <f t="shared" si="536"/>
        <v>-0.47547394476810756</v>
      </c>
      <c r="N43" s="39">
        <f t="shared" si="536"/>
        <v>-0.39860802336972079</v>
      </c>
      <c r="O43" s="39">
        <f t="shared" si="536"/>
        <v>0.30654435324583695</v>
      </c>
      <c r="P43" s="39">
        <f t="shared" si="536"/>
        <v>-0.2308820729891069</v>
      </c>
      <c r="Q43" s="39">
        <f t="shared" si="536"/>
        <v>0.72772010541182941</v>
      </c>
      <c r="R43" s="39">
        <f t="shared" si="536"/>
        <v>2.5930279919661792</v>
      </c>
      <c r="S43" s="39">
        <f t="shared" si="536"/>
        <v>-8.1150809162692905E-2</v>
      </c>
      <c r="T43" s="39">
        <f t="shared" si="536"/>
        <v>0.61439632434272329</v>
      </c>
      <c r="U43" s="39">
        <f t="shared" si="536"/>
        <v>-8.7857067566144087E-2</v>
      </c>
      <c r="V43" s="39">
        <f t="shared" si="536"/>
        <v>-0.42624371641532299</v>
      </c>
      <c r="W43" s="39">
        <f t="shared" si="536"/>
        <v>2.7190332326284095E-2</v>
      </c>
      <c r="X43" s="39">
        <f t="shared" si="536"/>
        <v>2.7773529411764724</v>
      </c>
      <c r="Y43" s="39">
        <f t="shared" si="536"/>
        <v>-0.33068597679669931</v>
      </c>
      <c r="Z43" s="39">
        <f t="shared" ref="Z43:AA43" si="537">+IF(Y41&lt;0,1-Z41/Y41,Z41/Y41-1)</f>
        <v>-0.60066697688847581</v>
      </c>
      <c r="AA43" s="39">
        <f t="shared" si="537"/>
        <v>-0.34938823072441072</v>
      </c>
      <c r="AB43" s="40">
        <f t="shared" si="536"/>
        <v>7.3948917888095211E-2</v>
      </c>
      <c r="AC43" s="40">
        <f t="shared" si="536"/>
        <v>0.17295495076983425</v>
      </c>
      <c r="AD43" s="40">
        <f t="shared" si="536"/>
        <v>0.16286795781966679</v>
      </c>
      <c r="AE43" s="40">
        <f t="shared" si="536"/>
        <v>0.14962919943062425</v>
      </c>
      <c r="AM43" s="39">
        <f>+IF(AI41&lt;0,1-AM41/AI41,AM41/AI41-1)</f>
        <v>0.14502529510961537</v>
      </c>
      <c r="AN43" s="39">
        <f t="shared" ref="AN43" si="538">+IF(AJ41&lt;0,1-AN41/AJ41,AN41/AJ41-1)</f>
        <v>7.3584905660366129E-2</v>
      </c>
      <c r="AO43" s="39">
        <f t="shared" ref="AO43" si="539">+IF(AK41&lt;0,1-AO41/AK41,AO41/AK41-1)</f>
        <v>3.9603960396061622E-2</v>
      </c>
      <c r="AP43" s="39">
        <f t="shared" ref="AP43" si="540">+IF(AL41&lt;0,1-AP41/AL41,AP41/AL41-1)</f>
        <v>0.67950481430536502</v>
      </c>
      <c r="AQ43" s="39">
        <f t="shared" ref="AQ43" si="541">+IF(AM41&lt;0,1-AQ41/AM41,AQ41/AM41-1)</f>
        <v>-0.25920471281295876</v>
      </c>
      <c r="AR43" s="39">
        <f t="shared" ref="AR43" si="542">+IF(AN41&lt;0,1-AR41/AN41,AR41/AN41-1)</f>
        <v>0.77328646748682872</v>
      </c>
      <c r="AS43" s="39">
        <f t="shared" ref="AS43" si="543">+IF(AO41&lt;0,1-AS41/AO41,AS41/AO41-1)</f>
        <v>0.26190476190475254</v>
      </c>
      <c r="AT43" s="39">
        <f t="shared" ref="AT43" si="544">+IF(AP41&lt;0,1-AT41/AP41,AT41/AP41-1)</f>
        <v>-0.77067977067977589</v>
      </c>
      <c r="AU43" s="39">
        <f t="shared" ref="AU43" si="545">+IF(AQ41&lt;0,1-AU41/AQ41,AU41/AQ41-1)</f>
        <v>7.1570576540749276E-2</v>
      </c>
      <c r="AV43" s="39">
        <f t="shared" ref="AV43" si="546">+IF(AR41&lt;0,1-AV41/AR41,AV41/AR41-1)</f>
        <v>-0.28741328047571568</v>
      </c>
      <c r="AW43" s="39">
        <f t="shared" ref="AW43" si="547">+IF(AS41&lt;0,1-AW41/AS41,AW41/AS41-1)</f>
        <v>0.55849056603772329</v>
      </c>
      <c r="AX43" s="39">
        <f t="shared" ref="AX43" si="548">+IF(AT41&lt;0,1-AX41/AT41,AX41/AT41-1)</f>
        <v>5.7392857142858444</v>
      </c>
      <c r="AY43" s="39">
        <f t="shared" ref="AY43" si="549">+IF(AU41&lt;0,1-AY41/AU41,AY41/AU41-1)</f>
        <v>3.4749536178107645</v>
      </c>
      <c r="AZ43" s="39">
        <f t="shared" ref="AZ43" si="550">+IF(AV41&lt;0,1-AZ41/AV41,AZ41/AV41-1)</f>
        <v>3.2684283727399084</v>
      </c>
      <c r="BA43" s="39">
        <f t="shared" ref="BA43" si="551">+IF(AW41&lt;0,1-BA41/AW41,BA41/AW41-1)</f>
        <v>7.351089588377798</v>
      </c>
      <c r="BB43" s="39">
        <f t="shared" ref="BB43" si="552">+IF(AX41&lt;0,1-BB41/AX41,BB41/AX41-1)</f>
        <v>1.0535241123476493</v>
      </c>
      <c r="BC43" s="39">
        <f t="shared" ref="BC43" si="553">+IF(AY41&lt;0,1-BC41/AY41,BC41/AY41-1)</f>
        <v>-9.8258706467662882E-2</v>
      </c>
      <c r="BD43" s="39">
        <f t="shared" ref="BD43" si="554">+IF(AZ41&lt;0,1-BD41/AZ41,BD41/AZ41-1)</f>
        <v>-0.14434669273378997</v>
      </c>
      <c r="BE43" s="39">
        <f t="shared" ref="BE43" si="555">+IF(BA41&lt;0,1-BE41/BA41,BE41/BA41-1)</f>
        <v>-0.24383879385329099</v>
      </c>
      <c r="BF43" s="39">
        <f t="shared" ref="BF43" si="556">+IF(BB41&lt;0,1-BF41/BB41,BF41/BB41-1)</f>
        <v>0.13445161290322249</v>
      </c>
      <c r="BG43" s="39">
        <f t="shared" ref="BG43" si="557">+IF(BC41&lt;0,1-BG41/BC41,BG41/BC41-1)</f>
        <v>0.23724137931034539</v>
      </c>
      <c r="BH43" s="39">
        <f t="shared" ref="BH43" si="558">+IF(BD41&lt;0,1-BH41/BD41,BH41/BD41-1)</f>
        <v>0.91051028179740889</v>
      </c>
      <c r="BI43" s="39">
        <f t="shared" ref="BI43" si="559">+IF(BE41&lt;0,1-BI41/BE41,BI41/BE41-1)</f>
        <v>0.93826687116564256</v>
      </c>
      <c r="BJ43" s="39">
        <f t="shared" ref="BJ43" si="560">+IF(BF41&lt;0,1-BJ41/BF41,BJ41/BF41-1)</f>
        <v>0.41264786169244938</v>
      </c>
      <c r="BK43" s="39">
        <f t="shared" ref="BK43" si="561">+IF(BG41&lt;0,1-BK41/BG41,BK41/BG41-1)</f>
        <v>0.444072835377185</v>
      </c>
      <c r="BL43" s="39">
        <f t="shared" ref="BL43" si="562">+IF(BH41&lt;0,1-BL41/BH41,BL41/BH41-1)</f>
        <v>-7.7137731712178526E-2</v>
      </c>
      <c r="BM43" s="39">
        <f t="shared" ref="BM43" si="563">+IF(BI41&lt;0,1-BM41/BI41,BM41/BI41-1)</f>
        <v>-0.13847675568743922</v>
      </c>
      <c r="BN43" s="39">
        <f t="shared" ref="BN43" si="564">+IF(BJ41&lt;0,1-BN41/BJ41,BN41/BJ41-1)</f>
        <v>-0.2856682769726252</v>
      </c>
      <c r="BO43" s="39">
        <f t="shared" ref="BO43" si="565">+IF(BK41&lt;0,1-BO41/BK41,BO41/BK41-1)</f>
        <v>-0.53911477097272309</v>
      </c>
      <c r="BP43" s="39">
        <f t="shared" ref="BP43" si="566">+IF(BL41&lt;0,1-BP41/BL41,BP41/BL41-1)</f>
        <v>-0.66544276457883389</v>
      </c>
      <c r="BQ43" s="39">
        <f t="shared" ref="BQ43" si="567">+IF(BM41&lt;0,1-BQ41/BM41,BQ41/BM41-1)</f>
        <v>-0.89712973593570611</v>
      </c>
      <c r="BR43" s="39">
        <f t="shared" ref="BR43" si="568">+IF(BN41&lt;0,1-BR41/BN41,BR41/BN41-1)</f>
        <v>0.38458070333633954</v>
      </c>
      <c r="BS43" s="39">
        <f t="shared" ref="BS43" si="569">+IF(BO41&lt;0,1-BS41/BO41,BS41/BO41-1)</f>
        <v>3.8525963149077525E-2</v>
      </c>
      <c r="BT43" s="39">
        <f t="shared" ref="BT43" si="570">+IF(BP41&lt;0,1-BT41/BP41,BT41/BP41-1)</f>
        <v>0.54422207876049211</v>
      </c>
      <c r="BU43" s="39">
        <f t="shared" ref="BU43" si="571">+IF(BQ41&lt;0,1-BU41/BQ41,BU41/BQ41-1)</f>
        <v>0.32142857142858205</v>
      </c>
      <c r="BV43" s="39">
        <f t="shared" ref="BV43" si="572">+IF(BR41&lt;0,1-BV41/BR41,BV41/BR41-1)</f>
        <v>-0.12797134483881445</v>
      </c>
      <c r="BW43" s="39">
        <f t="shared" ref="BW43" si="573">+IF(BS41&lt;0,1-BW41/BS41,BW41/BS41-1)</f>
        <v>2.2091397849462422</v>
      </c>
      <c r="BX43" s="39">
        <f t="shared" ref="BX43" si="574">+IF(BT41&lt;0,1-BX41/BT41,BX41/BT41-1)</f>
        <v>3.1939799331103664</v>
      </c>
      <c r="BY43" s="39">
        <f t="shared" ref="BY43" si="575">+IF(BU41&lt;0,1-BY41/BU41,BY41/BU41-1)</f>
        <v>17.489864864864732</v>
      </c>
      <c r="BZ43" s="39">
        <f t="shared" ref="BZ43" si="576">+IF(BV41&lt;0,1-BZ41/BV41,BZ41/BV41-1)</f>
        <v>1.162434652725914</v>
      </c>
      <c r="CA43" s="39">
        <f t="shared" ref="CA43" si="577">+IF(BW41&lt;0,1-CA41/BW41,CA41/BW41-1)</f>
        <v>0.17088289495727937</v>
      </c>
      <c r="CB43" s="39">
        <f t="shared" ref="CB43" si="578">+IF(BX41&lt;0,1-CB41/BX41,CB41/BX41-1)</f>
        <v>-0.31120414673046248</v>
      </c>
      <c r="CC43" s="39">
        <f t="shared" ref="CC43" si="579">+IF(BY41&lt;0,1-CC41/BY41,CC41/BY41-1)</f>
        <v>-0.39914123880869745</v>
      </c>
      <c r="CD43" s="39">
        <f t="shared" ref="CD43" si="580">+IF(BZ41&lt;0,1-CD41/BZ41,CD41/BZ41-1)</f>
        <v>-0.54135727853565929</v>
      </c>
      <c r="CE43" s="39">
        <f t="shared" ref="CE43" si="581">+IF(CA41&lt;0,1-CE41/CA41,CE41/CA41-1)</f>
        <v>-0.47431678351695528</v>
      </c>
      <c r="CF43" s="39">
        <f t="shared" ref="CF43" si="582">+IF(CB41&lt;0,1-CF41/CB41,CF41/CB41-1)</f>
        <v>-0.64153400868306742</v>
      </c>
      <c r="CG43" s="39">
        <f t="shared" ref="CG43" si="583">+IF(CC41&lt;0,1-CG41/CC41,CG41/CC41-1)</f>
        <v>-0.75946480158126906</v>
      </c>
      <c r="CH43" s="39">
        <f t="shared" ref="CH43:CL43" si="584">+IF(CD41&lt;0,1-CH41/CD41,CH41/CD41-1)</f>
        <v>-0.51713102409638489</v>
      </c>
      <c r="CI43" s="39">
        <f t="shared" si="584"/>
        <v>-0.55770277626565112</v>
      </c>
      <c r="CJ43" s="39">
        <f t="shared" si="584"/>
        <v>-0.28259991925716665</v>
      </c>
      <c r="CK43" s="39">
        <f t="shared" si="584"/>
        <v>-1.7699115044244706E-2</v>
      </c>
      <c r="CL43" s="39">
        <f t="shared" si="584"/>
        <v>-0.32007797270954808</v>
      </c>
      <c r="CM43" s="40">
        <f t="shared" ref="CM43" si="585">+CM41/CI41-1</f>
        <v>-0.34407282546424622</v>
      </c>
      <c r="CN43" s="40">
        <f t="shared" ref="CN43" si="586">+CN41/CJ41-1</f>
        <v>-9.5210950948100392E-2</v>
      </c>
      <c r="CO43" s="40">
        <f t="shared" ref="CO43" si="587">+CO41/CK41-1</f>
        <v>0.2087767420739155</v>
      </c>
      <c r="CP43" s="40">
        <f t="shared" ref="CP43" si="588">+CP41/CL41-1</f>
        <v>0.51566909052838916</v>
      </c>
      <c r="CQ43" s="40">
        <f t="shared" ref="CQ43" si="589">+CQ41/CM41-1</f>
        <v>0.20084511600764166</v>
      </c>
      <c r="CR43" s="40">
        <f t="shared" ref="CR43" si="590">+CR41/CN41-1</f>
        <v>0.15694615814444535</v>
      </c>
      <c r="CS43" s="40">
        <f t="shared" ref="CS43" si="591">+CS41/CO41-1</f>
        <v>0.18079681730370867</v>
      </c>
      <c r="CT43" s="40">
        <f t="shared" ref="CT43" si="592">+CT41/CP41-1</f>
        <v>0.16587335034814288</v>
      </c>
      <c r="CU43" s="40">
        <f t="shared" ref="CU43" si="593">+CU41/CQ41-1</f>
        <v>0.24134047193919006</v>
      </c>
      <c r="CV43" s="40">
        <f t="shared" ref="CV43" si="594">+CV41/CR41-1</f>
        <v>0.18017052847649206</v>
      </c>
      <c r="CW43" s="40">
        <f t="shared" ref="CW43" si="595">+CW41/CS41-1</f>
        <v>0.16162821877178013</v>
      </c>
      <c r="CX43" s="40">
        <f t="shared" ref="CX43" si="596">+CX41/CT41-1</f>
        <v>0.12072446847291718</v>
      </c>
      <c r="CY43" s="40">
        <f t="shared" ref="CY43" si="597">+CY41/CU41-1</f>
        <v>0.22053521234167439</v>
      </c>
      <c r="CZ43" s="40">
        <f t="shared" ref="CZ43" si="598">+CZ41/CV41-1</f>
        <v>0.16566600685258459</v>
      </c>
      <c r="DA43" s="40">
        <f t="shared" ref="DA43" si="599">+DA41/CW41-1</f>
        <v>0.14475529637834916</v>
      </c>
      <c r="DB43" s="40">
        <f t="shared" ref="DB43" si="600">+DB41/CX41-1</f>
        <v>0.1104530855708461</v>
      </c>
      <c r="DE43" s="122"/>
      <c r="DF43" s="39">
        <v>-0.34938823072441294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-0.10623946037099119</v>
      </c>
      <c r="AK44" s="39">
        <f t="shared" ref="AK44:AM44" si="601">+IF(AJ41&lt;0,1-AK41/AJ41,AK41/AJ41-1)</f>
        <v>-0.61886792452830863</v>
      </c>
      <c r="AL44" s="39">
        <f t="shared" si="601"/>
        <v>2.5990099009901515</v>
      </c>
      <c r="AM44" s="39">
        <f t="shared" si="601"/>
        <v>-6.6024759284730283E-2</v>
      </c>
      <c r="AN44" s="39">
        <f t="shared" ref="AN44" si="602">+IF(AM41&lt;0,1-AN41/AM41,AN41/AM41-1)</f>
        <v>-0.16200294550810779</v>
      </c>
      <c r="AO44" s="39">
        <f t="shared" ref="AO44" si="603">+IF(AN41&lt;0,1-AO41/AN41,AO41/AN41-1)</f>
        <v>-0.63093145869946754</v>
      </c>
      <c r="AP44" s="39">
        <f t="shared" ref="AP44" si="604">+IF(AO41&lt;0,1-AP41/AO41,AP41/AO41-1)</f>
        <v>4.8142857142856776</v>
      </c>
      <c r="AQ44" s="39">
        <f t="shared" ref="AQ44" si="605">+IF(AP41&lt;0,1-AQ41/AP41,AQ41/AP41-1)</f>
        <v>-0.58804258804258669</v>
      </c>
      <c r="AR44" s="39">
        <f t="shared" ref="AR44" si="606">+IF(AQ41&lt;0,1-AR41/AQ41,AR41/AQ41-1)</f>
        <v>1.0059642147117183</v>
      </c>
      <c r="AS44" s="39">
        <f t="shared" ref="AS44" si="607">+IF(AR41&lt;0,1-AS41/AR41,AS41/AR41-1)</f>
        <v>-0.73736372646184312</v>
      </c>
      <c r="AT44" s="39">
        <f t="shared" ref="AT44" si="608">+IF(AS41&lt;0,1-AT41/AS41,AT41/AS41-1)</f>
        <v>5.6603773584882777E-2</v>
      </c>
      <c r="AU44" s="39">
        <f t="shared" ref="AU44" si="609">+IF(AT41&lt;0,1-AU41/AT41,AU41/AT41-1)</f>
        <v>0.92500000000003912</v>
      </c>
      <c r="AV44" s="39">
        <f t="shared" ref="AV44" si="610">+IF(AU41&lt;0,1-AV41/AU41,AV41/AU41-1)</f>
        <v>0.33395176252319647</v>
      </c>
      <c r="AW44" s="39">
        <f t="shared" ref="AW44" si="611">+IF(AV41&lt;0,1-AW41/AV41,AW41/AV41-1)</f>
        <v>-0.42559109874826762</v>
      </c>
      <c r="AX44" s="39">
        <f t="shared" ref="AX44" si="612">+IF(AW41&lt;0,1-AX41/AW41,AX41/AW41-1)</f>
        <v>3.5690072639225443</v>
      </c>
      <c r="AY44" s="39">
        <f t="shared" ref="AY44" si="613">+IF(AX41&lt;0,1-AY41/AX41,AY41/AX41-1)</f>
        <v>0.27821939586645716</v>
      </c>
      <c r="AZ44" s="39">
        <f t="shared" ref="AZ44" si="614">+IF(AY41&lt;0,1-AZ41/AY41,AZ41/AY41-1)</f>
        <v>0.27238805970149427</v>
      </c>
      <c r="BA44" s="39">
        <f t="shared" ref="BA44" si="615">+IF(AZ41&lt;0,1-BA41/AZ41,BA41/AZ41-1)</f>
        <v>0.12381883349625289</v>
      </c>
      <c r="BB44" s="39">
        <f t="shared" ref="BB44" si="616">+IF(BA41&lt;0,1-BB41/BA41,BB41/BA41-1)</f>
        <v>0.1235140620469708</v>
      </c>
      <c r="BC44" s="39">
        <f t="shared" ref="BC44" si="617">+IF(BB41&lt;0,1-BC41/BB41,BC41/BB41-1)</f>
        <v>-0.43870967741935663</v>
      </c>
      <c r="BD44" s="39">
        <f t="shared" ref="BD44" si="618">+IF(BC41&lt;0,1-BD41/BC41,BD41/BC41-1)</f>
        <v>0.20735632183908304</v>
      </c>
      <c r="BE44" s="39">
        <f t="shared" ref="BE44" si="619">+IF(BD41&lt;0,1-BE41/BD41,BE41/BD41-1)</f>
        <v>-6.8545316070065532E-3</v>
      </c>
      <c r="BF44" s="39">
        <f t="shared" ref="BF44" si="620">+IF(BE41&lt;0,1-BF41/BE41,BF41/BE41-1)</f>
        <v>0.68558282208588595</v>
      </c>
      <c r="BG44" s="39">
        <f t="shared" ref="BG44" si="621">+IF(BF41&lt;0,1-BG41/BF41,BG41/BF41-1)</f>
        <v>-0.38785259326660593</v>
      </c>
      <c r="BH44" s="39">
        <f t="shared" ref="BH44" si="622">+IF(BG41&lt;0,1-BH41/BG41,BH41/BG41-1)</f>
        <v>0.86436269044964842</v>
      </c>
      <c r="BI44" s="39">
        <f t="shared" ref="BI44" si="623">+IF(BH41&lt;0,1-BI41/BH41,BI41/BH41-1)</f>
        <v>7.5742475583020497E-3</v>
      </c>
      <c r="BJ44" s="39">
        <f t="shared" ref="BJ44" si="624">+IF(BI41&lt;0,1-BJ41/BI41,BJ41/BI41-1)</f>
        <v>0.22848664688427278</v>
      </c>
      <c r="BK44" s="39">
        <f t="shared" ref="BK44" si="625">+IF(BJ41&lt;0,1-BK41/BJ41,BK41/BJ41-1)</f>
        <v>-0.37423510466988719</v>
      </c>
      <c r="BL44" s="39">
        <f t="shared" ref="BL44" si="626">+IF(BK41&lt;0,1-BL41/BK41,BL41/BK41-1)</f>
        <v>0.19145651055069424</v>
      </c>
      <c r="BM44" s="39">
        <f t="shared" ref="BM44" si="627">+IF(BL41&lt;0,1-BM41/BL41,BM41/BL41-1)</f>
        <v>-5.939524838013055E-2</v>
      </c>
      <c r="BN44" s="39">
        <f t="shared" ref="BN44" si="628">+IF(BM41&lt;0,1-BN41/BM41,BN41/BM41-1)</f>
        <v>1.8599311136625163E-2</v>
      </c>
      <c r="BO44" s="39">
        <f t="shared" ref="BO44" si="629">+IF(BN41&lt;0,1-BO41/BN41,BO41/BN41-1)</f>
        <v>-0.59625788999098295</v>
      </c>
      <c r="BP44" s="39">
        <f t="shared" ref="BP44" si="630">+IF(BO41&lt;0,1-BP41/BO41,BP41/BO41-1)</f>
        <v>-0.13512004466778349</v>
      </c>
      <c r="BQ44" s="39">
        <f t="shared" ref="BQ44" si="631">+IF(BP41&lt;0,1-BQ41/BP41,BQ41/BP41-1)</f>
        <v>-0.71078114912847001</v>
      </c>
      <c r="BR44" s="39">
        <f t="shared" ref="BR44" si="632">+IF(BQ41&lt;0,1-BR41/BQ41,BR41/BQ41-1)</f>
        <v>12.709821428571438</v>
      </c>
      <c r="BS44" s="39">
        <f t="shared" ref="BS44" si="633">+IF(BR41&lt;0,1-BS41/BR41,BS41/BR41-1)</f>
        <v>-0.69716704656463735</v>
      </c>
      <c r="BT44" s="39">
        <f t="shared" ref="BT44" si="634">+IF(BS41&lt;0,1-BT41/BS41,BT41/BS41-1)</f>
        <v>0.28602150537634641</v>
      </c>
      <c r="BU44" s="39">
        <f t="shared" ref="BU44" si="635">+IF(BT41&lt;0,1-BU41/BT41,BU41/BT41-1)</f>
        <v>-0.75250836120401166</v>
      </c>
      <c r="BV44" s="39">
        <f t="shared" ref="BV44" si="636">+IF(BU41&lt;0,1-BV41/BU41,BV41/BU41-1)</f>
        <v>8.0472972972972325</v>
      </c>
      <c r="BW44" s="39">
        <f t="shared" ref="BW44" si="637">+IF(BV41&lt;0,1-BW41/BV41,BW41/BV41-1)</f>
        <v>0.1144510828976848</v>
      </c>
      <c r="BX44" s="39">
        <f t="shared" ref="BX44" si="638">+IF(BW41&lt;0,1-BX41/BW41,BX41/BW41-1)</f>
        <v>0.68068353157982853</v>
      </c>
      <c r="BY44" s="39">
        <f t="shared" ref="BY44" si="639">+IF(BX41&lt;0,1-BY41/BX41,BY41/BX41-1)</f>
        <v>9.1108452950558583E-2</v>
      </c>
      <c r="BZ44" s="39">
        <f t="shared" ref="BZ44" si="640">+IF(BY41&lt;0,1-BZ41/BY41,BZ41/BY41-1)</f>
        <v>5.8103416773250149E-2</v>
      </c>
      <c r="CA44" s="39">
        <f t="shared" ref="CA44" si="641">+IF(BZ41&lt;0,1-CA41/BZ41,CA41/BZ41-1)</f>
        <v>-0.39656363322396793</v>
      </c>
      <c r="CB44" s="39">
        <f t="shared" ref="CB44" si="642">+IF(CA41&lt;0,1-CB41/CA41,CB41/CA41-1)</f>
        <v>-1.1303476892259523E-2</v>
      </c>
      <c r="CC44" s="39">
        <f t="shared" ref="CC44" si="643">+IF(CB41&lt;0,1-CC41/CB41,CC41/CB41-1)</f>
        <v>-4.8191027496382266E-2</v>
      </c>
      <c r="CD44" s="39">
        <f t="shared" ref="CD44" si="644">+IF(CC41&lt;0,1-CD41/CC41,CD41/CC41-1)</f>
        <v>-0.19233693173179367</v>
      </c>
      <c r="CE44" s="39">
        <f t="shared" ref="CE44" si="645">+IF(CD41&lt;0,1-CE41/CD41,CE41/CD41-1)</f>
        <v>-0.30835843373493865</v>
      </c>
      <c r="CF44" s="39">
        <f t="shared" ref="CF44" si="646">+IF(CE41&lt;0,1-CF41/CE41,CF41/CE41-1)</f>
        <v>-0.32580293957539364</v>
      </c>
      <c r="CG44" s="39">
        <f t="shared" ref="CG44" si="647">+IF(CF41&lt;0,1-CG41/CF41,CG41/CF41-1)</f>
        <v>-0.36132418247880893</v>
      </c>
      <c r="CH44" s="39">
        <f t="shared" ref="CH44:CL44" si="648">+IF(CG41&lt;0,1-CH41/CG41,CH41/CG41-1)</f>
        <v>0.62136536030342082</v>
      </c>
      <c r="CI44" s="39">
        <f t="shared" si="648"/>
        <v>-0.36647173489278828</v>
      </c>
      <c r="CJ44" s="39">
        <f t="shared" si="648"/>
        <v>9.3538461538463569E-2</v>
      </c>
      <c r="CK44" s="39">
        <f t="shared" si="648"/>
        <v>-0.12549240292628205</v>
      </c>
      <c r="CL44" s="39">
        <f t="shared" si="648"/>
        <v>0.12226512226512964</v>
      </c>
      <c r="CM44" s="40">
        <f t="shared" ref="CM44" si="649">+CM41/CL41-1</f>
        <v>-0.38882932418543981</v>
      </c>
      <c r="CN44" s="40">
        <f t="shared" ref="CN44" si="650">+CN41/CM41-1</f>
        <v>0.50843212955363182</v>
      </c>
      <c r="CO44" s="40">
        <f t="shared" ref="CO44" si="651">+CO41/CN41-1</f>
        <v>0.16832143936461574</v>
      </c>
      <c r="CP44" s="40">
        <f t="shared" ref="CP44" si="652">+CP41/CO41-1</f>
        <v>0.40719332031233524</v>
      </c>
      <c r="CQ44" s="40">
        <f t="shared" ref="CQ44" si="653">+CQ41/CP41-1</f>
        <v>-0.51577733841418749</v>
      </c>
      <c r="CR44" s="40">
        <f t="shared" ref="CR44" si="654">+CR41/CQ41-1</f>
        <v>0.45328879956706492</v>
      </c>
      <c r="CS44" s="40">
        <f t="shared" ref="CS44" si="655">+CS41/CR41-1</f>
        <v>0.19240660205138815</v>
      </c>
      <c r="CT44" s="40">
        <f t="shared" ref="CT44" si="656">+CT41/CS41-1</f>
        <v>0.38940854759951016</v>
      </c>
      <c r="CU44" s="40">
        <f t="shared" ref="CU44" si="657">+CU41/CT41-1</f>
        <v>-0.48443354754005452</v>
      </c>
      <c r="CV44" s="40">
        <f t="shared" ref="CV44" si="658">+CV41/CU41-1</f>
        <v>0.38167460852597523</v>
      </c>
      <c r="CW44" s="40">
        <f t="shared" ref="CW44" si="659">+CW41/CV41-1</f>
        <v>0.17367204464999109</v>
      </c>
      <c r="CX44" s="40">
        <f t="shared" ref="CX44" si="660">+CX41/CW41-1</f>
        <v>0.34048409881657138</v>
      </c>
      <c r="CY44" s="40">
        <f t="shared" ref="CY44" si="661">+CY41/CX41-1</f>
        <v>-0.4385176488679029</v>
      </c>
      <c r="CZ44" s="40">
        <f t="shared" ref="CZ44" si="662">+CZ41/CY41-1</f>
        <v>0.31956137553794828</v>
      </c>
      <c r="DA44" s="40">
        <f t="shared" ref="DA44" si="663">+DA41/CZ41-1</f>
        <v>0.15261771504519572</v>
      </c>
      <c r="DB44" s="40">
        <f t="shared" ref="DB44" si="664">+DB41/DA41-1</f>
        <v>0.30031693969777695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-0.89739999999999998</v>
      </c>
      <c r="Q46" s="75">
        <f>'Annual Raw'!R33+'Annual Raw'!R28</f>
        <v>0.44540000000000002</v>
      </c>
      <c r="R46" s="75">
        <f>'Annual Raw'!S33+'Annual Raw'!S28</f>
        <v>4.68</v>
      </c>
      <c r="S46" s="75">
        <f>'Annual Raw'!T33+'Annual Raw'!T28</f>
        <v>0.92</v>
      </c>
      <c r="T46" s="75">
        <f>'Annual Raw'!U33+'Annual Raw'!U28</f>
        <v>2.3199999999999998</v>
      </c>
      <c r="U46" s="75">
        <f>'Annual Raw'!V33+'Annual Raw'!V28</f>
        <v>8.51</v>
      </c>
      <c r="V46" s="75">
        <f>'Annual Raw'!W33+'Annual Raw'!W28</f>
        <v>7.07</v>
      </c>
      <c r="W46" s="75">
        <f>'Annual Raw'!X33+'Annual Raw'!X28</f>
        <v>8.02</v>
      </c>
      <c r="X46" s="75">
        <f>'Annual Raw'!Y33+'Annual Raw'!Y28</f>
        <v>10.55</v>
      </c>
      <c r="Y46" s="75">
        <f>'Annual Raw'!Z33+'Annual Raw'!Z28</f>
        <v>12.89</v>
      </c>
      <c r="Z46" s="75">
        <f>'Annual Raw'!AA33+'Annual Raw'!AA28</f>
        <v>6.19</v>
      </c>
      <c r="AA46" s="75">
        <f>'Annual Raw'!AB33+'Annual Raw'!AB28</f>
        <v>15.53</v>
      </c>
      <c r="AB46" s="76">
        <f t="shared" si="665"/>
        <v>34.44</v>
      </c>
      <c r="AC46" s="76">
        <f t="shared" si="666"/>
        <v>34.44</v>
      </c>
      <c r="AD46" s="76">
        <f t="shared" si="667"/>
        <v>34.44</v>
      </c>
      <c r="AE46" s="76">
        <f t="shared" si="668"/>
        <v>34.44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-0.45</v>
      </c>
      <c r="BH46" s="75">
        <f>'QTR Raw'!AB35</f>
        <v>1.78</v>
      </c>
      <c r="BI46" s="75">
        <f>'QTR Raw'!AC35</f>
        <v>-0.32</v>
      </c>
      <c r="BJ46" s="75">
        <f>'QTR Raw'!AD35</f>
        <v>1.31</v>
      </c>
      <c r="BK46" s="75">
        <f>'QTR Raw'!AE35</f>
        <v>0.15</v>
      </c>
      <c r="BL46" s="75">
        <f>'QTR Raw'!AF35</f>
        <v>3.59</v>
      </c>
      <c r="BM46" s="75">
        <f>'QTR Raw'!AG35</f>
        <v>2.31</v>
      </c>
      <c r="BN46" s="75">
        <f>'QTR Raw'!AH35</f>
        <v>2.5099999999999998</v>
      </c>
      <c r="BO46" s="75">
        <f>'QTR Raw'!AI35</f>
        <v>1.39</v>
      </c>
      <c r="BP46" s="75">
        <f>'QTR Raw'!AJ35</f>
        <v>3.32</v>
      </c>
      <c r="BQ46" s="75">
        <f>'QTR Raw'!AK35</f>
        <v>0.17</v>
      </c>
      <c r="BR46" s="75">
        <f>'QTR Raw'!AL35</f>
        <v>2.19</v>
      </c>
      <c r="BS46" s="75">
        <f>'QTR Raw'!AM35</f>
        <v>1.26</v>
      </c>
      <c r="BT46" s="75">
        <f>'QTR Raw'!AN35</f>
        <v>3.57</v>
      </c>
      <c r="BU46" s="75">
        <f>'QTR Raw'!AO35</f>
        <v>0.12</v>
      </c>
      <c r="BV46" s="75">
        <f>'QTR Raw'!AP35</f>
        <v>3.07</v>
      </c>
      <c r="BW46" s="75">
        <f>'QTR Raw'!AQ35</f>
        <v>0.61</v>
      </c>
      <c r="BX46" s="75">
        <f>'QTR Raw'!AR35</f>
        <v>5.97</v>
      </c>
      <c r="BY46" s="75">
        <f>'QTR Raw'!AS35</f>
        <v>2.11</v>
      </c>
      <c r="BZ46" s="75">
        <f>'QTR Raw'!AT35</f>
        <v>1.85</v>
      </c>
      <c r="CA46" s="75">
        <f>'QTR Raw'!AU35</f>
        <v>1.86</v>
      </c>
      <c r="CB46" s="75">
        <f>'QTR Raw'!AV35</f>
        <v>4.0999999999999996</v>
      </c>
      <c r="CC46" s="75">
        <f>'QTR Raw'!AW35</f>
        <v>3.21</v>
      </c>
      <c r="CD46" s="75">
        <f>'QTR Raw'!AX35</f>
        <v>3.72</v>
      </c>
      <c r="CE46" s="75">
        <f>'QTR Raw'!AY35</f>
        <v>0.26</v>
      </c>
      <c r="CF46" s="75">
        <f>'QTR Raw'!AZ35</f>
        <v>3.7</v>
      </c>
      <c r="CG46" s="75">
        <f>'QTR Raw'!BA35</f>
        <v>0.81</v>
      </c>
      <c r="CH46" s="75">
        <f>'QTR Raw'!BB35</f>
        <v>1.42</v>
      </c>
      <c r="CI46" s="75">
        <f>'QTR Raw'!BC35</f>
        <v>-0.82</v>
      </c>
      <c r="CJ46" s="75">
        <f>'QTR Raw'!BD35</f>
        <v>4.6399999999999997</v>
      </c>
      <c r="CK46" s="75">
        <f>'QTR Raw'!BE35</f>
        <v>3.1</v>
      </c>
      <c r="CL46" s="75">
        <f>'QTR Raw'!BF35</f>
        <v>8.61</v>
      </c>
      <c r="CM46" s="76">
        <f t="shared" si="669"/>
        <v>8.61</v>
      </c>
      <c r="CN46" s="76">
        <f t="shared" si="670"/>
        <v>8.61</v>
      </c>
      <c r="CO46" s="76">
        <f t="shared" si="671"/>
        <v>8.61</v>
      </c>
      <c r="CP46" s="76">
        <f t="shared" si="672"/>
        <v>8.61</v>
      </c>
      <c r="CQ46" s="76">
        <f t="shared" si="673"/>
        <v>8.61</v>
      </c>
      <c r="CR46" s="76">
        <f t="shared" si="674"/>
        <v>8.61</v>
      </c>
      <c r="CS46" s="76">
        <f t="shared" si="675"/>
        <v>8.61</v>
      </c>
      <c r="CT46" s="76">
        <f t="shared" si="676"/>
        <v>8.61</v>
      </c>
      <c r="CU46" s="76">
        <f t="shared" si="677"/>
        <v>8.61</v>
      </c>
      <c r="CV46" s="76">
        <f t="shared" si="678"/>
        <v>8.61</v>
      </c>
      <c r="CW46" s="76">
        <f t="shared" si="679"/>
        <v>8.61</v>
      </c>
      <c r="CX46" s="76">
        <f t="shared" si="680"/>
        <v>8.61</v>
      </c>
      <c r="CY46" s="76">
        <f t="shared" si="681"/>
        <v>8.61</v>
      </c>
      <c r="CZ46" s="76">
        <f t="shared" si="682"/>
        <v>8.61</v>
      </c>
      <c r="DA46" s="76">
        <f t="shared" si="683"/>
        <v>8.61</v>
      </c>
      <c r="DB46" s="76">
        <f t="shared" si="684"/>
        <v>8.61</v>
      </c>
      <c r="DE46" s="131"/>
      <c r="DF46" s="75">
        <v>15.53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-4.5987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-3.2153999999999998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4.84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-3.22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4.84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2.8439999999999683</v>
      </c>
      <c r="C48" s="26">
        <f>C41+C45+C46+C47</f>
        <v>2.6915999999999598</v>
      </c>
      <c r="D48" s="26">
        <f>D41+D45+D46+D47</f>
        <v>16.883400000000002</v>
      </c>
      <c r="E48" s="26">
        <f t="shared" ref="E48:U48" si="685">E41+E45+E46+E47</f>
        <v>19.661699999999964</v>
      </c>
      <c r="F48" s="26">
        <f t="shared" si="685"/>
        <v>6.5844000000000289</v>
      </c>
      <c r="G48" s="26">
        <f t="shared" si="685"/>
        <v>17.91299999999999</v>
      </c>
      <c r="H48" s="26">
        <f t="shared" si="685"/>
        <v>41.401700000000019</v>
      </c>
      <c r="I48" s="26">
        <f t="shared" si="685"/>
        <v>45.790300000000002</v>
      </c>
      <c r="J48" s="26">
        <f t="shared" si="685"/>
        <v>15.027299999999988</v>
      </c>
      <c r="K48" s="26">
        <f t="shared" si="685"/>
        <v>39.929600000000036</v>
      </c>
      <c r="L48" s="26">
        <f t="shared" si="685"/>
        <v>65.002299999999892</v>
      </c>
      <c r="M48" s="26">
        <f t="shared" si="685"/>
        <v>34.095399999999984</v>
      </c>
      <c r="N48" s="26">
        <f t="shared" si="685"/>
        <v>20.504700000000014</v>
      </c>
      <c r="O48" s="26">
        <f t="shared" si="685"/>
        <v>26.790299999999931</v>
      </c>
      <c r="P48" s="26">
        <f t="shared" si="685"/>
        <v>16.492099999999876</v>
      </c>
      <c r="Q48" s="26">
        <f t="shared" si="685"/>
        <v>36.044899999999991</v>
      </c>
      <c r="R48" s="26">
        <f t="shared" si="685"/>
        <v>132.58999999999997</v>
      </c>
      <c r="S48" s="26">
        <f t="shared" si="685"/>
        <v>123.28999999999992</v>
      </c>
      <c r="T48" s="26">
        <f t="shared" si="685"/>
        <v>192.06000000000012</v>
      </c>
      <c r="U48" s="26">
        <f t="shared" si="685"/>
        <v>181.57999999999993</v>
      </c>
      <c r="V48" s="26">
        <f>V41+V45+V46+V47</f>
        <v>106.37</v>
      </c>
      <c r="W48" s="26">
        <f>W41+W45+W46+W47</f>
        <v>110.02000000000002</v>
      </c>
      <c r="X48" s="26">
        <f>X41+X45+X46+X47</f>
        <v>395.84000000000032</v>
      </c>
      <c r="Y48" s="26">
        <f>Y41+Y45+Y46+Y47</f>
        <v>270.76999999999992</v>
      </c>
      <c r="Z48" s="26">
        <f>Z41+Z45+Z46+Z47</f>
        <v>109.16999999999985</v>
      </c>
      <c r="AA48" s="26">
        <f>AA41+AA45+AA46+AA47</f>
        <v>82.530000000000086</v>
      </c>
      <c r="AB48" s="27">
        <f t="shared" ref="AA48:AD48" si="686">AB41+AB45+AB46+AB47</f>
        <v>106.39457749850247</v>
      </c>
      <c r="AC48" s="27">
        <f t="shared" si="686"/>
        <v>118.83947790742019</v>
      </c>
      <c r="AD48" s="27">
        <f t="shared" si="686"/>
        <v>132.58544851524778</v>
      </c>
      <c r="AE48" s="27">
        <f t="shared" ref="AE48" si="687">AE41+AE45+AE46+AE47</f>
        <v>147.27087340434386</v>
      </c>
      <c r="AI48" s="26">
        <f t="shared" ref="AI48" si="688">AI41+AI45+AI46+AI47</f>
        <v>5.93</v>
      </c>
      <c r="AJ48" s="26">
        <f t="shared" ref="AJ48" si="689">AJ41+AJ45+AJ46+AJ47</f>
        <v>5.300000000000022</v>
      </c>
      <c r="AK48" s="26">
        <f t="shared" ref="AK48:AM48" si="690">AK41+AK45+AK46+AK47</f>
        <v>2.0199999999999729</v>
      </c>
      <c r="AL48" s="26">
        <f t="shared" si="690"/>
        <v>7.2700000000000085</v>
      </c>
      <c r="AM48" s="26">
        <f t="shared" si="690"/>
        <v>6.7900000000000187</v>
      </c>
      <c r="AN48" s="26">
        <f t="shared" ref="AN48:AO48" si="691">AN41+AN45+AN46+AN47</f>
        <v>5.689999999999964</v>
      </c>
      <c r="AO48" s="26">
        <f t="shared" si="691"/>
        <v>2.1000000000000165</v>
      </c>
      <c r="AP48" s="26">
        <f t="shared" ref="AP48:CD48" si="692">AP41+AP45+AP46+AP47</f>
        <v>12.210000000000019</v>
      </c>
      <c r="AQ48" s="26">
        <f t="shared" si="692"/>
        <v>5.0300000000000242</v>
      </c>
      <c r="AR48" s="26">
        <f t="shared" si="692"/>
        <v>6.8699999999999903</v>
      </c>
      <c r="AS48" s="26">
        <f t="shared" si="692"/>
        <v>2.6500000000000012</v>
      </c>
      <c r="AT48" s="26">
        <f t="shared" si="692"/>
        <v>2.7999999999999408</v>
      </c>
      <c r="AU48" s="26">
        <f t="shared" si="692"/>
        <v>5.3899999999999952</v>
      </c>
      <c r="AV48" s="26">
        <f t="shared" si="692"/>
        <v>7.1900000000000226</v>
      </c>
      <c r="AW48" s="26">
        <f t="shared" si="692"/>
        <v>4.1299999999999688</v>
      </c>
      <c r="AX48" s="26">
        <f t="shared" si="692"/>
        <v>18.869999999999965</v>
      </c>
      <c r="AY48" s="26">
        <f t="shared" si="692"/>
        <v>24.12</v>
      </c>
      <c r="AZ48" s="26">
        <f t="shared" si="692"/>
        <v>30.69000000000004</v>
      </c>
      <c r="BA48" s="26">
        <f t="shared" si="692"/>
        <v>34.490000000000045</v>
      </c>
      <c r="BB48" s="26">
        <f t="shared" si="692"/>
        <v>38.750000000000071</v>
      </c>
      <c r="BC48" s="26">
        <f t="shared" si="692"/>
        <v>21.749999999999972</v>
      </c>
      <c r="BD48" s="26">
        <f t="shared" si="692"/>
        <v>26.260000000000019</v>
      </c>
      <c r="BE48" s="26">
        <f t="shared" si="692"/>
        <v>30.920000000000027</v>
      </c>
      <c r="BF48" s="26">
        <f t="shared" si="692"/>
        <v>43.959999999999951</v>
      </c>
      <c r="BG48" s="26">
        <f t="shared" si="692"/>
        <v>26.459999999999976</v>
      </c>
      <c r="BH48" s="26">
        <f t="shared" si="692"/>
        <v>51.949999999999996</v>
      </c>
      <c r="BI48" s="26">
        <f t="shared" si="692"/>
        <v>50.230000000000011</v>
      </c>
      <c r="BJ48" s="26">
        <f t="shared" si="692"/>
        <v>63.410000000000011</v>
      </c>
      <c r="BK48" s="26">
        <f t="shared" si="692"/>
        <v>39.010000000000012</v>
      </c>
      <c r="BL48" s="26">
        <f t="shared" si="692"/>
        <v>49.89</v>
      </c>
      <c r="BM48" s="26">
        <f t="shared" si="692"/>
        <v>45.859999999999957</v>
      </c>
      <c r="BN48" s="26">
        <f t="shared" si="692"/>
        <v>46.869999999999976</v>
      </c>
      <c r="BO48" s="26">
        <f t="shared" si="692"/>
        <v>19.29999999999999</v>
      </c>
      <c r="BP48" s="26">
        <f t="shared" si="692"/>
        <v>18.809999999999988</v>
      </c>
      <c r="BQ48" s="26">
        <f t="shared" si="692"/>
        <v>4.6499999999999959</v>
      </c>
      <c r="BR48" s="26">
        <f t="shared" si="692"/>
        <v>63.609999999999985</v>
      </c>
      <c r="BS48" s="26">
        <f t="shared" si="692"/>
        <v>19.859999999999971</v>
      </c>
      <c r="BT48" s="26">
        <f t="shared" si="692"/>
        <v>27.490000000000006</v>
      </c>
      <c r="BU48" s="26">
        <f t="shared" si="692"/>
        <v>6.0400000000000427</v>
      </c>
      <c r="BV48" s="26">
        <f t="shared" si="692"/>
        <v>56.63</v>
      </c>
      <c r="BW48" s="26">
        <f t="shared" si="692"/>
        <v>60.300000000000004</v>
      </c>
      <c r="BX48" s="26">
        <f t="shared" si="692"/>
        <v>106.28999999999998</v>
      </c>
      <c r="BY48" s="26">
        <f t="shared" si="692"/>
        <v>111.57000000000001</v>
      </c>
      <c r="BZ48" s="26">
        <f t="shared" si="692"/>
        <v>117.66999999999996</v>
      </c>
      <c r="CA48" s="26">
        <f t="shared" si="692"/>
        <v>71.750000000000014</v>
      </c>
      <c r="CB48" s="26">
        <f t="shared" si="692"/>
        <v>73.199999999999989</v>
      </c>
      <c r="CC48" s="26">
        <f t="shared" si="692"/>
        <v>68.979999999999976</v>
      </c>
      <c r="CD48" s="26">
        <f t="shared" si="692"/>
        <v>56.839999999999918</v>
      </c>
      <c r="CE48" s="26">
        <f t="shared" ref="CE48:CF48" si="693">CE41+CE45+CE46+CE47</f>
        <v>37</v>
      </c>
      <c r="CF48" s="26">
        <f t="shared" si="693"/>
        <v>28.470000000000038</v>
      </c>
      <c r="CG48" s="26">
        <f t="shared" ref="CG48:CH48" si="694">CG41+CG45+CG46+CG47</f>
        <v>16.629999999999928</v>
      </c>
      <c r="CH48" s="26">
        <f t="shared" si="694"/>
        <v>27.07</v>
      </c>
      <c r="CI48" s="26">
        <f t="shared" ref="CI48:CJ48" si="695">CI41+CI45+CI46+CI47</f>
        <v>15.429999999999978</v>
      </c>
      <c r="CJ48" s="26">
        <f t="shared" si="695"/>
        <v>22.410000000000011</v>
      </c>
      <c r="CK48" s="26">
        <f t="shared" ref="CK48:CL48" si="696">CK41+CK45+CK46+CK47</f>
        <v>18.639999999999979</v>
      </c>
      <c r="CL48" s="26">
        <f t="shared" si="696"/>
        <v>26.05000000000009</v>
      </c>
      <c r="CM48" s="27">
        <f t="shared" ref="CM48:DB48" si="697">CM41+CM45+CM46+CM47</f>
        <v>19.268816586205986</v>
      </c>
      <c r="CN48" s="27">
        <f t="shared" si="697"/>
        <v>24.688101401652265</v>
      </c>
      <c r="CO48" s="27">
        <f t="shared" si="697"/>
        <v>27.39439057182862</v>
      </c>
      <c r="CP48" s="27">
        <f t="shared" si="697"/>
        <v>35.043268938815245</v>
      </c>
      <c r="CQ48" s="27">
        <f t="shared" si="697"/>
        <v>21.409587839966701</v>
      </c>
      <c r="CR48" s="27">
        <f t="shared" si="697"/>
        <v>27.211497646898408</v>
      </c>
      <c r="CS48" s="27">
        <f t="shared" si="697"/>
        <v>30.790548602205025</v>
      </c>
      <c r="CT48" s="27">
        <f t="shared" si="697"/>
        <v>39.427843818350027</v>
      </c>
      <c r="CU48" s="27">
        <f t="shared" si="697"/>
        <v>24.498646409891382</v>
      </c>
      <c r="CV48" s="27">
        <f t="shared" si="697"/>
        <v>30.562939308394316</v>
      </c>
      <c r="CW48" s="27">
        <f t="shared" si="697"/>
        <v>34.375551164160321</v>
      </c>
      <c r="CX48" s="27">
        <f t="shared" si="697"/>
        <v>43.148311632801708</v>
      </c>
      <c r="CY48" s="27">
        <f t="shared" si="697"/>
        <v>28.002652419718562</v>
      </c>
      <c r="CZ48" s="27">
        <f t="shared" si="697"/>
        <v>34.199795102293145</v>
      </c>
      <c r="DA48" s="27">
        <f t="shared" si="697"/>
        <v>38.105251159279867</v>
      </c>
      <c r="DB48" s="27">
        <f t="shared" si="697"/>
        <v>46.963174723052106</v>
      </c>
      <c r="DE48" s="121"/>
      <c r="DF48" s="26">
        <v>82.529999999999859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2.8439999999999999</v>
      </c>
      <c r="C51" s="22">
        <f>'Annual Raw'!D35</f>
        <v>2.6916000000000002</v>
      </c>
      <c r="D51" s="22">
        <f>'Annual Raw'!E35</f>
        <v>16.883400000000002</v>
      </c>
      <c r="E51" s="22">
        <f>'Annual Raw'!F35</f>
        <v>19.6617</v>
      </c>
      <c r="F51" s="22">
        <f>'Annual Raw'!G35</f>
        <v>6.5843999999999996</v>
      </c>
      <c r="G51" s="22">
        <f>'Annual Raw'!H35</f>
        <v>17.913</v>
      </c>
      <c r="H51" s="22">
        <f>'Annual Raw'!I35</f>
        <v>41.401699999999998</v>
      </c>
      <c r="I51" s="22">
        <f>'Annual Raw'!J35</f>
        <v>45.790300000000002</v>
      </c>
      <c r="J51" s="22">
        <f>'Annual Raw'!K35</f>
        <v>15.0273</v>
      </c>
      <c r="K51" s="22">
        <f>'Annual Raw'!L35</f>
        <v>39.929600000000001</v>
      </c>
      <c r="L51" s="22">
        <f>'Annual Raw'!M35</f>
        <v>65.002300000000005</v>
      </c>
      <c r="M51" s="22">
        <f>'Annual Raw'!N35</f>
        <v>34.095399999999998</v>
      </c>
      <c r="N51" s="22">
        <f>'Annual Raw'!O35</f>
        <v>20.5047</v>
      </c>
      <c r="O51" s="22">
        <f>'Annual Raw'!P35</f>
        <v>26.790299999999998</v>
      </c>
      <c r="P51" s="22">
        <f>'Annual Raw'!Q35</f>
        <v>16.492100000000001</v>
      </c>
      <c r="Q51" s="22">
        <f>'Annual Raw'!R35</f>
        <v>36.044899999999998</v>
      </c>
      <c r="R51" s="22">
        <f>'Annual Raw'!S35</f>
        <v>132.59</v>
      </c>
      <c r="S51" s="22">
        <f>'Annual Raw'!T35</f>
        <v>123.29</v>
      </c>
      <c r="T51" s="22">
        <f>'Annual Raw'!U35</f>
        <v>192.06</v>
      </c>
      <c r="U51" s="22">
        <f>'Annual Raw'!V35</f>
        <v>181.58</v>
      </c>
      <c r="V51" s="22">
        <f>'Annual Raw'!W35</f>
        <v>106.37</v>
      </c>
      <c r="W51" s="22">
        <f>'Annual Raw'!X35</f>
        <v>110.02</v>
      </c>
      <c r="X51" s="22">
        <f>'Annual Raw'!Y35</f>
        <v>395.84</v>
      </c>
      <c r="Y51" s="22">
        <f>'Annual Raw'!Z35</f>
        <v>270.77</v>
      </c>
      <c r="Z51" s="22">
        <f>'Annual Raw'!AA35</f>
        <v>109.17</v>
      </c>
      <c r="AA51" s="22">
        <f>'Annual Raw'!AB35</f>
        <v>82.53</v>
      </c>
      <c r="AB51" s="21">
        <f t="shared" ref="AA51:AD51" si="698">+AB48</f>
        <v>106.39457749850247</v>
      </c>
      <c r="AC51" s="21">
        <f t="shared" si="698"/>
        <v>118.83947790742019</v>
      </c>
      <c r="AD51" s="21">
        <f t="shared" si="698"/>
        <v>132.58544851524778</v>
      </c>
      <c r="AE51" s="21">
        <f t="shared" ref="AE51" si="699">+AE48</f>
        <v>147.27087340434386</v>
      </c>
      <c r="AI51" s="22">
        <f>'QTR Raw'!C42</f>
        <v>5.93</v>
      </c>
      <c r="AJ51" s="22">
        <f>'QTR Raw'!D42</f>
        <v>5.3</v>
      </c>
      <c r="AK51" s="22">
        <f>'QTR Raw'!E42</f>
        <v>2.02</v>
      </c>
      <c r="AL51" s="22">
        <f>'QTR Raw'!F42</f>
        <v>7.27</v>
      </c>
      <c r="AM51" s="22">
        <f>'QTR Raw'!G42</f>
        <v>6.79</v>
      </c>
      <c r="AN51" s="22">
        <f>'QTR Raw'!H42</f>
        <v>5.69</v>
      </c>
      <c r="AO51" s="22">
        <f>'QTR Raw'!I42</f>
        <v>2.1</v>
      </c>
      <c r="AP51" s="22">
        <f>'QTR Raw'!J42</f>
        <v>12.21</v>
      </c>
      <c r="AQ51" s="22">
        <f>'QTR Raw'!K42</f>
        <v>5.03</v>
      </c>
      <c r="AR51" s="22">
        <f>'QTR Raw'!L42</f>
        <v>6.87</v>
      </c>
      <c r="AS51" s="22">
        <f>'QTR Raw'!M42</f>
        <v>2.65</v>
      </c>
      <c r="AT51" s="22">
        <f>'QTR Raw'!N42</f>
        <v>2.8</v>
      </c>
      <c r="AU51" s="22">
        <f>'QTR Raw'!O42</f>
        <v>5.39</v>
      </c>
      <c r="AV51" s="22">
        <f>'QTR Raw'!P42</f>
        <v>7.19</v>
      </c>
      <c r="AW51" s="22">
        <f>'QTR Raw'!Q42</f>
        <v>4.13</v>
      </c>
      <c r="AX51" s="22">
        <f>'QTR Raw'!R42</f>
        <v>18.87</v>
      </c>
      <c r="AY51" s="22">
        <f>'QTR Raw'!S42</f>
        <v>24.12</v>
      </c>
      <c r="AZ51" s="22">
        <f>'QTR Raw'!T42</f>
        <v>30.69</v>
      </c>
      <c r="BA51" s="22">
        <f>'QTR Raw'!U42</f>
        <v>34.49</v>
      </c>
      <c r="BB51" s="22">
        <f>'QTR Raw'!V42</f>
        <v>38.75</v>
      </c>
      <c r="BC51" s="22">
        <f>'QTR Raw'!W42</f>
        <v>21.75</v>
      </c>
      <c r="BD51" s="22">
        <f>'QTR Raw'!X42</f>
        <v>26.26</v>
      </c>
      <c r="BE51" s="22">
        <f>'QTR Raw'!Y42</f>
        <v>30.92</v>
      </c>
      <c r="BF51" s="22">
        <f>'QTR Raw'!Z42</f>
        <v>43.96</v>
      </c>
      <c r="BG51" s="22">
        <f>'QTR Raw'!AA42</f>
        <v>26.46</v>
      </c>
      <c r="BH51" s="22">
        <f>'QTR Raw'!AB42</f>
        <v>51.95</v>
      </c>
      <c r="BI51" s="22">
        <f>'QTR Raw'!AC42</f>
        <v>50.23</v>
      </c>
      <c r="BJ51" s="22">
        <f>'QTR Raw'!AD42</f>
        <v>63.41</v>
      </c>
      <c r="BK51" s="22">
        <f>'QTR Raw'!AE42</f>
        <v>39.01</v>
      </c>
      <c r="BL51" s="22">
        <f>'QTR Raw'!AF42</f>
        <v>49.89</v>
      </c>
      <c r="BM51" s="22">
        <f>'QTR Raw'!AG42</f>
        <v>45.86</v>
      </c>
      <c r="BN51" s="22">
        <f>'QTR Raw'!AH42</f>
        <v>46.87</v>
      </c>
      <c r="BO51" s="22">
        <f>'QTR Raw'!AI42</f>
        <v>19.3</v>
      </c>
      <c r="BP51" s="22">
        <f>'QTR Raw'!AJ42</f>
        <v>18.809999999999999</v>
      </c>
      <c r="BQ51" s="22">
        <f>'QTR Raw'!AK42</f>
        <v>4.6500000000000004</v>
      </c>
      <c r="BR51" s="22">
        <f>'QTR Raw'!AL42</f>
        <v>63.61</v>
      </c>
      <c r="BS51" s="22">
        <f>'QTR Raw'!AM42</f>
        <v>19.86</v>
      </c>
      <c r="BT51" s="22">
        <f>'QTR Raw'!AN42</f>
        <v>27.49</v>
      </c>
      <c r="BU51" s="22">
        <f>'QTR Raw'!AO42</f>
        <v>6.04</v>
      </c>
      <c r="BV51" s="22">
        <f>'QTR Raw'!AP42</f>
        <v>56.63</v>
      </c>
      <c r="BW51" s="22">
        <f>'QTR Raw'!AQ42</f>
        <v>60.3</v>
      </c>
      <c r="BX51" s="22">
        <f>'QTR Raw'!AR42</f>
        <v>106.29</v>
      </c>
      <c r="BY51" s="22">
        <f>'QTR Raw'!AS42</f>
        <v>111.57</v>
      </c>
      <c r="BZ51" s="22">
        <f>'QTR Raw'!AT42</f>
        <v>117.67</v>
      </c>
      <c r="CA51" s="22">
        <f>'QTR Raw'!AU42</f>
        <v>71.75</v>
      </c>
      <c r="CB51" s="22">
        <f>'QTR Raw'!AV42</f>
        <v>73.2</v>
      </c>
      <c r="CC51" s="22">
        <f>'QTR Raw'!AW42</f>
        <v>68.98</v>
      </c>
      <c r="CD51" s="22">
        <f>'QTR Raw'!AX42</f>
        <v>56.84</v>
      </c>
      <c r="CE51" s="22">
        <f>'QTR Raw'!AY42</f>
        <v>37</v>
      </c>
      <c r="CF51" s="22">
        <f>'QTR Raw'!AZ42</f>
        <v>28.47</v>
      </c>
      <c r="CG51" s="22">
        <f>'QTR Raw'!BA42</f>
        <v>16.63</v>
      </c>
      <c r="CH51" s="22">
        <f>'QTR Raw'!BB42</f>
        <v>27.07</v>
      </c>
      <c r="CI51" s="22">
        <f>'QTR Raw'!BC42</f>
        <v>15.43</v>
      </c>
      <c r="CJ51" s="22">
        <f>'QTR Raw'!BD42</f>
        <v>22.41</v>
      </c>
      <c r="CK51" s="22">
        <f>'QTR Raw'!BE42</f>
        <v>18.64</v>
      </c>
      <c r="CL51" s="22">
        <f>'QTR Raw'!BF42</f>
        <v>26.05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82.529999999999859</v>
      </c>
    </row>
    <row r="52" spans="1:110" s="25" customFormat="1" x14ac:dyDescent="0.2">
      <c r="A52" s="36" t="s">
        <v>435</v>
      </c>
      <c r="B52" s="25">
        <f t="shared" ref="B52:V52" si="700">B51-B48</f>
        <v>3.1530333899354446E-14</v>
      </c>
      <c r="C52" s="25">
        <f>C51-C48</f>
        <v>4.0412118096355698E-14</v>
      </c>
      <c r="D52" s="25">
        <f t="shared" si="700"/>
        <v>0</v>
      </c>
      <c r="E52" s="25">
        <f t="shared" si="700"/>
        <v>3.5527136788005009E-14</v>
      </c>
      <c r="F52" s="25">
        <f t="shared" si="700"/>
        <v>-2.9309887850104133E-14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1.1368683772161603E-13</v>
      </c>
      <c r="M52" s="25">
        <f t="shared" si="700"/>
        <v>0</v>
      </c>
      <c r="N52" s="25">
        <f t="shared" si="700"/>
        <v>0</v>
      </c>
      <c r="O52" s="25">
        <f t="shared" si="700"/>
        <v>6.7501559897209518E-14</v>
      </c>
      <c r="P52" s="25">
        <f t="shared" si="700"/>
        <v>1.2434497875801753E-13</v>
      </c>
      <c r="Q52" s="25">
        <f t="shared" si="700"/>
        <v>0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1.5631940186722204E-13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-2.2204460492503131E-14</v>
      </c>
      <c r="AK52" s="25">
        <f t="shared" ref="AK52:AM52" si="708">AK51-AK48</f>
        <v>2.708944180085382E-14</v>
      </c>
      <c r="AL52" s="25">
        <f t="shared" si="708"/>
        <v>-8.8817841970012523E-15</v>
      </c>
      <c r="AM52" s="25">
        <f t="shared" si="708"/>
        <v>-1.865174681370263E-14</v>
      </c>
      <c r="AN52" s="25">
        <f t="shared" ref="AN52:AO52" si="709">AN51-AN48</f>
        <v>3.6415315207705135E-14</v>
      </c>
      <c r="AO52" s="25">
        <f t="shared" si="709"/>
        <v>-1.6431300764452317E-14</v>
      </c>
      <c r="AP52" s="25">
        <f t="shared" ref="AP52:CD52" si="710">AP51-AP48</f>
        <v>-1.7763568394002505E-14</v>
      </c>
      <c r="AQ52" s="25">
        <f t="shared" si="710"/>
        <v>-2.3980817331903381E-14</v>
      </c>
      <c r="AR52" s="25">
        <f t="shared" si="710"/>
        <v>9.7699626167013776E-15</v>
      </c>
      <c r="AS52" s="25">
        <f t="shared" si="710"/>
        <v>0</v>
      </c>
      <c r="AT52" s="25">
        <f t="shared" si="710"/>
        <v>5.9063864910058328E-14</v>
      </c>
      <c r="AU52" s="25">
        <f t="shared" si="710"/>
        <v>0</v>
      </c>
      <c r="AV52" s="25">
        <f t="shared" si="710"/>
        <v>-2.2204460492503131E-14</v>
      </c>
      <c r="AW52" s="25">
        <f t="shared" si="710"/>
        <v>3.1086244689504383E-14</v>
      </c>
      <c r="AX52" s="25">
        <f t="shared" si="710"/>
        <v>3.5527136788005009E-14</v>
      </c>
      <c r="AY52" s="25">
        <f t="shared" si="710"/>
        <v>0</v>
      </c>
      <c r="AZ52" s="25">
        <f t="shared" si="710"/>
        <v>-3.907985046680551E-14</v>
      </c>
      <c r="BA52" s="25">
        <f t="shared" si="710"/>
        <v>0</v>
      </c>
      <c r="BB52" s="25">
        <f t="shared" si="710"/>
        <v>-7.1054273576010019E-14</v>
      </c>
      <c r="BC52" s="25">
        <f t="shared" si="710"/>
        <v>2.8421709430404007E-14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2.8421709430404007E-14</v>
      </c>
      <c r="BT52" s="25">
        <f t="shared" si="710"/>
        <v>0</v>
      </c>
      <c r="BU52" s="25">
        <f t="shared" si="710"/>
        <v>-4.2632564145606011E-14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8.5265128291212022E-14</v>
      </c>
      <c r="CE52" s="25">
        <f t="shared" ref="CE52:CF52" si="711">CE51-CE48</f>
        <v>0</v>
      </c>
      <c r="CF52" s="25">
        <f t="shared" si="711"/>
        <v>-3.907985046680551E-14</v>
      </c>
      <c r="CG52" s="25">
        <f t="shared" ref="CG52:CH52" si="712">CG51-CG48</f>
        <v>7.1054273576010019E-14</v>
      </c>
      <c r="CH52" s="25">
        <f t="shared" si="712"/>
        <v>0</v>
      </c>
      <c r="CI52" s="25">
        <f t="shared" ref="CI52:CJ52" si="713">CI51-CI48</f>
        <v>2.1316282072803006E-14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-8.8817841970012523E-14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3.8378391508173203E-2</v>
      </c>
      <c r="C54" s="39">
        <f t="shared" si="715"/>
        <v>5.0469897320121949E-2</v>
      </c>
      <c r="D54" s="39">
        <f t="shared" si="715"/>
        <v>0.31624017182469527</v>
      </c>
      <c r="E54" s="39">
        <f t="shared" si="715"/>
        <v>0.23048167207849254</v>
      </c>
      <c r="F54" s="39">
        <f t="shared" si="715"/>
        <v>7.3501044848095484E-2</v>
      </c>
      <c r="G54" s="39">
        <f t="shared" si="715"/>
        <v>0.17176406963765856</v>
      </c>
      <c r="H54" s="39">
        <f t="shared" si="715"/>
        <v>0.29345550220649641</v>
      </c>
      <c r="I54" s="39">
        <f t="shared" si="715"/>
        <v>0.25144460265258867</v>
      </c>
      <c r="J54" s="39">
        <f t="shared" si="715"/>
        <v>7.8051934898288253E-2</v>
      </c>
      <c r="K54" s="39">
        <f t="shared" si="715"/>
        <v>0.17779044294441393</v>
      </c>
      <c r="L54" s="39">
        <f t="shared" si="715"/>
        <v>0.22964726015782178</v>
      </c>
      <c r="M54" s="39">
        <f t="shared" si="715"/>
        <v>0.10976891652476874</v>
      </c>
      <c r="N54" s="39">
        <f t="shared" si="715"/>
        <v>5.6447170539018529E-2</v>
      </c>
      <c r="O54" s="39">
        <f t="shared" si="715"/>
        <v>6.9742995124813384E-2</v>
      </c>
      <c r="P54" s="39">
        <f t="shared" si="715"/>
        <v>4.7612766092124087E-2</v>
      </c>
      <c r="Q54" s="39">
        <f t="shared" si="715"/>
        <v>8.1482020669295982E-2</v>
      </c>
      <c r="R54" s="39">
        <f t="shared" si="715"/>
        <v>0.21917513844119343</v>
      </c>
      <c r="S54" s="39">
        <f t="shared" si="715"/>
        <v>0.16327346409913562</v>
      </c>
      <c r="T54" s="39">
        <f t="shared" si="715"/>
        <v>0.21502463054187204</v>
      </c>
      <c r="U54" s="39">
        <f t="shared" si="715"/>
        <v>0.17815060093205781</v>
      </c>
      <c r="V54" s="39">
        <f t="shared" si="715"/>
        <v>9.3084105606748749E-2</v>
      </c>
      <c r="W54" s="39">
        <f t="shared" si="715"/>
        <v>8.7647180663766894E-2</v>
      </c>
      <c r="X54" s="39">
        <f t="shared" si="715"/>
        <v>0.24205067997260563</v>
      </c>
      <c r="Y54" s="39">
        <f t="shared" si="715"/>
        <v>0.14166723346814486</v>
      </c>
      <c r="Z54" s="39">
        <f t="shared" si="715"/>
        <v>5.4903439951719903E-2</v>
      </c>
      <c r="AA54" s="39">
        <f t="shared" ref="AA54" si="716">(AA48-AA47)/AA120</f>
        <v>4.0416852353364688E-2</v>
      </c>
      <c r="AB54" s="40">
        <f t="shared" si="715"/>
        <v>4.9523520641168564E-2</v>
      </c>
      <c r="AC54" s="40">
        <f t="shared" si="715"/>
        <v>5.2416754294373841E-2</v>
      </c>
      <c r="AD54" s="40">
        <f t="shared" si="715"/>
        <v>5.5248782569724507E-2</v>
      </c>
      <c r="AE54" s="40">
        <f t="shared" si="715"/>
        <v>5.7819938119795369E-2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5.6490020646937381E-2</v>
      </c>
      <c r="AM54" s="39">
        <f t="shared" si="717"/>
        <v>5.777753756350671E-2</v>
      </c>
      <c r="AN54" s="39">
        <f t="shared" si="717"/>
        <v>5.7943626733384677E-2</v>
      </c>
      <c r="AO54" s="39">
        <f t="shared" si="717"/>
        <v>5.7833302453614267E-2</v>
      </c>
      <c r="AP54" s="39">
        <f t="shared" si="717"/>
        <v>6.9742014422200863E-2</v>
      </c>
      <c r="AQ54" s="39">
        <f t="shared" si="717"/>
        <v>6.4318018295816681E-2</v>
      </c>
      <c r="AR54" s="39">
        <f t="shared" si="717"/>
        <v>7.4312552079388042E-2</v>
      </c>
      <c r="AS54" s="39">
        <f t="shared" si="717"/>
        <v>7.5198153907896151E-2</v>
      </c>
      <c r="AT54" s="39">
        <f t="shared" si="717"/>
        <v>4.9696793989031318E-2</v>
      </c>
      <c r="AU54" s="39">
        <f t="shared" si="717"/>
        <v>4.9916527545909681E-2</v>
      </c>
      <c r="AV54" s="39">
        <f t="shared" si="717"/>
        <v>4.4455950883941019E-2</v>
      </c>
      <c r="AW54" s="39">
        <f t="shared" si="717"/>
        <v>4.7620209909689841E-2</v>
      </c>
      <c r="AX54" s="39">
        <f t="shared" si="717"/>
        <v>8.0432227145311411E-2</v>
      </c>
      <c r="AY54" s="39">
        <f t="shared" si="717"/>
        <v>0.1164251414851654</v>
      </c>
      <c r="AZ54" s="39">
        <f t="shared" si="717"/>
        <v>0.16353853590869916</v>
      </c>
      <c r="BA54" s="39">
        <f t="shared" si="717"/>
        <v>0.21198165712941919</v>
      </c>
      <c r="BB54" s="39">
        <f t="shared" si="717"/>
        <v>0.21167038598231289</v>
      </c>
      <c r="BC54" s="39">
        <f t="shared" si="717"/>
        <v>0.20054252433381223</v>
      </c>
      <c r="BD54" s="39">
        <f t="shared" si="717"/>
        <v>0.19436696482959845</v>
      </c>
      <c r="BE54" s="39">
        <f t="shared" si="717"/>
        <v>0.17234322020954893</v>
      </c>
      <c r="BF54" s="39">
        <f t="shared" si="717"/>
        <v>0.16272209739892754</v>
      </c>
      <c r="BG54" s="39">
        <f t="shared" si="717"/>
        <v>0.16325987791416752</v>
      </c>
      <c r="BH54" s="39">
        <f t="shared" si="717"/>
        <v>0.19118575089829606</v>
      </c>
      <c r="BI54" s="39">
        <f t="shared" si="717"/>
        <v>0.20878190395548557</v>
      </c>
      <c r="BJ54" s="39">
        <f t="shared" si="717"/>
        <v>0.21501343484102106</v>
      </c>
      <c r="BK54" s="39">
        <f t="shared" si="717"/>
        <v>0.21947844369830838</v>
      </c>
      <c r="BL54" s="39">
        <f t="shared" si="717"/>
        <v>0.21326734758344743</v>
      </c>
      <c r="BM54" s="39">
        <f t="shared" si="717"/>
        <v>0.19905379886696928</v>
      </c>
      <c r="BN54" s="39">
        <f t="shared" si="717"/>
        <v>0.17819965661025258</v>
      </c>
      <c r="BO54" s="39">
        <f t="shared" si="717"/>
        <v>0.15590968176784933</v>
      </c>
      <c r="BP54" s="39">
        <f t="shared" si="717"/>
        <v>0.12557465472728485</v>
      </c>
      <c r="BQ54" s="39">
        <f t="shared" si="717"/>
        <v>8.5640849242293871E-2</v>
      </c>
      <c r="BR54" s="39">
        <f t="shared" ref="BR54:CW54" si="718">(SUM(BO48:BR48)-SUM(BO47:BR47))/BR120</f>
        <v>9.3084105606748721E-2</v>
      </c>
      <c r="BS54" s="39">
        <f t="shared" si="718"/>
        <v>9.1975675001505205E-2</v>
      </c>
      <c r="BT54" s="39">
        <f t="shared" si="718"/>
        <v>9.5468133247452444E-2</v>
      </c>
      <c r="BU54" s="39">
        <f t="shared" si="718"/>
        <v>9.61364644788089E-2</v>
      </c>
      <c r="BV54" s="39">
        <f t="shared" si="718"/>
        <v>8.7647180663766894E-2</v>
      </c>
      <c r="BW54" s="39">
        <f t="shared" si="718"/>
        <v>0.11436954604883097</v>
      </c>
      <c r="BX54" s="39">
        <f t="shared" si="718"/>
        <v>0.16321038805715143</v>
      </c>
      <c r="BY54" s="39">
        <f t="shared" si="718"/>
        <v>0.2207998628203606</v>
      </c>
      <c r="BZ54" s="39">
        <f t="shared" si="718"/>
        <v>0.24204456511104586</v>
      </c>
      <c r="CA54" s="39">
        <f t="shared" si="718"/>
        <v>0.23857865046774959</v>
      </c>
      <c r="CB54" s="39">
        <f t="shared" si="718"/>
        <v>0.211265935703881</v>
      </c>
      <c r="CC54" s="39">
        <f t="shared" si="718"/>
        <v>0.18020172158942696</v>
      </c>
      <c r="CD54" s="39">
        <f t="shared" si="718"/>
        <v>0.14166723346814483</v>
      </c>
      <c r="CE54" s="39">
        <f t="shared" si="718"/>
        <v>0.12114088620394078</v>
      </c>
      <c r="CF54" s="39">
        <f t="shared" si="718"/>
        <v>9.7359500809250862E-2</v>
      </c>
      <c r="CG54" s="39">
        <f t="shared" si="718"/>
        <v>7.0121781963349283E-2</v>
      </c>
      <c r="CH54" s="39">
        <f t="shared" si="718"/>
        <v>5.4903439951719958E-2</v>
      </c>
      <c r="CI54" s="39">
        <f t="shared" si="718"/>
        <v>4.3716283317447056E-2</v>
      </c>
      <c r="CJ54" s="39">
        <f t="shared" si="718"/>
        <v>4.0444823618110352E-2</v>
      </c>
      <c r="CK54" s="39">
        <f t="shared" si="718"/>
        <v>4.1062160887001646E-2</v>
      </c>
      <c r="CL54" s="39">
        <f t="shared" si="718"/>
        <v>4.0416852353364674E-2</v>
      </c>
      <c r="CM54" s="40">
        <f t="shared" si="718"/>
        <v>4.1901411855443729E-2</v>
      </c>
      <c r="CN54" s="40">
        <f t="shared" si="718"/>
        <v>4.2497614477006479E-2</v>
      </c>
      <c r="CO54" s="40">
        <f t="shared" si="718"/>
        <v>4.6089209513564149E-2</v>
      </c>
      <c r="CP54" s="40">
        <f t="shared" si="718"/>
        <v>4.9523520641168398E-2</v>
      </c>
      <c r="CQ54" s="40">
        <f t="shared" si="718"/>
        <v>5.0021495548285368E-2</v>
      </c>
      <c r="CR54" s="40">
        <f t="shared" si="718"/>
        <v>5.0550509668141001E-2</v>
      </c>
      <c r="CS54" s="40">
        <f t="shared" si="718"/>
        <v>5.1376301817282526E-2</v>
      </c>
      <c r="CT54" s="40">
        <f t="shared" si="718"/>
        <v>5.2416754294373834E-2</v>
      </c>
      <c r="CU54" s="40">
        <f t="shared" si="718"/>
        <v>5.3204342945852287E-2</v>
      </c>
      <c r="CV54" s="40">
        <f t="shared" si="718"/>
        <v>5.394730728487751E-2</v>
      </c>
      <c r="CW54" s="40">
        <f t="shared" si="718"/>
        <v>5.4681629567742696E-2</v>
      </c>
      <c r="CX54" s="40">
        <f t="shared" ref="CX54:DB54" si="719">(SUM(CU48:CX48)-SUM(CU47:CX47))/CX120</f>
        <v>5.5248782569724486E-2</v>
      </c>
      <c r="CY54" s="40">
        <f t="shared" si="719"/>
        <v>5.6054820907810207E-2</v>
      </c>
      <c r="CZ54" s="40">
        <f t="shared" si="719"/>
        <v>5.6753357880422108E-2</v>
      </c>
      <c r="DA54" s="40">
        <f t="shared" si="719"/>
        <v>5.7380173124774329E-2</v>
      </c>
      <c r="DB54" s="40">
        <f t="shared" si="719"/>
        <v>5.7819938119795307E-2</v>
      </c>
      <c r="DE54" s="122"/>
      <c r="DF54" s="38">
        <v>4.0416852353364577E-2</v>
      </c>
    </row>
    <row r="55" spans="1:110" s="38" customFormat="1" x14ac:dyDescent="0.2">
      <c r="A55" s="38" t="s">
        <v>351</v>
      </c>
      <c r="B55" s="39">
        <f t="shared" ref="B55:AE55" si="720">+B34/B129</f>
        <v>3.3839496494292701E-2</v>
      </c>
      <c r="C55" s="39">
        <f t="shared" si="720"/>
        <v>0.11905583171518751</v>
      </c>
      <c r="D55" s="39">
        <f t="shared" si="720"/>
        <v>0.2542844744225134</v>
      </c>
      <c r="E55" s="39">
        <f t="shared" si="720"/>
        <v>0.22202826369136977</v>
      </c>
      <c r="F55" s="39">
        <f t="shared" si="720"/>
        <v>7.5116867277035843E-2</v>
      </c>
      <c r="G55" s="39">
        <f t="shared" si="720"/>
        <v>0.14182882413925091</v>
      </c>
      <c r="H55" s="39">
        <f t="shared" si="720"/>
        <v>0.1220888403065882</v>
      </c>
      <c r="I55" s="39">
        <f t="shared" si="720"/>
        <v>0.12262223083282951</v>
      </c>
      <c r="J55" s="39">
        <f t="shared" si="720"/>
        <v>7.1191885344358052E-2</v>
      </c>
      <c r="K55" s="39">
        <f t="shared" si="720"/>
        <v>0.14432271023182558</v>
      </c>
      <c r="L55" s="39">
        <f t="shared" si="720"/>
        <v>0.11227957478063805</v>
      </c>
      <c r="M55" s="39">
        <f t="shared" si="720"/>
        <v>0.12191149580065817</v>
      </c>
      <c r="N55" s="39">
        <f t="shared" si="720"/>
        <v>6.9969952577022876E-2</v>
      </c>
      <c r="O55" s="39">
        <f t="shared" si="720"/>
        <v>9.6522708849400354E-2</v>
      </c>
      <c r="P55" s="39">
        <f t="shared" si="720"/>
        <v>8.0966391164546542E-2</v>
      </c>
      <c r="Q55" s="39">
        <f t="shared" si="720"/>
        <v>0.10538568993772179</v>
      </c>
      <c r="R55" s="39">
        <f t="shared" si="720"/>
        <v>0.23626026531901451</v>
      </c>
      <c r="S55" s="39">
        <f t="shared" si="720"/>
        <v>0.20046188320299985</v>
      </c>
      <c r="T55" s="39">
        <f t="shared" si="720"/>
        <v>0.26464201670487725</v>
      </c>
      <c r="U55" s="39">
        <f t="shared" si="720"/>
        <v>0.22527344433003704</v>
      </c>
      <c r="V55" s="39">
        <f t="shared" si="720"/>
        <v>6.0764356676604299E-2</v>
      </c>
      <c r="W55" s="39">
        <f t="shared" si="720"/>
        <v>9.9129716681489038E-2</v>
      </c>
      <c r="X55" s="39">
        <f t="shared" si="720"/>
        <v>0.29891889247627457</v>
      </c>
      <c r="Y55" s="39">
        <f t="shared" si="720"/>
        <v>0.15322075650387357</v>
      </c>
      <c r="Z55" s="39">
        <f t="shared" si="720"/>
        <v>3.194284775825252E-2</v>
      </c>
      <c r="AA55" s="39">
        <f t="shared" ref="AA55" si="721">+AA34/AA129</f>
        <v>2.4931806050039949E-2</v>
      </c>
      <c r="AB55" s="40">
        <f t="shared" si="720"/>
        <v>2.4701146849910798E-2</v>
      </c>
      <c r="AC55" s="40">
        <f t="shared" si="720"/>
        <v>2.4431531633386051E-2</v>
      </c>
      <c r="AD55" s="40">
        <f t="shared" si="720"/>
        <v>2.4182785047976385E-2</v>
      </c>
      <c r="AE55" s="40">
        <f t="shared" si="720"/>
        <v>2.383848745160649E-2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7.625251591143993E-2</v>
      </c>
      <c r="AM55" s="39">
        <f t="shared" si="722"/>
        <v>8.1349126140329631E-2</v>
      </c>
      <c r="AN55" s="39">
        <f t="shared" si="722"/>
        <v>8.4728931830381063E-2</v>
      </c>
      <c r="AO55" s="39">
        <f t="shared" si="722"/>
        <v>8.4102769971898847E-2</v>
      </c>
      <c r="AP55" s="39">
        <f t="shared" si="722"/>
        <v>0.10237687106048135</v>
      </c>
      <c r="AQ55" s="39">
        <f t="shared" si="722"/>
        <v>9.7034534534534561E-2</v>
      </c>
      <c r="AR55" s="39">
        <f t="shared" si="722"/>
        <v>0.10819931378224595</v>
      </c>
      <c r="AS55" s="39">
        <f t="shared" si="722"/>
        <v>0.10949808687823548</v>
      </c>
      <c r="AT55" s="39">
        <f t="shared" si="722"/>
        <v>8.6002236430885615E-2</v>
      </c>
      <c r="AU55" s="39">
        <f t="shared" si="722"/>
        <v>8.4446530949027529E-2</v>
      </c>
      <c r="AV55" s="39">
        <f t="shared" si="722"/>
        <v>7.9102213273972363E-2</v>
      </c>
      <c r="AW55" s="39">
        <f t="shared" si="722"/>
        <v>7.9698908967889157E-2</v>
      </c>
      <c r="AX55" s="39">
        <f t="shared" si="722"/>
        <v>0.11231135594192911</v>
      </c>
      <c r="AY55" s="39">
        <f t="shared" si="722"/>
        <v>0.13584303937881301</v>
      </c>
      <c r="AZ55" s="39">
        <f t="shared" si="722"/>
        <v>0.1741495040861015</v>
      </c>
      <c r="BA55" s="39">
        <f t="shared" si="722"/>
        <v>0.21710310965630117</v>
      </c>
      <c r="BB55" s="39">
        <f t="shared" si="722"/>
        <v>0.25363332825337032</v>
      </c>
      <c r="BC55" s="39">
        <f t="shared" si="722"/>
        <v>0.24076714097425841</v>
      </c>
      <c r="BD55" s="39">
        <f t="shared" si="722"/>
        <v>0.23877900470547006</v>
      </c>
      <c r="BE55" s="39">
        <f t="shared" si="722"/>
        <v>0.21477847814550685</v>
      </c>
      <c r="BF55" s="39">
        <f t="shared" si="722"/>
        <v>0.21443341857648021</v>
      </c>
      <c r="BG55" s="39">
        <f t="shared" si="722"/>
        <v>0.21580363386391382</v>
      </c>
      <c r="BH55" s="39">
        <f t="shared" si="722"/>
        <v>0.25684825366551434</v>
      </c>
      <c r="BI55" s="39">
        <f t="shared" si="722"/>
        <v>0.28143241145839187</v>
      </c>
      <c r="BJ55" s="39">
        <f t="shared" si="722"/>
        <v>0.27737434898589997</v>
      </c>
      <c r="BK55" s="39">
        <f t="shared" si="722"/>
        <v>0.281369130518761</v>
      </c>
      <c r="BL55" s="39">
        <f t="shared" si="722"/>
        <v>0.27140312484095885</v>
      </c>
      <c r="BM55" s="39">
        <f t="shared" si="722"/>
        <v>0.24417733951823864</v>
      </c>
      <c r="BN55" s="39">
        <f t="shared" si="722"/>
        <v>0.22605957811829835</v>
      </c>
      <c r="BO55" s="39">
        <f t="shared" si="722"/>
        <v>0.19234007539371203</v>
      </c>
      <c r="BP55" s="39">
        <f t="shared" si="722"/>
        <v>0.14910287251946858</v>
      </c>
      <c r="BQ55" s="39">
        <f t="shared" si="722"/>
        <v>9.7014218906791322E-2</v>
      </c>
      <c r="BR55" s="39">
        <f t="shared" ref="BR55:CW55" si="723">+SUM(BO34:BR34)/BR129</f>
        <v>6.0778091719191456E-2</v>
      </c>
      <c r="BS55" s="39">
        <f t="shared" si="723"/>
        <v>5.9028638333148115E-2</v>
      </c>
      <c r="BT55" s="39">
        <f t="shared" si="723"/>
        <v>6.5909706657471465E-2</v>
      </c>
      <c r="BU55" s="39">
        <f t="shared" si="723"/>
        <v>6.6327906083802415E-2</v>
      </c>
      <c r="BV55" s="39">
        <f t="shared" si="723"/>
        <v>9.9129716681489038E-2</v>
      </c>
      <c r="BW55" s="39">
        <f t="shared" si="723"/>
        <v>0.13592895139657191</v>
      </c>
      <c r="BX55" s="39">
        <f t="shared" si="723"/>
        <v>0.19699326075686885</v>
      </c>
      <c r="BY55" s="39">
        <f t="shared" si="723"/>
        <v>0.27004619211180858</v>
      </c>
      <c r="BZ55" s="39">
        <f t="shared" si="723"/>
        <v>0.29891889247627434</v>
      </c>
      <c r="CA55" s="39">
        <f t="shared" si="723"/>
        <v>0.29082484432754774</v>
      </c>
      <c r="CB55" s="39">
        <f t="shared" si="723"/>
        <v>0.25230072606962589</v>
      </c>
      <c r="CC55" s="39">
        <f t="shared" si="723"/>
        <v>0.20949808712285886</v>
      </c>
      <c r="CD55" s="39">
        <f t="shared" si="723"/>
        <v>0.15322075650387357</v>
      </c>
      <c r="CE55" s="39">
        <f t="shared" si="723"/>
        <v>0.12632343308062211</v>
      </c>
      <c r="CF55" s="39">
        <f t="shared" si="723"/>
        <v>9.2700868979059478E-2</v>
      </c>
      <c r="CG55" s="39">
        <f t="shared" si="723"/>
        <v>5.29493279582917E-2</v>
      </c>
      <c r="CH55" s="39">
        <f t="shared" si="723"/>
        <v>3.1942847758252575E-2</v>
      </c>
      <c r="CI55" s="39">
        <f t="shared" si="723"/>
        <v>1.8962549563933249E-2</v>
      </c>
      <c r="CJ55" s="39">
        <f t="shared" si="723"/>
        <v>1.6871891171284775E-2</v>
      </c>
      <c r="CK55" s="39">
        <f t="shared" si="723"/>
        <v>2.4802625658901133E-2</v>
      </c>
      <c r="CL55" s="39">
        <f t="shared" si="723"/>
        <v>2.4926908818444959E-2</v>
      </c>
      <c r="CM55" s="40">
        <f t="shared" si="723"/>
        <v>2.5199812024409907E-2</v>
      </c>
      <c r="CN55" s="40">
        <f t="shared" si="723"/>
        <v>2.2099775074269717E-2</v>
      </c>
      <c r="CO55" s="40">
        <f t="shared" si="723"/>
        <v>2.0594429222135714E-2</v>
      </c>
      <c r="CP55" s="40">
        <f t="shared" si="723"/>
        <v>2.4701146849910625E-2</v>
      </c>
      <c r="CQ55" s="40">
        <f t="shared" si="723"/>
        <v>2.4365214998005182E-2</v>
      </c>
      <c r="CR55" s="40">
        <f t="shared" si="723"/>
        <v>2.3860749391709193E-2</v>
      </c>
      <c r="CS55" s="40">
        <f t="shared" si="723"/>
        <v>2.3884751480499108E-2</v>
      </c>
      <c r="CT55" s="40">
        <f t="shared" si="723"/>
        <v>2.4431531633386041E-2</v>
      </c>
      <c r="CU55" s="40">
        <f t="shared" si="723"/>
        <v>2.4335674081344742E-2</v>
      </c>
      <c r="CV55" s="40">
        <f t="shared" si="723"/>
        <v>2.4242616276505872E-2</v>
      </c>
      <c r="CW55" s="40">
        <f t="shared" si="723"/>
        <v>2.4228760965688129E-2</v>
      </c>
      <c r="CX55" s="40">
        <f t="shared" ref="CX55:DB55" si="724">+SUM(CU34:CX34)/CX129</f>
        <v>2.4182785047976361E-2</v>
      </c>
      <c r="CY55" s="40">
        <f t="shared" si="724"/>
        <v>2.4150426531766033E-2</v>
      </c>
      <c r="CZ55" s="40">
        <f t="shared" si="724"/>
        <v>2.4077428703398584E-2</v>
      </c>
      <c r="DA55" s="40">
        <f t="shared" si="724"/>
        <v>2.3988876119262779E-2</v>
      </c>
      <c r="DB55" s="40">
        <f t="shared" si="724"/>
        <v>2.3838487451606424E-2</v>
      </c>
      <c r="DE55" s="122"/>
      <c r="DF55" s="38">
        <v>2.4926908818444862E-2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-0.23259999999993397</v>
      </c>
      <c r="O58" s="9">
        <f>O10-SUM(AM10:AP10)</f>
        <v>-1.1795000000000755</v>
      </c>
      <c r="P58" s="9">
        <f>P10-SUM(AQ10:AT10)</f>
        <v>0.31850000000008549</v>
      </c>
      <c r="Q58" s="9">
        <f>Q10-SUM(AU10:AX10)</f>
        <v>-5.8738000000000739</v>
      </c>
      <c r="R58" s="9">
        <f>R10-SUM(AY10:BB10)</f>
        <v>0.35999999999989996</v>
      </c>
      <c r="S58" s="9">
        <f>S10-SUM(BC10:BF10)</f>
        <v>-3.6099999999999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-7.1000000000001364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151.84649999999999</v>
      </c>
      <c r="O59" s="9">
        <f>O16-SUM(AM16:AP16)</f>
        <v>173.51399999999995</v>
      </c>
      <c r="P59" s="9">
        <f>P16-SUM(AQ16:AT16)</f>
        <v>176.67869999999988</v>
      </c>
      <c r="Q59" s="9">
        <f>Q16-SUM(AU16:AX16)</f>
        <v>163.47550000000001</v>
      </c>
      <c r="R59" s="9">
        <f>R16-SUM(AY16:BB16)</f>
        <v>189.01999999999981</v>
      </c>
      <c r="S59" s="9">
        <f>S16-SUM(BC16:BF16)</f>
        <v>196.48000000000002</v>
      </c>
      <c r="T59" s="9">
        <f>T16-SUM(BG16:BJ16)</f>
        <v>246.85000000000002</v>
      </c>
      <c r="U59" s="9">
        <f>U16-SUM(BK16:BN16)</f>
        <v>247.07999999999993</v>
      </c>
      <c r="V59" s="9">
        <f>V16-SUM(BO16:BR16)</f>
        <v>185</v>
      </c>
      <c r="W59" s="9">
        <f>W16-SUM(BS16:BV16)</f>
        <v>256.6400000000001</v>
      </c>
      <c r="X59" s="9">
        <f>X16-SUM(BW16:BZ16)</f>
        <v>358.09000000000037</v>
      </c>
      <c r="Y59" s="9">
        <f>Y16-SUM(CA16:CD16)</f>
        <v>346.81999999999994</v>
      </c>
      <c r="Z59" s="9">
        <f>Z16-SUM(CE16:CH16)</f>
        <v>339.78999999999985</v>
      </c>
      <c r="AA59" s="9">
        <f>AA16-SUM(CF16:CI16)</f>
        <v>321.78000000000009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-0.2698999999999927</v>
      </c>
      <c r="O60" s="9">
        <f>O28-SUM(AM28:AP28)</f>
        <v>-1.1752000000001033</v>
      </c>
      <c r="P60" s="9">
        <f>P28-SUM(AQ28:AT28)</f>
        <v>0.21459999999991908</v>
      </c>
      <c r="Q60" s="9">
        <f>Q28-SUM(AU28:AX28)</f>
        <v>0.19920000000003313</v>
      </c>
      <c r="R60" s="9">
        <f>R28-SUM(AY28:BB28)</f>
        <v>0.24999999999982947</v>
      </c>
      <c r="S60" s="9">
        <f>S28-SUM(BC28:BF28)</f>
        <v>0.13999999999995794</v>
      </c>
      <c r="T60" s="9">
        <f>T28-SUM(BG28:BJ28)</f>
        <v>0</v>
      </c>
      <c r="U60" s="9">
        <f>U28-SUM(BK28:BN28)</f>
        <v>0</v>
      </c>
      <c r="V60" s="9">
        <f>V28-SUM(BO28:BR28)</f>
        <v>0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-1.1368683772161603E-13</v>
      </c>
      <c r="AA60" s="9">
        <f>AA28-SUM(CF28:CI28)</f>
        <v>11.010000000000133</v>
      </c>
      <c r="AB60" s="15">
        <f>AB28-SUM(CM28:CP28)</f>
        <v>3.694822225952521E-13</v>
      </c>
      <c r="AC60" s="15">
        <f>AC28-SUM(CQ28:CT28)</f>
        <v>0</v>
      </c>
      <c r="AD60" s="15">
        <f>AD28-SUM(CU28:CX28)</f>
        <v>0</v>
      </c>
      <c r="AE60" s="15">
        <f>AE28-SUM(CY28:DB28)</f>
        <v>1.7053025658242404E-13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-1.9895196601282805E-13</v>
      </c>
    </row>
    <row r="61" spans="1:110" s="9" customFormat="1" x14ac:dyDescent="0.2">
      <c r="A61" s="9" t="s">
        <v>456</v>
      </c>
      <c r="N61" s="9">
        <f>N48-SUM(AI48:AL48)</f>
        <v>-1.5299999999989211E-2</v>
      </c>
      <c r="O61" s="9">
        <f>O48-SUM(AM48:AP48)</f>
        <v>2.999999999140357E-4</v>
      </c>
      <c r="P61" s="9">
        <f>P48-SUM(AQ48:AT48)</f>
        <v>-0.85790000000007893</v>
      </c>
      <c r="Q61" s="9">
        <f>Q48-SUM(AU48:AX48)</f>
        <v>0.46490000000003562</v>
      </c>
      <c r="R61" s="9">
        <f>R48-SUM(AY48:BB48)</f>
        <v>4.5399999999997931</v>
      </c>
      <c r="S61" s="9">
        <f>S48-SUM(BC48:BF48)</f>
        <v>0.39999999999994884</v>
      </c>
      <c r="T61" s="9">
        <f>T48-SUM(BG48:BJ48)</f>
        <v>1.0000000000104592E-2</v>
      </c>
      <c r="U61" s="9">
        <f>U48-SUM(BK48:BN48)</f>
        <v>-5.0000000000011369E-2</v>
      </c>
      <c r="V61" s="9">
        <f>V48-SUM(BO48:BR48)</f>
        <v>0</v>
      </c>
      <c r="W61" s="9">
        <f>W41-SUM(BS41:BV41)</f>
        <v>0</v>
      </c>
      <c r="X61" s="9">
        <f>X41-SUM(BW41:BZ41)</f>
        <v>0</v>
      </c>
      <c r="Y61" s="9">
        <f>Y41-SUM(CA41:CD41)</f>
        <v>0</v>
      </c>
      <c r="Z61" s="9">
        <f>Z41-SUM(CE41:CH41)</f>
        <v>-1.1368683772161603E-13</v>
      </c>
      <c r="AA61" s="9">
        <f>AA41-SUM(CF41:CI41)</f>
        <v>-15.489999999999867</v>
      </c>
      <c r="AB61" s="15">
        <f>AB41-SUM(CM41:CP41)</f>
        <v>3.5527136788005009E-13</v>
      </c>
      <c r="AC61" s="15">
        <f>AC41-SUM(CQ41:CT41)</f>
        <v>0</v>
      </c>
      <c r="AD61" s="15">
        <f>AD41-SUM(CU41:CX41)</f>
        <v>0</v>
      </c>
      <c r="AE61" s="15">
        <f>AE41-SUM(CY41:DB41)</f>
        <v>1.8474111129762605E-13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-1.9895196601282805E-13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11.25</v>
      </c>
      <c r="C63" s="3">
        <f>'Annual Raw'!D104</f>
        <v>11.25</v>
      </c>
      <c r="D63" s="3">
        <f>'Annual Raw'!E104</f>
        <v>11.25</v>
      </c>
      <c r="E63" s="3">
        <f t="shared" ref="E63:Y63" ca="1" si="725">+F63</f>
        <v>12.04</v>
      </c>
      <c r="F63" s="3">
        <f t="shared" ca="1" si="725"/>
        <v>12.04</v>
      </c>
      <c r="G63" s="3">
        <f t="shared" ca="1" si="725"/>
        <v>12.04</v>
      </c>
      <c r="H63" s="3">
        <f t="shared" ca="1" si="725"/>
        <v>12.04</v>
      </c>
      <c r="I63" s="3">
        <f t="shared" ca="1" si="725"/>
        <v>12.04</v>
      </c>
      <c r="J63" s="3">
        <f t="shared" ca="1" si="725"/>
        <v>12.04</v>
      </c>
      <c r="K63" s="3">
        <f t="shared" ca="1" si="725"/>
        <v>12.04</v>
      </c>
      <c r="L63" s="3">
        <f t="shared" ca="1" si="725"/>
        <v>12.04</v>
      </c>
      <c r="M63" s="3">
        <f t="shared" ca="1" si="725"/>
        <v>12.04</v>
      </c>
      <c r="N63" s="3">
        <f t="shared" ca="1" si="725"/>
        <v>12.04</v>
      </c>
      <c r="O63" s="3">
        <f t="shared" ca="1" si="725"/>
        <v>12.04</v>
      </c>
      <c r="P63" s="3">
        <f t="shared" ca="1" si="725"/>
        <v>12.04</v>
      </c>
      <c r="Q63" s="3">
        <f t="shared" ca="1" si="725"/>
        <v>12.04</v>
      </c>
      <c r="R63" s="3">
        <f t="shared" ca="1" si="725"/>
        <v>12.04</v>
      </c>
      <c r="S63" s="3">
        <f t="shared" ca="1" si="725"/>
        <v>12.04</v>
      </c>
      <c r="T63" s="3">
        <f t="shared" ca="1" si="725"/>
        <v>12.04</v>
      </c>
      <c r="U63" s="3">
        <f t="shared" ca="1" si="725"/>
        <v>12.04</v>
      </c>
      <c r="V63" s="3">
        <f t="shared" ca="1" si="725"/>
        <v>12.04</v>
      </c>
      <c r="W63" s="3">
        <f t="shared" ca="1" si="725"/>
        <v>12.04</v>
      </c>
      <c r="X63" s="3">
        <f t="shared" ca="1" si="725"/>
        <v>12.04</v>
      </c>
      <c r="Y63" s="3">
        <f t="shared" ca="1" si="725"/>
        <v>12.04</v>
      </c>
      <c r="Z63" s="3">
        <f ca="1">+AA63</f>
        <v>12.04</v>
      </c>
      <c r="AA63" s="3">
        <f ca="1">+AB63</f>
        <v>12.04</v>
      </c>
      <c r="AB63" s="37">
        <f t="shared" ref="AB63:AB64" ca="1" si="726">AA63</f>
        <v>12.04</v>
      </c>
      <c r="AC63" s="37">
        <f t="shared" ref="AC63:AC64" ca="1" si="727">AB63</f>
        <v>12.04</v>
      </c>
      <c r="AD63" s="37">
        <f t="shared" ref="AD63:AD64" ca="1" si="728">AC63</f>
        <v>12.04</v>
      </c>
      <c r="AE63" s="37">
        <f t="shared" ref="AE63:AE64" ca="1" si="729">AD63</f>
        <v>12.04</v>
      </c>
      <c r="AI63" s="3">
        <f t="shared" ref="AI63:CH63" si="730">+AJ63</f>
        <v>12.04</v>
      </c>
      <c r="AJ63" s="3">
        <f t="shared" si="730"/>
        <v>12.04</v>
      </c>
      <c r="AK63" s="3">
        <f t="shared" si="730"/>
        <v>12.04</v>
      </c>
      <c r="AL63" s="3">
        <f t="shared" si="730"/>
        <v>12.04</v>
      </c>
      <c r="AM63" s="3">
        <f t="shared" si="730"/>
        <v>12.04</v>
      </c>
      <c r="AN63" s="3">
        <f t="shared" si="730"/>
        <v>12.04</v>
      </c>
      <c r="AO63" s="3">
        <f t="shared" si="730"/>
        <v>12.04</v>
      </c>
      <c r="AP63" s="3">
        <f t="shared" si="730"/>
        <v>12.04</v>
      </c>
      <c r="AQ63" s="3">
        <f t="shared" si="730"/>
        <v>12.04</v>
      </c>
      <c r="AR63" s="3">
        <f t="shared" si="730"/>
        <v>12.04</v>
      </c>
      <c r="AS63" s="3">
        <f t="shared" si="730"/>
        <v>12.04</v>
      </c>
      <c r="AT63" s="3">
        <f t="shared" si="730"/>
        <v>12.04</v>
      </c>
      <c r="AU63" s="3">
        <f t="shared" si="730"/>
        <v>12.04</v>
      </c>
      <c r="AV63" s="3">
        <f t="shared" si="730"/>
        <v>12.04</v>
      </c>
      <c r="AW63" s="3">
        <f t="shared" si="730"/>
        <v>12.04</v>
      </c>
      <c r="AX63" s="3">
        <f t="shared" si="730"/>
        <v>12.04</v>
      </c>
      <c r="AY63" s="3">
        <f t="shared" si="730"/>
        <v>12.04</v>
      </c>
      <c r="AZ63" s="3">
        <f t="shared" si="730"/>
        <v>12.04</v>
      </c>
      <c r="BA63" s="3">
        <f t="shared" si="730"/>
        <v>12.04</v>
      </c>
      <c r="BB63" s="3">
        <f t="shared" si="730"/>
        <v>12.04</v>
      </c>
      <c r="BC63" s="3">
        <f t="shared" si="730"/>
        <v>12.04</v>
      </c>
      <c r="BD63" s="3">
        <f t="shared" si="730"/>
        <v>12.04</v>
      </c>
      <c r="BE63" s="3">
        <f t="shared" si="730"/>
        <v>12.04</v>
      </c>
      <c r="BF63" s="3">
        <f t="shared" si="730"/>
        <v>12.04</v>
      </c>
      <c r="BG63" s="3">
        <f t="shared" si="730"/>
        <v>12.04</v>
      </c>
      <c r="BH63" s="3">
        <f t="shared" si="730"/>
        <v>12.04</v>
      </c>
      <c r="BI63" s="3">
        <f t="shared" si="730"/>
        <v>12.04</v>
      </c>
      <c r="BJ63" s="3">
        <f t="shared" si="730"/>
        <v>12.04</v>
      </c>
      <c r="BK63" s="3">
        <f t="shared" si="730"/>
        <v>12.04</v>
      </c>
      <c r="BL63" s="3">
        <f t="shared" si="730"/>
        <v>12.04</v>
      </c>
      <c r="BM63" s="3">
        <f t="shared" si="730"/>
        <v>12.04</v>
      </c>
      <c r="BN63" s="3">
        <f t="shared" si="730"/>
        <v>12.04</v>
      </c>
      <c r="BO63" s="3">
        <f t="shared" si="730"/>
        <v>12.04</v>
      </c>
      <c r="BP63" s="3">
        <f t="shared" si="730"/>
        <v>12.04</v>
      </c>
      <c r="BQ63" s="3">
        <f t="shared" si="730"/>
        <v>12.04</v>
      </c>
      <c r="BR63" s="3">
        <f t="shared" si="730"/>
        <v>12.04</v>
      </c>
      <c r="BS63" s="3">
        <f t="shared" si="730"/>
        <v>12.04</v>
      </c>
      <c r="BT63" s="3">
        <f t="shared" si="730"/>
        <v>12.04</v>
      </c>
      <c r="BU63" s="3">
        <f t="shared" si="730"/>
        <v>12.04</v>
      </c>
      <c r="BV63" s="3">
        <f t="shared" si="730"/>
        <v>12.04</v>
      </c>
      <c r="BW63" s="3">
        <f t="shared" si="730"/>
        <v>12.04</v>
      </c>
      <c r="BX63" s="3">
        <f t="shared" si="730"/>
        <v>12.04</v>
      </c>
      <c r="BY63" s="3">
        <f t="shared" si="730"/>
        <v>12.04</v>
      </c>
      <c r="BZ63" s="3">
        <f t="shared" si="730"/>
        <v>12.04</v>
      </c>
      <c r="CA63" s="3">
        <f t="shared" si="730"/>
        <v>12.04</v>
      </c>
      <c r="CB63" s="3">
        <f t="shared" si="730"/>
        <v>12.04</v>
      </c>
      <c r="CC63" s="3">
        <f t="shared" si="730"/>
        <v>12.04</v>
      </c>
      <c r="CD63" s="3">
        <f t="shared" si="730"/>
        <v>12.04</v>
      </c>
      <c r="CE63" s="3">
        <f t="shared" si="730"/>
        <v>12.04</v>
      </c>
      <c r="CF63" s="3">
        <f t="shared" si="730"/>
        <v>12.04</v>
      </c>
      <c r="CG63" s="3">
        <f t="shared" si="730"/>
        <v>12.04</v>
      </c>
      <c r="CH63" s="3">
        <f t="shared" si="730"/>
        <v>12.04</v>
      </c>
      <c r="CI63" s="3">
        <f>+CJ63</f>
        <v>12.04</v>
      </c>
      <c r="CJ63" s="3">
        <f>'QTR Raw'!BD45</f>
        <v>12.04</v>
      </c>
      <c r="CK63" s="3">
        <f>'QTR Raw'!BE45</f>
        <v>12.04</v>
      </c>
      <c r="CL63" s="3">
        <f>'QTR Raw'!BF45</f>
        <v>12.04</v>
      </c>
      <c r="CM63" s="37">
        <f t="shared" ref="CM63:CM64" si="731">+CL63</f>
        <v>12.04</v>
      </c>
      <c r="CN63" s="37">
        <f t="shared" ref="CN63:CN64" si="732">+CM63</f>
        <v>12.04</v>
      </c>
      <c r="CO63" s="37">
        <f t="shared" ref="CO63:CO64" si="733">+CN63</f>
        <v>12.04</v>
      </c>
      <c r="CP63" s="37">
        <f t="shared" ref="CP63:CP64" si="734">+CO63</f>
        <v>12.04</v>
      </c>
      <c r="CQ63" s="37">
        <f t="shared" ref="CQ63:CQ64" si="735">+CP63</f>
        <v>12.04</v>
      </c>
      <c r="CR63" s="37">
        <f t="shared" ref="CR63:CR64" si="736">+CQ63</f>
        <v>12.04</v>
      </c>
      <c r="CS63" s="37">
        <f t="shared" ref="CS63:CS64" si="737">+CR63</f>
        <v>12.04</v>
      </c>
      <c r="CT63" s="37">
        <f t="shared" ref="CT63:CT64" si="738">+CS63</f>
        <v>12.04</v>
      </c>
      <c r="CU63" s="37">
        <f t="shared" ref="CU63:CU64" si="739">+CT63</f>
        <v>12.04</v>
      </c>
      <c r="CV63" s="37">
        <f t="shared" ref="CV63:CV64" si="740">+CU63</f>
        <v>12.04</v>
      </c>
      <c r="CW63" s="37">
        <f t="shared" ref="CW63:CW64" si="741">+CV63</f>
        <v>12.04</v>
      </c>
      <c r="CX63" s="37">
        <f t="shared" ref="CX63:CX64" si="742">+CW63</f>
        <v>12.04</v>
      </c>
      <c r="CY63" s="37">
        <f t="shared" ref="CY63:CY64" si="743">+CX63</f>
        <v>12.04</v>
      </c>
      <c r="CZ63" s="37">
        <f t="shared" ref="CZ63:CZ64" si="744">+CY63</f>
        <v>12.04</v>
      </c>
      <c r="DA63" s="37">
        <f t="shared" ref="DA63:DA64" si="745">+CZ63</f>
        <v>12.04</v>
      </c>
      <c r="DB63" s="37">
        <f t="shared" ref="DB63:DB64" si="746">+DA63</f>
        <v>12.04</v>
      </c>
      <c r="DE63" s="134"/>
      <c r="DF63" s="3">
        <v>12.04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2</v>
      </c>
      <c r="F64" s="3">
        <f t="shared" ca="1" si="747"/>
        <v>2</v>
      </c>
      <c r="G64" s="3">
        <f t="shared" ca="1" si="747"/>
        <v>2</v>
      </c>
      <c r="H64" s="3">
        <f t="shared" ca="1" si="747"/>
        <v>2</v>
      </c>
      <c r="I64" s="3">
        <f t="shared" ca="1" si="747"/>
        <v>2</v>
      </c>
      <c r="J64" s="3">
        <f t="shared" ca="1" si="747"/>
        <v>2</v>
      </c>
      <c r="K64" s="3">
        <f t="shared" ca="1" si="747"/>
        <v>2</v>
      </c>
      <c r="L64" s="3">
        <f t="shared" ca="1" si="747"/>
        <v>2</v>
      </c>
      <c r="M64" s="3">
        <f t="shared" ca="1" si="747"/>
        <v>2</v>
      </c>
      <c r="N64" s="3">
        <f t="shared" ca="1" si="747"/>
        <v>2</v>
      </c>
      <c r="O64" s="3">
        <f t="shared" ca="1" si="747"/>
        <v>2</v>
      </c>
      <c r="P64" s="3">
        <f t="shared" ca="1" si="747"/>
        <v>2</v>
      </c>
      <c r="Q64" s="3">
        <f t="shared" ca="1" si="747"/>
        <v>2</v>
      </c>
      <c r="R64" s="3">
        <f t="shared" ca="1" si="747"/>
        <v>2</v>
      </c>
      <c r="S64" s="3">
        <f t="shared" ca="1" si="747"/>
        <v>2</v>
      </c>
      <c r="T64" s="3">
        <f t="shared" ca="1" si="747"/>
        <v>2</v>
      </c>
      <c r="U64" s="3">
        <f t="shared" ca="1" si="747"/>
        <v>2</v>
      </c>
      <c r="V64" s="3">
        <f t="shared" ca="1" si="747"/>
        <v>2</v>
      </c>
      <c r="W64" s="3">
        <f t="shared" ca="1" si="747"/>
        <v>2</v>
      </c>
      <c r="X64" s="3">
        <f t="shared" ca="1" si="747"/>
        <v>2</v>
      </c>
      <c r="Y64" s="3">
        <f t="shared" ca="1" si="747"/>
        <v>2</v>
      </c>
      <c r="Z64" s="3">
        <f ca="1">+AA64</f>
        <v>2</v>
      </c>
      <c r="AA64" s="3">
        <f ca="1">+AB64</f>
        <v>2</v>
      </c>
      <c r="AB64" s="37">
        <f t="shared" ca="1" si="726"/>
        <v>2</v>
      </c>
      <c r="AC64" s="37">
        <f t="shared" ca="1" si="727"/>
        <v>2</v>
      </c>
      <c r="AD64" s="37">
        <f t="shared" ca="1" si="728"/>
        <v>2</v>
      </c>
      <c r="AE64" s="37">
        <f t="shared" ca="1" si="729"/>
        <v>2</v>
      </c>
      <c r="AI64" s="3">
        <f t="shared" ref="AI64:CH64" si="748">AJ64</f>
        <v>2</v>
      </c>
      <c r="AJ64" s="3">
        <f t="shared" si="748"/>
        <v>2</v>
      </c>
      <c r="AK64" s="3">
        <f t="shared" si="748"/>
        <v>2</v>
      </c>
      <c r="AL64" s="3">
        <f t="shared" si="748"/>
        <v>2</v>
      </c>
      <c r="AM64" s="3">
        <f t="shared" si="748"/>
        <v>2</v>
      </c>
      <c r="AN64" s="3">
        <f t="shared" si="748"/>
        <v>2</v>
      </c>
      <c r="AO64" s="3">
        <f t="shared" si="748"/>
        <v>2</v>
      </c>
      <c r="AP64" s="3">
        <f t="shared" si="748"/>
        <v>2</v>
      </c>
      <c r="AQ64" s="3">
        <f t="shared" si="748"/>
        <v>2</v>
      </c>
      <c r="AR64" s="3">
        <f t="shared" si="748"/>
        <v>2</v>
      </c>
      <c r="AS64" s="3">
        <f t="shared" si="748"/>
        <v>2</v>
      </c>
      <c r="AT64" s="3">
        <f t="shared" si="748"/>
        <v>2</v>
      </c>
      <c r="AU64" s="3">
        <f t="shared" si="748"/>
        <v>2</v>
      </c>
      <c r="AV64" s="3">
        <f t="shared" si="748"/>
        <v>2</v>
      </c>
      <c r="AW64" s="3">
        <f t="shared" si="748"/>
        <v>2</v>
      </c>
      <c r="AX64" s="3">
        <f t="shared" si="748"/>
        <v>2</v>
      </c>
      <c r="AY64" s="3">
        <f t="shared" si="748"/>
        <v>2</v>
      </c>
      <c r="AZ64" s="3">
        <f t="shared" si="748"/>
        <v>2</v>
      </c>
      <c r="BA64" s="3">
        <f t="shared" si="748"/>
        <v>2</v>
      </c>
      <c r="BB64" s="3">
        <f t="shared" si="748"/>
        <v>2</v>
      </c>
      <c r="BC64" s="3">
        <f t="shared" si="748"/>
        <v>2</v>
      </c>
      <c r="BD64" s="3">
        <f t="shared" si="748"/>
        <v>2</v>
      </c>
      <c r="BE64" s="3">
        <f t="shared" si="748"/>
        <v>2</v>
      </c>
      <c r="BF64" s="3">
        <f t="shared" si="748"/>
        <v>2</v>
      </c>
      <c r="BG64" s="3">
        <f t="shared" si="748"/>
        <v>2</v>
      </c>
      <c r="BH64" s="3">
        <f t="shared" si="748"/>
        <v>2</v>
      </c>
      <c r="BI64" s="3">
        <f t="shared" si="748"/>
        <v>2</v>
      </c>
      <c r="BJ64" s="3">
        <f t="shared" si="748"/>
        <v>2</v>
      </c>
      <c r="BK64" s="3">
        <f t="shared" si="748"/>
        <v>2</v>
      </c>
      <c r="BL64" s="3">
        <f t="shared" si="748"/>
        <v>2</v>
      </c>
      <c r="BM64" s="3">
        <f t="shared" si="748"/>
        <v>2</v>
      </c>
      <c r="BN64" s="3">
        <f t="shared" si="748"/>
        <v>2</v>
      </c>
      <c r="BO64" s="3">
        <f t="shared" si="748"/>
        <v>2</v>
      </c>
      <c r="BP64" s="3">
        <f t="shared" si="748"/>
        <v>2</v>
      </c>
      <c r="BQ64" s="3">
        <f t="shared" si="748"/>
        <v>2</v>
      </c>
      <c r="BR64" s="3">
        <f t="shared" si="748"/>
        <v>2</v>
      </c>
      <c r="BS64" s="3">
        <f t="shared" si="748"/>
        <v>2</v>
      </c>
      <c r="BT64" s="3">
        <f t="shared" si="748"/>
        <v>2</v>
      </c>
      <c r="BU64" s="3">
        <f t="shared" si="748"/>
        <v>2</v>
      </c>
      <c r="BV64" s="3">
        <f t="shared" si="748"/>
        <v>2</v>
      </c>
      <c r="BW64" s="3">
        <f t="shared" si="748"/>
        <v>2</v>
      </c>
      <c r="BX64" s="3">
        <f t="shared" si="748"/>
        <v>2</v>
      </c>
      <c r="BY64" s="3">
        <f t="shared" si="748"/>
        <v>2</v>
      </c>
      <c r="BZ64" s="3">
        <f t="shared" si="748"/>
        <v>2</v>
      </c>
      <c r="CA64" s="3">
        <f t="shared" si="748"/>
        <v>2</v>
      </c>
      <c r="CB64" s="3">
        <f t="shared" si="748"/>
        <v>2</v>
      </c>
      <c r="CC64" s="3">
        <f t="shared" si="748"/>
        <v>2</v>
      </c>
      <c r="CD64" s="3">
        <f t="shared" si="748"/>
        <v>2</v>
      </c>
      <c r="CE64" s="3">
        <f t="shared" si="748"/>
        <v>2</v>
      </c>
      <c r="CF64" s="3">
        <f t="shared" si="748"/>
        <v>2</v>
      </c>
      <c r="CG64" s="3">
        <f t="shared" si="748"/>
        <v>2</v>
      </c>
      <c r="CH64" s="3">
        <f t="shared" si="748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1"/>
        <v>2</v>
      </c>
      <c r="CN64" s="37">
        <f t="shared" si="732"/>
        <v>2</v>
      </c>
      <c r="CO64" s="37">
        <f t="shared" si="733"/>
        <v>2</v>
      </c>
      <c r="CP64" s="37">
        <f t="shared" si="734"/>
        <v>2</v>
      </c>
      <c r="CQ64" s="37">
        <f t="shared" si="735"/>
        <v>2</v>
      </c>
      <c r="CR64" s="37">
        <f t="shared" si="736"/>
        <v>2</v>
      </c>
      <c r="CS64" s="37">
        <f t="shared" si="737"/>
        <v>2</v>
      </c>
      <c r="CT64" s="37">
        <f t="shared" si="738"/>
        <v>2</v>
      </c>
      <c r="CU64" s="37">
        <f t="shared" si="739"/>
        <v>2</v>
      </c>
      <c r="CV64" s="37">
        <f t="shared" si="740"/>
        <v>2</v>
      </c>
      <c r="CW64" s="37">
        <f t="shared" si="741"/>
        <v>2</v>
      </c>
      <c r="CX64" s="37">
        <f t="shared" si="742"/>
        <v>2</v>
      </c>
      <c r="CY64" s="37">
        <f t="shared" si="743"/>
        <v>2</v>
      </c>
      <c r="CZ64" s="37">
        <f t="shared" si="744"/>
        <v>2</v>
      </c>
      <c r="DA64" s="37">
        <f t="shared" si="745"/>
        <v>2</v>
      </c>
      <c r="DB64" s="37">
        <f t="shared" si="74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1.125</v>
      </c>
      <c r="C65" s="3">
        <f t="shared" ref="C65:W65" si="749">C63/C64</f>
        <v>1.125</v>
      </c>
      <c r="D65" s="3">
        <f t="shared" si="749"/>
        <v>1.125</v>
      </c>
      <c r="E65" s="3">
        <f t="shared" ca="1" si="749"/>
        <v>6.02</v>
      </c>
      <c r="F65" s="3">
        <f t="shared" ca="1" si="749"/>
        <v>6.02</v>
      </c>
      <c r="G65" s="3">
        <f t="shared" ca="1" si="749"/>
        <v>6.02</v>
      </c>
      <c r="H65" s="3">
        <f t="shared" ca="1" si="749"/>
        <v>6.02</v>
      </c>
      <c r="I65" s="3">
        <f t="shared" ca="1" si="749"/>
        <v>6.02</v>
      </c>
      <c r="J65" s="3">
        <f t="shared" ca="1" si="749"/>
        <v>6.02</v>
      </c>
      <c r="K65" s="3">
        <f t="shared" ca="1" si="749"/>
        <v>6.02</v>
      </c>
      <c r="L65" s="3">
        <f t="shared" ca="1" si="749"/>
        <v>6.02</v>
      </c>
      <c r="M65" s="3">
        <f t="shared" ca="1" si="749"/>
        <v>6.02</v>
      </c>
      <c r="N65" s="3">
        <f t="shared" ca="1" si="749"/>
        <v>6.02</v>
      </c>
      <c r="O65" s="3">
        <f t="shared" ca="1" si="749"/>
        <v>6.02</v>
      </c>
      <c r="P65" s="3">
        <f t="shared" ca="1" si="749"/>
        <v>6.02</v>
      </c>
      <c r="Q65" s="3">
        <f t="shared" ca="1" si="749"/>
        <v>6.02</v>
      </c>
      <c r="R65" s="3">
        <f t="shared" ca="1" si="749"/>
        <v>6.02</v>
      </c>
      <c r="S65" s="3">
        <f t="shared" ca="1" si="749"/>
        <v>6.02</v>
      </c>
      <c r="T65" s="3">
        <f t="shared" ca="1" si="749"/>
        <v>6.02</v>
      </c>
      <c r="U65" s="3">
        <f t="shared" ca="1" si="749"/>
        <v>6.02</v>
      </c>
      <c r="V65" s="3">
        <f ca="1">V63/V64</f>
        <v>6.02</v>
      </c>
      <c r="W65" s="3">
        <f t="shared" ca="1" si="749"/>
        <v>6.02</v>
      </c>
      <c r="X65" s="3">
        <f t="shared" ref="X65:Y65" ca="1" si="750">X63/X64</f>
        <v>6.02</v>
      </c>
      <c r="Y65" s="3">
        <f t="shared" ca="1" si="750"/>
        <v>6.02</v>
      </c>
      <c r="Z65" s="3">
        <f t="shared" ref="Z65:AA65" ca="1" si="751">Z63/Z64</f>
        <v>6.02</v>
      </c>
      <c r="AA65" s="3">
        <f t="shared" ca="1" si="751"/>
        <v>6.02</v>
      </c>
      <c r="AB65" s="37">
        <f t="shared" ref="AA65:AD65" ca="1" si="752">AB63/AB64</f>
        <v>6.02</v>
      </c>
      <c r="AC65" s="37">
        <f t="shared" ca="1" si="752"/>
        <v>6.02</v>
      </c>
      <c r="AD65" s="37">
        <f t="shared" ca="1" si="752"/>
        <v>6.02</v>
      </c>
      <c r="AE65" s="37">
        <f t="shared" ref="AE65" ca="1" si="753">AE63/AE64</f>
        <v>6.02</v>
      </c>
      <c r="AI65" s="3">
        <f t="shared" ref="AI65" si="754">AI63/AI64</f>
        <v>6.02</v>
      </c>
      <c r="AJ65" s="3">
        <f t="shared" ref="AJ65" si="755">AJ63/AJ64</f>
        <v>6.02</v>
      </c>
      <c r="AK65" s="3">
        <f t="shared" ref="AK65:AM65" si="756">AK63/AK64</f>
        <v>6.02</v>
      </c>
      <c r="AL65" s="3">
        <f t="shared" si="756"/>
        <v>6.02</v>
      </c>
      <c r="AM65" s="3">
        <f t="shared" si="756"/>
        <v>6.02</v>
      </c>
      <c r="AN65" s="3">
        <f t="shared" ref="AN65:AO65" si="757">AN63/AN64</f>
        <v>6.02</v>
      </c>
      <c r="AO65" s="3">
        <f t="shared" si="757"/>
        <v>6.02</v>
      </c>
      <c r="AP65" s="3">
        <f t="shared" ref="AP65:CD65" si="758">AP63/AP64</f>
        <v>6.02</v>
      </c>
      <c r="AQ65" s="3">
        <f t="shared" si="758"/>
        <v>6.02</v>
      </c>
      <c r="AR65" s="3">
        <f t="shared" si="758"/>
        <v>6.02</v>
      </c>
      <c r="AS65" s="3">
        <f t="shared" si="758"/>
        <v>6.02</v>
      </c>
      <c r="AT65" s="3">
        <f t="shared" si="758"/>
        <v>6.02</v>
      </c>
      <c r="AU65" s="3">
        <f t="shared" si="758"/>
        <v>6.02</v>
      </c>
      <c r="AV65" s="3">
        <f t="shared" si="758"/>
        <v>6.02</v>
      </c>
      <c r="AW65" s="3">
        <f t="shared" si="758"/>
        <v>6.02</v>
      </c>
      <c r="AX65" s="3">
        <f t="shared" si="758"/>
        <v>6.02</v>
      </c>
      <c r="AY65" s="3">
        <f t="shared" si="758"/>
        <v>6.02</v>
      </c>
      <c r="AZ65" s="3">
        <f t="shared" si="758"/>
        <v>6.02</v>
      </c>
      <c r="BA65" s="3">
        <f t="shared" si="758"/>
        <v>6.02</v>
      </c>
      <c r="BB65" s="3">
        <f t="shared" si="758"/>
        <v>6.02</v>
      </c>
      <c r="BC65" s="3">
        <f t="shared" si="758"/>
        <v>6.02</v>
      </c>
      <c r="BD65" s="3">
        <f t="shared" si="758"/>
        <v>6.02</v>
      </c>
      <c r="BE65" s="3">
        <f t="shared" si="758"/>
        <v>6.02</v>
      </c>
      <c r="BF65" s="3">
        <f t="shared" si="758"/>
        <v>6.02</v>
      </c>
      <c r="BG65" s="3">
        <f t="shared" si="758"/>
        <v>6.02</v>
      </c>
      <c r="BH65" s="3">
        <f t="shared" si="758"/>
        <v>6.02</v>
      </c>
      <c r="BI65" s="3">
        <f t="shared" si="758"/>
        <v>6.02</v>
      </c>
      <c r="BJ65" s="3">
        <f t="shared" si="758"/>
        <v>6.02</v>
      </c>
      <c r="BK65" s="3">
        <f t="shared" si="758"/>
        <v>6.02</v>
      </c>
      <c r="BL65" s="3">
        <f t="shared" si="758"/>
        <v>6.02</v>
      </c>
      <c r="BM65" s="3">
        <f t="shared" si="758"/>
        <v>6.02</v>
      </c>
      <c r="BN65" s="3">
        <f t="shared" si="758"/>
        <v>6.02</v>
      </c>
      <c r="BO65" s="3">
        <f t="shared" si="758"/>
        <v>6.02</v>
      </c>
      <c r="BP65" s="3">
        <f t="shared" si="758"/>
        <v>6.02</v>
      </c>
      <c r="BQ65" s="3">
        <f t="shared" si="758"/>
        <v>6.02</v>
      </c>
      <c r="BR65" s="3">
        <f t="shared" si="758"/>
        <v>6.02</v>
      </c>
      <c r="BS65" s="3">
        <f t="shared" si="758"/>
        <v>6.02</v>
      </c>
      <c r="BT65" s="3">
        <f t="shared" si="758"/>
        <v>6.02</v>
      </c>
      <c r="BU65" s="3">
        <f t="shared" si="758"/>
        <v>6.02</v>
      </c>
      <c r="BV65" s="3">
        <f t="shared" si="758"/>
        <v>6.02</v>
      </c>
      <c r="BW65" s="3">
        <f t="shared" si="758"/>
        <v>6.02</v>
      </c>
      <c r="BX65" s="3">
        <f t="shared" si="758"/>
        <v>6.02</v>
      </c>
      <c r="BY65" s="3">
        <f t="shared" si="758"/>
        <v>6.02</v>
      </c>
      <c r="BZ65" s="3">
        <f t="shared" si="758"/>
        <v>6.02</v>
      </c>
      <c r="CA65" s="3">
        <f t="shared" si="758"/>
        <v>6.02</v>
      </c>
      <c r="CB65" s="3">
        <f t="shared" si="758"/>
        <v>6.02</v>
      </c>
      <c r="CC65" s="3">
        <f t="shared" si="758"/>
        <v>6.02</v>
      </c>
      <c r="CD65" s="3">
        <f t="shared" si="758"/>
        <v>6.02</v>
      </c>
      <c r="CE65" s="3">
        <f t="shared" ref="CE65:CF65" si="759">CE63/CE64</f>
        <v>6.02</v>
      </c>
      <c r="CF65" s="3">
        <f t="shared" si="759"/>
        <v>6.02</v>
      </c>
      <c r="CG65" s="3">
        <f t="shared" ref="CG65:CH65" si="760">CG63/CG64</f>
        <v>6.02</v>
      </c>
      <c r="CH65" s="3">
        <f t="shared" si="760"/>
        <v>6.02</v>
      </c>
      <c r="CI65" s="3">
        <f t="shared" ref="CI65:CJ65" si="761">CI63/CI64</f>
        <v>6.02</v>
      </c>
      <c r="CJ65" s="3">
        <f t="shared" si="761"/>
        <v>6.02</v>
      </c>
      <c r="CK65" s="3">
        <f t="shared" ref="CK65:CL65" si="762">CK63/CK64</f>
        <v>6.02</v>
      </c>
      <c r="CL65" s="3">
        <f t="shared" si="762"/>
        <v>6.02</v>
      </c>
      <c r="CM65" s="37">
        <f t="shared" ref="CM65:DB65" si="763">CM63/CM64</f>
        <v>6.02</v>
      </c>
      <c r="CN65" s="37">
        <f t="shared" si="763"/>
        <v>6.02</v>
      </c>
      <c r="CO65" s="37">
        <f t="shared" si="763"/>
        <v>6.02</v>
      </c>
      <c r="CP65" s="37">
        <f t="shared" si="763"/>
        <v>6.02</v>
      </c>
      <c r="CQ65" s="37">
        <f t="shared" si="763"/>
        <v>6.02</v>
      </c>
      <c r="CR65" s="37">
        <f t="shared" si="763"/>
        <v>6.02</v>
      </c>
      <c r="CS65" s="37">
        <f t="shared" si="763"/>
        <v>6.02</v>
      </c>
      <c r="CT65" s="37">
        <f t="shared" si="763"/>
        <v>6.02</v>
      </c>
      <c r="CU65" s="37">
        <f t="shared" si="763"/>
        <v>6.02</v>
      </c>
      <c r="CV65" s="37">
        <f t="shared" si="763"/>
        <v>6.02</v>
      </c>
      <c r="CW65" s="37">
        <f t="shared" si="763"/>
        <v>6.02</v>
      </c>
      <c r="CX65" s="37">
        <f t="shared" si="763"/>
        <v>6.02</v>
      </c>
      <c r="CY65" s="37">
        <f t="shared" si="763"/>
        <v>6.02</v>
      </c>
      <c r="CZ65" s="37">
        <f t="shared" si="763"/>
        <v>6.02</v>
      </c>
      <c r="DA65" s="37">
        <f t="shared" si="763"/>
        <v>6.02</v>
      </c>
      <c r="DB65" s="37">
        <f t="shared" si="763"/>
        <v>6.02</v>
      </c>
      <c r="DE65" s="134"/>
      <c r="DF65" s="3">
        <v>6.02</v>
      </c>
    </row>
    <row r="66" spans="1:110" s="53" customFormat="1" x14ac:dyDescent="0.2">
      <c r="A66" s="53" t="s">
        <v>30</v>
      </c>
      <c r="B66" s="53">
        <f t="shared" ref="B66:AE66" si="764">(B48-B47)/B65</f>
        <v>2.527999999999972</v>
      </c>
      <c r="C66" s="53">
        <f t="shared" si="764"/>
        <v>2.3925333333332977</v>
      </c>
      <c r="D66" s="53">
        <f t="shared" si="764"/>
        <v>19.095200000000002</v>
      </c>
      <c r="E66" s="53">
        <f t="shared" ca="1" si="764"/>
        <v>3.2660631229235824</v>
      </c>
      <c r="F66" s="53">
        <f t="shared" ca="1" si="764"/>
        <v>1.0937541528239252</v>
      </c>
      <c r="G66" s="53">
        <f t="shared" ca="1" si="764"/>
        <v>2.9755813953488355</v>
      </c>
      <c r="H66" s="53">
        <f t="shared" ca="1" si="764"/>
        <v>6.8773588039867146</v>
      </c>
      <c r="I66" s="53">
        <f t="shared" ca="1" si="764"/>
        <v>7.6063621262458483</v>
      </c>
      <c r="J66" s="53">
        <f t="shared" ca="1" si="764"/>
        <v>2.496229235880397</v>
      </c>
      <c r="K66" s="53">
        <f t="shared" ca="1" si="764"/>
        <v>6.6328239202657873</v>
      </c>
      <c r="L66" s="53">
        <f t="shared" ca="1" si="764"/>
        <v>10.797724252491678</v>
      </c>
      <c r="M66" s="53">
        <f t="shared" ca="1" si="764"/>
        <v>5.663687707641194</v>
      </c>
      <c r="N66" s="53">
        <f t="shared" ca="1" si="764"/>
        <v>3.4060963455149529</v>
      </c>
      <c r="O66" s="53">
        <f t="shared" ca="1" si="764"/>
        <v>4.4502159468438425</v>
      </c>
      <c r="P66" s="53">
        <f t="shared" ca="1" si="764"/>
        <v>3.2736710963454945</v>
      </c>
      <c r="Q66" s="53">
        <f t="shared" ca="1" si="764"/>
        <v>5.9875249169435207</v>
      </c>
      <c r="R66" s="53">
        <f t="shared" ca="1" si="764"/>
        <v>22.024916943521593</v>
      </c>
      <c r="S66" s="53">
        <f t="shared" ca="1" si="764"/>
        <v>19.676079734219257</v>
      </c>
      <c r="T66" s="53">
        <f t="shared" ca="1" si="764"/>
        <v>31.903654485049856</v>
      </c>
      <c r="U66" s="53">
        <f t="shared" ca="1" si="764"/>
        <v>30.16279069767441</v>
      </c>
      <c r="V66" s="53">
        <f t="shared" ca="1" si="764"/>
        <v>17.669435215946844</v>
      </c>
      <c r="W66" s="53">
        <f t="shared" ca="1" si="764"/>
        <v>18.275747508305653</v>
      </c>
      <c r="X66" s="53">
        <f t="shared" ca="1" si="764"/>
        <v>65.754152823920322</v>
      </c>
      <c r="Y66" s="53">
        <f t="shared" ca="1" si="764"/>
        <v>44.978405315614609</v>
      </c>
      <c r="Z66" s="53">
        <f t="shared" ca="1" si="764"/>
        <v>18.134551495016588</v>
      </c>
      <c r="AA66" s="53">
        <f t="shared" ref="AA66" ca="1" si="765">(AA48-AA47)/AA65</f>
        <v>18.134551495016588</v>
      </c>
      <c r="AB66" s="54">
        <f t="shared" ca="1" si="764"/>
        <v>17.673517856894101</v>
      </c>
      <c r="AC66" s="54">
        <f t="shared" ca="1" si="764"/>
        <v>19.740777061033256</v>
      </c>
      <c r="AD66" s="54">
        <f t="shared" ca="1" si="764"/>
        <v>22.024160882931525</v>
      </c>
      <c r="AE66" s="54">
        <f t="shared" ca="1" si="764"/>
        <v>24.463600233279713</v>
      </c>
      <c r="AI66" s="53">
        <f t="shared" ref="AI66:BN66" si="766">(AI48-AI47)/AI65</f>
        <v>0.98504983388704326</v>
      </c>
      <c r="AJ66" s="53">
        <f t="shared" si="766"/>
        <v>0.88039867109634928</v>
      </c>
      <c r="AK66" s="53">
        <f t="shared" si="766"/>
        <v>0.33554817275747062</v>
      </c>
      <c r="AL66" s="53">
        <f t="shared" si="766"/>
        <v>1.2076411960132905</v>
      </c>
      <c r="AM66" s="53">
        <f t="shared" si="766"/>
        <v>1.1279069767441892</v>
      </c>
      <c r="AN66" s="53">
        <f t="shared" si="766"/>
        <v>0.94518272425248573</v>
      </c>
      <c r="AO66" s="53">
        <f t="shared" si="766"/>
        <v>0.34883720930232837</v>
      </c>
      <c r="AP66" s="53">
        <f t="shared" si="766"/>
        <v>2.0282392026578107</v>
      </c>
      <c r="AQ66" s="53">
        <f t="shared" si="766"/>
        <v>0.83554817275747917</v>
      </c>
      <c r="AR66" s="53">
        <f t="shared" si="766"/>
        <v>1.6760797342192677</v>
      </c>
      <c r="AS66" s="53">
        <f t="shared" si="766"/>
        <v>0.44019933554817298</v>
      </c>
      <c r="AT66" s="53">
        <f t="shared" si="766"/>
        <v>0.46511627906975761</v>
      </c>
      <c r="AU66" s="53">
        <f t="shared" si="766"/>
        <v>0.89534883720930158</v>
      </c>
      <c r="AV66" s="53">
        <f t="shared" si="766"/>
        <v>1.1943521594684423</v>
      </c>
      <c r="AW66" s="53">
        <f t="shared" si="766"/>
        <v>0.68604651162790187</v>
      </c>
      <c r="AX66" s="53">
        <f t="shared" si="766"/>
        <v>3.1345514950166056</v>
      </c>
      <c r="AY66" s="53">
        <f t="shared" si="766"/>
        <v>4.0066445182724255</v>
      </c>
      <c r="AZ66" s="53">
        <f t="shared" si="766"/>
        <v>5.0980066445182795</v>
      </c>
      <c r="BA66" s="53">
        <f t="shared" si="766"/>
        <v>5.7292358803986785</v>
      </c>
      <c r="BB66" s="53">
        <f t="shared" si="766"/>
        <v>6.4368770764119727</v>
      </c>
      <c r="BC66" s="53">
        <f t="shared" si="766"/>
        <v>3.6129568106312249</v>
      </c>
      <c r="BD66" s="53">
        <f t="shared" si="766"/>
        <v>4.3621262458471799</v>
      </c>
      <c r="BE66" s="53">
        <f t="shared" si="766"/>
        <v>4.3322259136212669</v>
      </c>
      <c r="BF66" s="53">
        <f t="shared" si="766"/>
        <v>7.3023255813953414</v>
      </c>
      <c r="BG66" s="53">
        <f t="shared" si="766"/>
        <v>4.3953488372092986</v>
      </c>
      <c r="BH66" s="53">
        <f t="shared" si="766"/>
        <v>8.6295681063122931</v>
      </c>
      <c r="BI66" s="53">
        <f t="shared" si="766"/>
        <v>8.3438538205980084</v>
      </c>
      <c r="BJ66" s="53">
        <f t="shared" si="766"/>
        <v>10.533222591362129</v>
      </c>
      <c r="BK66" s="53">
        <f t="shared" si="766"/>
        <v>6.480066445182727</v>
      </c>
      <c r="BL66" s="53">
        <f t="shared" si="766"/>
        <v>8.2873754152823924</v>
      </c>
      <c r="BM66" s="53">
        <f t="shared" si="766"/>
        <v>7.6179401993355418</v>
      </c>
      <c r="BN66" s="53">
        <f t="shared" si="766"/>
        <v>7.785714285714282</v>
      </c>
      <c r="BO66" s="53">
        <f t="shared" ref="BO66:CT66" si="767">(BO48-BO47)/BO65</f>
        <v>3.2059800664451812</v>
      </c>
      <c r="BP66" s="53">
        <f t="shared" si="767"/>
        <v>3.1245847176079717</v>
      </c>
      <c r="BQ66" s="53">
        <f t="shared" si="767"/>
        <v>0.77242524916943456</v>
      </c>
      <c r="BR66" s="53">
        <f t="shared" si="767"/>
        <v>10.566445182724252</v>
      </c>
      <c r="BS66" s="53">
        <f t="shared" si="767"/>
        <v>3.2990033222591317</v>
      </c>
      <c r="BT66" s="53">
        <f t="shared" si="767"/>
        <v>4.5664451827242534</v>
      </c>
      <c r="BU66" s="53">
        <f t="shared" si="767"/>
        <v>1.0033222591362199</v>
      </c>
      <c r="BV66" s="53">
        <f t="shared" si="767"/>
        <v>9.4069767441860481</v>
      </c>
      <c r="BW66" s="53">
        <f t="shared" si="767"/>
        <v>10.016611295681065</v>
      </c>
      <c r="BX66" s="53">
        <f t="shared" si="767"/>
        <v>17.65614617940199</v>
      </c>
      <c r="BY66" s="53">
        <f t="shared" si="767"/>
        <v>18.533222591362129</v>
      </c>
      <c r="BZ66" s="53">
        <f t="shared" si="767"/>
        <v>19.54651162790697</v>
      </c>
      <c r="CA66" s="53">
        <f t="shared" si="767"/>
        <v>11.918604651162793</v>
      </c>
      <c r="CB66" s="53">
        <f t="shared" si="767"/>
        <v>12.159468438538205</v>
      </c>
      <c r="CC66" s="53">
        <f t="shared" si="767"/>
        <v>11.458471760797339</v>
      </c>
      <c r="CD66" s="53">
        <f t="shared" si="767"/>
        <v>9.4418604651162656</v>
      </c>
      <c r="CE66" s="53">
        <f t="shared" si="767"/>
        <v>6.146179401993356</v>
      </c>
      <c r="CF66" s="53">
        <f t="shared" si="767"/>
        <v>4.7292358803986776</v>
      </c>
      <c r="CG66" s="53">
        <f t="shared" si="767"/>
        <v>2.7624584717607856</v>
      </c>
      <c r="CH66" s="53">
        <f t="shared" si="767"/>
        <v>4.4966777408637881</v>
      </c>
      <c r="CI66" s="53">
        <f t="shared" si="767"/>
        <v>2.5631229235880366</v>
      </c>
      <c r="CJ66" s="53">
        <f t="shared" si="767"/>
        <v>3.7225913621262481</v>
      </c>
      <c r="CK66" s="53">
        <f t="shared" ref="CK66:CL66" si="768">(CK48-CK47)/CK65</f>
        <v>3.0963455149501629</v>
      </c>
      <c r="CL66" s="53">
        <f t="shared" si="768"/>
        <v>4.3272425249169588</v>
      </c>
      <c r="CM66" s="54">
        <f t="shared" si="767"/>
        <v>3.2008000973764097</v>
      </c>
      <c r="CN66" s="54">
        <f t="shared" si="767"/>
        <v>4.101013521869147</v>
      </c>
      <c r="CO66" s="54">
        <f t="shared" si="767"/>
        <v>4.5505632179117308</v>
      </c>
      <c r="CP66" s="54">
        <f t="shared" si="767"/>
        <v>5.8211410197367526</v>
      </c>
      <c r="CQ66" s="54">
        <f t="shared" si="767"/>
        <v>3.5564099401938045</v>
      </c>
      <c r="CR66" s="54">
        <f t="shared" si="767"/>
        <v>4.520182333371829</v>
      </c>
      <c r="CS66" s="54">
        <f t="shared" si="767"/>
        <v>5.114709070133725</v>
      </c>
      <c r="CT66" s="54">
        <f t="shared" si="767"/>
        <v>6.549475717333892</v>
      </c>
      <c r="CU66" s="54">
        <f t="shared" ref="CU66:DB66" si="769">(CU48-CU47)/CU65</f>
        <v>4.0695425930052131</v>
      </c>
      <c r="CV66" s="54">
        <f t="shared" si="769"/>
        <v>5.0769002173412492</v>
      </c>
      <c r="CW66" s="54">
        <f t="shared" si="769"/>
        <v>5.7102244458738074</v>
      </c>
      <c r="CX66" s="54">
        <f t="shared" si="769"/>
        <v>7.1674936267112477</v>
      </c>
      <c r="CY66" s="54">
        <f t="shared" si="769"/>
        <v>4.6516033919798279</v>
      </c>
      <c r="CZ66" s="54">
        <f t="shared" si="769"/>
        <v>5.6810290867596587</v>
      </c>
      <c r="DA66" s="54">
        <f t="shared" si="769"/>
        <v>6.3297759400797124</v>
      </c>
      <c r="DB66" s="54">
        <f t="shared" si="769"/>
        <v>7.8011918144604833</v>
      </c>
      <c r="DE66" s="132"/>
      <c r="DF66" s="53">
        <v>13.709302325581373</v>
      </c>
    </row>
    <row r="67" spans="1:110" s="3" customFormat="1" x14ac:dyDescent="0.2">
      <c r="A67" s="3" t="s">
        <v>31</v>
      </c>
      <c r="B67" s="3">
        <f>'Annual Raw'!C110</f>
        <v>0.24</v>
      </c>
      <c r="C67" s="3">
        <f>'Annual Raw'!D110</f>
        <v>0.24</v>
      </c>
      <c r="D67" s="3">
        <f>'Annual Raw'!E110</f>
        <v>0.36</v>
      </c>
      <c r="E67" s="3">
        <f>'Annual Raw'!F110</f>
        <v>0.36</v>
      </c>
      <c r="F67" s="3">
        <f>'Annual Raw'!G110</f>
        <v>0.36</v>
      </c>
      <c r="G67" s="3">
        <f>'Annual Raw'!H110</f>
        <v>0.5</v>
      </c>
      <c r="H67" s="3">
        <f>'Annual Raw'!I110</f>
        <v>0.7</v>
      </c>
      <c r="I67" s="3">
        <f>'Annual Raw'!J110</f>
        <v>0.8</v>
      </c>
      <c r="J67" s="3">
        <f>'Annual Raw'!K110</f>
        <v>0.7</v>
      </c>
      <c r="K67" s="3">
        <f>'Annual Raw'!L110</f>
        <v>1.2</v>
      </c>
      <c r="L67" s="3">
        <f>'Annual Raw'!M110</f>
        <v>1</v>
      </c>
      <c r="M67" s="3">
        <f>'Annual Raw'!N110</f>
        <v>1</v>
      </c>
      <c r="N67" s="3">
        <f>'Annual Raw'!O110</f>
        <v>0.8</v>
      </c>
      <c r="O67" s="3">
        <f>'Annual Raw'!P110</f>
        <v>0.8</v>
      </c>
      <c r="P67" s="3">
        <f>'Annual Raw'!Q110</f>
        <v>0.8</v>
      </c>
      <c r="Q67" s="3">
        <f>'Annual Raw'!R110</f>
        <v>1</v>
      </c>
      <c r="R67" s="3">
        <f>'Annual Raw'!S110</f>
        <v>2</v>
      </c>
      <c r="S67" s="3">
        <f>'Annual Raw'!T110</f>
        <v>3</v>
      </c>
      <c r="T67" s="3">
        <f>'Annual Raw'!U110</f>
        <v>4</v>
      </c>
      <c r="U67" s="3">
        <f>'Annual Raw'!V110</f>
        <v>4</v>
      </c>
      <c r="V67" s="3">
        <f>'Annual Raw'!W110</f>
        <v>2.5</v>
      </c>
      <c r="W67" s="3">
        <f>'Annual Raw'!X110</f>
        <v>2.5</v>
      </c>
      <c r="X67" s="3">
        <f>'Annual Raw'!Y110</f>
        <v>6</v>
      </c>
      <c r="Y67" s="3">
        <f>'Annual Raw'!Z110</f>
        <v>5</v>
      </c>
      <c r="Z67" s="3">
        <f>'Annual Raw'!AA110</f>
        <v>2.5</v>
      </c>
      <c r="AA67" s="3">
        <f>'Annual Raw'!AB110</f>
        <v>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9.4936708860760541E-2</v>
      </c>
      <c r="C68" s="3">
        <f t="shared" ref="C68:U68" si="770">C67/C66</f>
        <v>0.10031208203299302</v>
      </c>
      <c r="D68" s="3">
        <f t="shared" si="770"/>
        <v>1.8852905442205369E-2</v>
      </c>
      <c r="E68" s="3">
        <f t="shared" ca="1" si="770"/>
        <v>0.11022444651276359</v>
      </c>
      <c r="F68" s="3">
        <f t="shared" ca="1" si="770"/>
        <v>0.32914160743575577</v>
      </c>
      <c r="G68" s="3">
        <f t="shared" ca="1" si="770"/>
        <v>0.16803438843298174</v>
      </c>
      <c r="H68" s="3">
        <f t="shared" ca="1" si="770"/>
        <v>0.10178326010767667</v>
      </c>
      <c r="I68" s="3">
        <f t="shared" ca="1" si="770"/>
        <v>0.10517511350657234</v>
      </c>
      <c r="J68" s="3">
        <f t="shared" ca="1" si="770"/>
        <v>0.28042296353969126</v>
      </c>
      <c r="K68" s="3">
        <f t="shared" ca="1" si="770"/>
        <v>0.1809184164128865</v>
      </c>
      <c r="L68" s="3">
        <f t="shared" ca="1" si="770"/>
        <v>9.2612107571578381E-2</v>
      </c>
      <c r="M68" s="3">
        <f t="shared" ca="1" si="770"/>
        <v>0.1765634073804678</v>
      </c>
      <c r="N68" s="3">
        <f t="shared" ca="1" si="770"/>
        <v>0.23487298034109236</v>
      </c>
      <c r="O68" s="3">
        <f t="shared" ca="1" si="770"/>
        <v>0.17976655729872426</v>
      </c>
      <c r="P68" s="3">
        <f t="shared" ca="1" si="770"/>
        <v>0.24437396930102906</v>
      </c>
      <c r="Q68" s="3">
        <f t="shared" ca="1" si="770"/>
        <v>0.16701391875133517</v>
      </c>
      <c r="R68" s="3">
        <f t="shared" ca="1" si="770"/>
        <v>9.0806244814842757E-2</v>
      </c>
      <c r="S68" s="3">
        <f t="shared" ca="1" si="770"/>
        <v>0.15246939636977636</v>
      </c>
      <c r="T68" s="3">
        <f t="shared" ca="1" si="770"/>
        <v>0.12537748620222838</v>
      </c>
      <c r="U68" s="3">
        <f t="shared" ca="1" si="770"/>
        <v>0.13261372397841176</v>
      </c>
      <c r="V68" s="3">
        <f ca="1">V67/V66</f>
        <v>0.14148726144589641</v>
      </c>
      <c r="W68" s="3">
        <f t="shared" ref="W68" ca="1" si="771">W67/W66</f>
        <v>0.13679331030721684</v>
      </c>
      <c r="X68" s="3">
        <f t="shared" ref="X68:Y68" ca="1" si="772">X67/X66</f>
        <v>9.1248989490703231E-2</v>
      </c>
      <c r="Y68" s="3">
        <f t="shared" ca="1" si="772"/>
        <v>0.1111644569191565</v>
      </c>
      <c r="Z68" s="3">
        <f t="shared" ref="Z68:AA68" ca="1" si="773">Z67/Z66</f>
        <v>0.13785838600348099</v>
      </c>
      <c r="AA68" s="3">
        <f t="shared" ca="1" si="773"/>
        <v>0.13785838600348099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2.527999999999972</v>
      </c>
      <c r="C69" s="3">
        <f t="shared" ref="C69:U69" si="776">+C66</f>
        <v>2.3925333333332977</v>
      </c>
      <c r="D69" s="3">
        <f t="shared" si="776"/>
        <v>19.095200000000002</v>
      </c>
      <c r="E69" s="3">
        <f t="shared" ca="1" si="776"/>
        <v>3.2660631229235824</v>
      </c>
      <c r="F69" s="3">
        <f t="shared" ca="1" si="776"/>
        <v>1.0937541528239252</v>
      </c>
      <c r="G69" s="3">
        <f t="shared" ca="1" si="776"/>
        <v>2.9755813953488355</v>
      </c>
      <c r="H69" s="3">
        <f t="shared" ca="1" si="776"/>
        <v>6.8773588039867146</v>
      </c>
      <c r="I69" s="3">
        <f t="shared" ca="1" si="776"/>
        <v>7.6063621262458483</v>
      </c>
      <c r="J69" s="3">
        <f t="shared" ca="1" si="776"/>
        <v>2.496229235880397</v>
      </c>
      <c r="K69" s="3">
        <f t="shared" ca="1" si="776"/>
        <v>6.6328239202657873</v>
      </c>
      <c r="L69" s="3">
        <f t="shared" ca="1" si="776"/>
        <v>10.797724252491678</v>
      </c>
      <c r="M69" s="3">
        <f t="shared" ca="1" si="776"/>
        <v>5.663687707641194</v>
      </c>
      <c r="N69" s="3">
        <f t="shared" ca="1" si="776"/>
        <v>3.4060963455149529</v>
      </c>
      <c r="O69" s="3">
        <f t="shared" ca="1" si="776"/>
        <v>4.4502159468438425</v>
      </c>
      <c r="P69" s="3">
        <f t="shared" ca="1" si="776"/>
        <v>3.2736710963454945</v>
      </c>
      <c r="Q69" s="3">
        <f t="shared" ca="1" si="776"/>
        <v>5.9875249169435207</v>
      </c>
      <c r="R69" s="3">
        <f t="shared" ca="1" si="776"/>
        <v>22.024916943521593</v>
      </c>
      <c r="S69" s="3">
        <f t="shared" ca="1" si="776"/>
        <v>19.676079734219257</v>
      </c>
      <c r="T69" s="3">
        <f ca="1">+T66</f>
        <v>31.903654485049856</v>
      </c>
      <c r="U69" s="3">
        <f t="shared" ca="1" si="776"/>
        <v>30.16279069767441</v>
      </c>
      <c r="V69" s="3">
        <f ca="1">+V66</f>
        <v>17.669435215946844</v>
      </c>
      <c r="W69" s="3">
        <f t="shared" ref="W69" ca="1" si="777">+W66</f>
        <v>18.275747508305653</v>
      </c>
      <c r="X69" s="3">
        <f t="shared" ref="X69:Y69" ca="1" si="778">+X66</f>
        <v>65.754152823920322</v>
      </c>
      <c r="Y69" s="3">
        <f t="shared" ca="1" si="778"/>
        <v>44.978405315614609</v>
      </c>
      <c r="Z69" s="3">
        <f t="shared" ref="Z69:AA69" ca="1" si="779">+Z66</f>
        <v>18.134551495016588</v>
      </c>
      <c r="AA69" s="3">
        <f t="shared" ca="1" si="779"/>
        <v>18.134551495016588</v>
      </c>
      <c r="AB69" s="37">
        <f t="shared" ref="AA69:AD69" ca="1" si="780">+AB66</f>
        <v>17.673517856894101</v>
      </c>
      <c r="AC69" s="37">
        <f t="shared" ca="1" si="780"/>
        <v>19.740777061033256</v>
      </c>
      <c r="AD69" s="37">
        <f t="shared" ca="1" si="780"/>
        <v>22.024160882931525</v>
      </c>
      <c r="AE69" s="37">
        <f t="shared" ref="AE69" ca="1" si="781">+AE66</f>
        <v>24.463600233279713</v>
      </c>
      <c r="AL69" s="3">
        <f>SUM(AI66:AL66)</f>
        <v>3.4086378737541541</v>
      </c>
      <c r="AM69" s="3">
        <f t="shared" ref="AM69" si="782">SUM(AJ66:AM66)</f>
        <v>3.5514950166112991</v>
      </c>
      <c r="AN69" s="3">
        <f t="shared" ref="AN69" si="783">SUM(AK66:AN66)</f>
        <v>3.6162790697674358</v>
      </c>
      <c r="AO69" s="3">
        <f t="shared" ref="AO69" si="784">SUM(AL66:AO66)</f>
        <v>3.6295681063122935</v>
      </c>
      <c r="AP69" s="3">
        <f t="shared" ref="AP69" si="785">SUM(AM66:AP66)</f>
        <v>4.450166112956814</v>
      </c>
      <c r="AQ69" s="3">
        <f t="shared" ref="AQ69" si="786">SUM(AN66:AQ66)</f>
        <v>4.1578073089701046</v>
      </c>
      <c r="AR69" s="3">
        <f t="shared" ref="AR69" si="787">SUM(AO66:AR66)</f>
        <v>4.8887043189368864</v>
      </c>
      <c r="AS69" s="3">
        <f t="shared" ref="AS69" si="788">SUM(AP66:AS66)</f>
        <v>4.9800664451827306</v>
      </c>
      <c r="AT69" s="3">
        <f t="shared" ref="AT69" si="789">SUM(AQ66:AT66)</f>
        <v>3.4169435215946775</v>
      </c>
      <c r="AU69" s="3">
        <f t="shared" ref="AU69" si="790">SUM(AR66:AU66)</f>
        <v>3.4767441860465</v>
      </c>
      <c r="AV69" s="3">
        <f t="shared" ref="AV69" si="791">SUM(AS66:AV66)</f>
        <v>2.9950166112956746</v>
      </c>
      <c r="AW69" s="3">
        <f t="shared" ref="AW69" si="792">SUM(AT66:AW66)</f>
        <v>3.2408637873754036</v>
      </c>
      <c r="AX69" s="3">
        <f t="shared" ref="AX69" si="793">SUM(AU66:AX66)</f>
        <v>5.9102990033222511</v>
      </c>
      <c r="AY69" s="3">
        <f t="shared" ref="AY69" si="794">SUM(AV66:AY66)</f>
        <v>9.0215946843853754</v>
      </c>
      <c r="AZ69" s="3">
        <f t="shared" ref="AZ69" si="795">SUM(AW66:AZ66)</f>
        <v>12.925249169435212</v>
      </c>
      <c r="BA69" s="3">
        <f t="shared" ref="BA69" si="796">SUM(AX66:BA66)</f>
        <v>17.968438538205991</v>
      </c>
      <c r="BB69" s="3">
        <f t="shared" ref="BB69" si="797">SUM(AY66:BB66)</f>
        <v>21.27076411960136</v>
      </c>
      <c r="BC69" s="3">
        <f t="shared" ref="BC69" si="798">SUM(AZ66:BC66)</f>
        <v>20.877076411960154</v>
      </c>
      <c r="BD69" s="3">
        <f t="shared" ref="BD69" si="799">SUM(BA66:BD66)</f>
        <v>20.141196013289054</v>
      </c>
      <c r="BE69" s="3">
        <f t="shared" ref="BE69" si="800">SUM(BB66:BE66)</f>
        <v>18.744186046511643</v>
      </c>
      <c r="BF69" s="3">
        <f t="shared" ref="BF69" si="801">SUM(BC66:BF66)</f>
        <v>19.609634551495013</v>
      </c>
      <c r="BG69" s="3">
        <f t="shared" ref="BG69" si="802">SUM(BD66:BG66)</f>
        <v>20.392026578073086</v>
      </c>
      <c r="BH69" s="3">
        <f t="shared" ref="BH69" si="803">SUM(BE66:BH66)</f>
        <v>24.659468438538198</v>
      </c>
      <c r="BI69" s="3">
        <f t="shared" ref="BI69" si="804">SUM(BF66:BI66)</f>
        <v>28.67109634551494</v>
      </c>
      <c r="BJ69" s="3">
        <f t="shared" ref="BJ69" si="805">SUM(BG66:BJ66)</f>
        <v>31.901993355481732</v>
      </c>
      <c r="BK69" s="3">
        <f t="shared" ref="BK69" si="806">SUM(BH66:BK66)</f>
        <v>33.98671096345516</v>
      </c>
      <c r="BL69" s="3">
        <f t="shared" ref="BL69" si="807">SUM(BI66:BL66)</f>
        <v>33.644518272425259</v>
      </c>
      <c r="BM69" s="3">
        <f t="shared" ref="BM69" si="808">SUM(BJ66:BM66)</f>
        <v>32.918604651162788</v>
      </c>
      <c r="BN69" s="3">
        <f t="shared" ref="BN69" si="809">SUM(BK66:BN66)</f>
        <v>30.171096345514943</v>
      </c>
      <c r="BO69" s="3">
        <f t="shared" ref="BO69" si="810">SUM(BL66:BO66)</f>
        <v>26.897009966777397</v>
      </c>
      <c r="BP69" s="3">
        <f t="shared" ref="BP69" si="811">SUM(BM66:BP66)</f>
        <v>21.734219269102979</v>
      </c>
      <c r="BQ69" s="3">
        <f t="shared" ref="BQ69" si="812">SUM(BN66:BQ66)</f>
        <v>14.88870431893687</v>
      </c>
      <c r="BR69" s="3">
        <f t="shared" ref="BR69" si="813">SUM(BO66:BR66)</f>
        <v>17.669435215946841</v>
      </c>
      <c r="BS69" s="3">
        <f t="shared" ref="BS69" si="814">SUM(BP66:BS66)</f>
        <v>17.762458471760791</v>
      </c>
      <c r="BT69" s="3">
        <f t="shared" ref="BT69" si="815">SUM(BQ66:BT66)</f>
        <v>19.204318936877073</v>
      </c>
      <c r="BU69" s="3">
        <f t="shared" ref="BU69" si="816">SUM(BR66:BU66)</f>
        <v>19.435215946843854</v>
      </c>
      <c r="BV69" s="3">
        <f t="shared" ref="BV69" si="817">SUM(BS66:BV66)</f>
        <v>18.275747508305656</v>
      </c>
      <c r="BW69" s="3">
        <f t="shared" ref="BW69" si="818">SUM(BT66:BW66)</f>
        <v>24.993355481727583</v>
      </c>
      <c r="BX69" s="3">
        <f t="shared" ref="BX69" si="819">SUM(BU66:BX66)</f>
        <v>38.083056478405325</v>
      </c>
      <c r="BY69" s="3">
        <f t="shared" ref="BY69" si="820">SUM(BV66:BY66)</f>
        <v>55.612956810631232</v>
      </c>
      <c r="BZ69" s="3">
        <f t="shared" ref="BZ69" si="821">SUM(BW66:BZ66)</f>
        <v>65.752491694352145</v>
      </c>
      <c r="CA69" s="3">
        <f t="shared" ref="CA69" si="822">SUM(BX66:CA66)</f>
        <v>67.65448504983388</v>
      </c>
      <c r="CB69" s="3">
        <f t="shared" ref="CB69" si="823">SUM(BY66:CB66)</f>
        <v>62.157807308970099</v>
      </c>
      <c r="CC69" s="3">
        <f t="shared" ref="CC69" si="824">SUM(BZ66:CC66)</f>
        <v>55.083056478405304</v>
      </c>
      <c r="CD69" s="3">
        <f t="shared" ref="CD69" si="825">SUM(CA66:CD66)</f>
        <v>44.978405315614602</v>
      </c>
      <c r="CE69" s="3">
        <f t="shared" ref="CE69" si="826">SUM(CB66:CE66)</f>
        <v>39.205980066445164</v>
      </c>
      <c r="CF69" s="3">
        <f t="shared" ref="CF69" si="827">SUM(CC66:CF66)</f>
        <v>31.775747508305635</v>
      </c>
      <c r="CG69" s="3">
        <f t="shared" ref="CG69" si="828">SUM(CD66:CG66)</f>
        <v>23.079734219269085</v>
      </c>
      <c r="CH69" s="3">
        <f t="shared" ref="CH69:CL69" si="829">SUM(CE66:CH66)</f>
        <v>18.134551495016609</v>
      </c>
      <c r="CI69" s="3">
        <f t="shared" si="829"/>
        <v>14.551495016611288</v>
      </c>
      <c r="CJ69" s="3">
        <f t="shared" si="829"/>
        <v>13.544850498338858</v>
      </c>
      <c r="CK69" s="3">
        <f t="shared" si="829"/>
        <v>13.878737541528235</v>
      </c>
      <c r="CL69" s="3">
        <f t="shared" si="829"/>
        <v>13.709302325581405</v>
      </c>
      <c r="CM69" s="37">
        <f t="shared" ref="CM69" si="830">SUM(CJ66:CM66)</f>
        <v>14.346979499369779</v>
      </c>
      <c r="CN69" s="37">
        <f t="shared" ref="CN69" si="831">SUM(CK66:CN66)</f>
        <v>14.725401659112679</v>
      </c>
      <c r="CO69" s="37">
        <f t="shared" ref="CO69" si="832">SUM(CL66:CO66)</f>
        <v>16.179619362074245</v>
      </c>
      <c r="CP69" s="37">
        <f t="shared" ref="CP69" si="833">SUM(CM66:CP66)</f>
        <v>17.673517856894041</v>
      </c>
      <c r="CQ69" s="37">
        <f t="shared" ref="CQ69" si="834">SUM(CN66:CQ66)</f>
        <v>18.029127699711438</v>
      </c>
      <c r="CR69" s="37">
        <f t="shared" ref="CR69" si="835">SUM(CO66:CR66)</f>
        <v>18.448296511214117</v>
      </c>
      <c r="CS69" s="37">
        <f t="shared" ref="CS69" si="836">SUM(CP66:CS66)</f>
        <v>19.012442363436111</v>
      </c>
      <c r="CT69" s="37">
        <f t="shared" ref="CT69" si="837">SUM(CQ66:CT66)</f>
        <v>19.740777061033249</v>
      </c>
      <c r="CU69" s="37">
        <f t="shared" ref="CU69" si="838">SUM(CR66:CU66)</f>
        <v>20.25390971384466</v>
      </c>
      <c r="CV69" s="37">
        <f t="shared" ref="CV69" si="839">SUM(CS66:CV66)</f>
        <v>20.810627597814079</v>
      </c>
      <c r="CW69" s="37">
        <f t="shared" ref="CW69" si="840">SUM(CT66:CW66)</f>
        <v>21.406142973554161</v>
      </c>
      <c r="CX69" s="37">
        <f t="shared" ref="CX69" si="841">SUM(CU66:CX66)</f>
        <v>22.024160882931518</v>
      </c>
      <c r="CY69" s="37">
        <f t="shared" ref="CY69" si="842">SUM(CV66:CY66)</f>
        <v>22.606221681906135</v>
      </c>
      <c r="CZ69" s="37">
        <f t="shared" ref="CZ69" si="843">SUM(CW66:CZ66)</f>
        <v>23.210350551324538</v>
      </c>
      <c r="DA69" s="37">
        <f t="shared" ref="DA69" si="844">SUM(CX66:DA66)</f>
        <v>23.829902045530446</v>
      </c>
      <c r="DB69" s="37">
        <f t="shared" ref="DB69" si="845">SUM(CY66:DB66)</f>
        <v>24.463600233279685</v>
      </c>
      <c r="DE69" s="134"/>
      <c r="DF69" s="3">
        <v>13.709302325581373</v>
      </c>
    </row>
    <row r="70" spans="1:110" s="97" customFormat="1" x14ac:dyDescent="0.2">
      <c r="A70" s="97" t="s">
        <v>425</v>
      </c>
      <c r="C70" s="101">
        <f t="shared" ref="C70:AA70" si="846">+C69/B69-1</f>
        <v>-5.3586497890299012E-2</v>
      </c>
      <c r="D70" s="101">
        <f t="shared" si="846"/>
        <v>6.9811636201517029</v>
      </c>
      <c r="E70" s="101">
        <f t="shared" ca="1" si="846"/>
        <v>-0.82895894659791036</v>
      </c>
      <c r="F70" s="101">
        <f t="shared" ca="1" si="846"/>
        <v>-0.66511542745540608</v>
      </c>
      <c r="G70" s="101">
        <f t="shared" ca="1" si="846"/>
        <v>1.720521232002902</v>
      </c>
      <c r="H70" s="101">
        <f t="shared" ca="1" si="846"/>
        <v>1.3112655613241806</v>
      </c>
      <c r="I70" s="101">
        <f t="shared" ca="1" si="846"/>
        <v>0.10600047824123116</v>
      </c>
      <c r="J70" s="101">
        <f t="shared" ca="1" si="846"/>
        <v>-0.67182350847231864</v>
      </c>
      <c r="K70" s="101">
        <f t="shared" ca="1" si="846"/>
        <v>1.6571373433684071</v>
      </c>
      <c r="L70" s="101">
        <f t="shared" ca="1" si="846"/>
        <v>0.62792264385317753</v>
      </c>
      <c r="M70" s="101">
        <f t="shared" ca="1" si="846"/>
        <v>-0.47547394476810756</v>
      </c>
      <c r="N70" s="101">
        <f t="shared" ca="1" si="846"/>
        <v>-0.39860802336972079</v>
      </c>
      <c r="O70" s="101">
        <f t="shared" ca="1" si="846"/>
        <v>0.30654435324583673</v>
      </c>
      <c r="P70" s="101">
        <f t="shared" ca="1" si="846"/>
        <v>-0.26437927160203778</v>
      </c>
      <c r="Q70" s="101">
        <f t="shared" ca="1" si="846"/>
        <v>0.82899403780287817</v>
      </c>
      <c r="R70" s="101">
        <f t="shared" ca="1" si="846"/>
        <v>2.6784676889102204</v>
      </c>
      <c r="S70" s="101">
        <f t="shared" ca="1" si="846"/>
        <v>-0.10664454332905993</v>
      </c>
      <c r="T70" s="101">
        <f t="shared" ca="1" si="846"/>
        <v>0.62144364710848676</v>
      </c>
      <c r="U70" s="101">
        <f t="shared" ca="1" si="846"/>
        <v>-5.4566281370405978E-2</v>
      </c>
      <c r="V70" s="101">
        <f t="shared" ca="1" si="846"/>
        <v>-0.41419759885449925</v>
      </c>
      <c r="W70" s="101">
        <f t="shared" ca="1" si="846"/>
        <v>3.4314186330732577E-2</v>
      </c>
      <c r="X70" s="101">
        <f t="shared" ca="1" si="846"/>
        <v>2.5978912924922763</v>
      </c>
      <c r="Y70" s="101">
        <f t="shared" ca="1" si="846"/>
        <v>-0.31596099434114866</v>
      </c>
      <c r="Z70" s="101">
        <f t="shared" ca="1" si="846"/>
        <v>-0.59681648631680062</v>
      </c>
      <c r="AA70" s="101">
        <f t="shared" ca="1" si="846"/>
        <v>-0.59681648631680062</v>
      </c>
      <c r="AB70" s="174">
        <f t="shared" ref="AB70" ca="1" si="847">+AB69/AA69-1</f>
        <v>0.28916245605843538</v>
      </c>
      <c r="AC70" s="174">
        <f t="shared" ref="AC70" ca="1" si="848">+AC69/AB69-1</f>
        <v>0.11696931085696427</v>
      </c>
      <c r="AD70" s="174">
        <f t="shared" ref="AD70" ca="1" si="849">+AD69/AC69-1</f>
        <v>0.11566838604370289</v>
      </c>
      <c r="AE70" s="174">
        <f t="shared" ref="AE70" ca="1" si="850">+AE69/AD69-1</f>
        <v>0.11076196561198959</v>
      </c>
      <c r="AL70" s="176"/>
      <c r="AM70" s="176"/>
      <c r="AN70" s="176"/>
      <c r="AO70" s="176"/>
      <c r="AP70" s="176">
        <f t="shared" ref="AP70:CL70" si="851">+IF(AL69&lt;0,1-AP69/AL69,AP69/AL69-1)</f>
        <v>0.30555555555555602</v>
      </c>
      <c r="AQ70" s="176">
        <f t="shared" si="851"/>
        <v>0.17072029934518262</v>
      </c>
      <c r="AR70" s="176">
        <f t="shared" si="851"/>
        <v>0.35186035829123119</v>
      </c>
      <c r="AS70" s="176">
        <f t="shared" si="851"/>
        <v>0.37208237986270154</v>
      </c>
      <c r="AT70" s="176">
        <f t="shared" si="851"/>
        <v>-0.23217618514371241</v>
      </c>
      <c r="AU70" s="176">
        <f t="shared" si="851"/>
        <v>-0.16380343587695145</v>
      </c>
      <c r="AV70" s="176">
        <f t="shared" si="851"/>
        <v>-0.38735983690112374</v>
      </c>
      <c r="AW70" s="176">
        <f t="shared" si="851"/>
        <v>-0.34923282188125737</v>
      </c>
      <c r="AX70" s="176">
        <f t="shared" si="851"/>
        <v>0.72970345162858652</v>
      </c>
      <c r="AY70" s="176">
        <f t="shared" si="851"/>
        <v>1.5948399426660362</v>
      </c>
      <c r="AZ70" s="176">
        <f t="shared" si="851"/>
        <v>3.3155851358846444</v>
      </c>
      <c r="BA70" s="176">
        <f t="shared" si="851"/>
        <v>4.5443362378267791</v>
      </c>
      <c r="BB70" s="176">
        <f t="shared" si="851"/>
        <v>2.5989319842608309</v>
      </c>
      <c r="BC70" s="176">
        <f t="shared" si="851"/>
        <v>1.3141226293500314</v>
      </c>
      <c r="BD70" s="176">
        <f t="shared" si="851"/>
        <v>0.55828299704408368</v>
      </c>
      <c r="BE70" s="176">
        <f t="shared" si="851"/>
        <v>4.3172783581399976E-2</v>
      </c>
      <c r="BF70" s="176">
        <f t="shared" si="851"/>
        <v>-7.8094494338150633E-2</v>
      </c>
      <c r="BG70" s="176">
        <f t="shared" si="851"/>
        <v>-2.323360916613737E-2</v>
      </c>
      <c r="BH70" s="176">
        <f t="shared" si="851"/>
        <v>0.22432989690721494</v>
      </c>
      <c r="BI70" s="176">
        <f t="shared" si="851"/>
        <v>0.52959943282523736</v>
      </c>
      <c r="BJ70" s="176">
        <f t="shared" si="851"/>
        <v>0.62685302837780665</v>
      </c>
      <c r="BK70" s="176">
        <f t="shared" si="851"/>
        <v>0.66666666666666741</v>
      </c>
      <c r="BL70" s="176">
        <f t="shared" si="851"/>
        <v>0.36436510609632955</v>
      </c>
      <c r="BM70" s="176">
        <f t="shared" si="851"/>
        <v>0.14814600231749742</v>
      </c>
      <c r="BN70" s="176">
        <f t="shared" si="851"/>
        <v>-5.4256703983338039E-2</v>
      </c>
      <c r="BO70" s="176">
        <f t="shared" si="851"/>
        <v>-0.20860215053763498</v>
      </c>
      <c r="BP70" s="176">
        <f t="shared" si="851"/>
        <v>-0.35400414732892316</v>
      </c>
      <c r="BQ70" s="176">
        <f t="shared" si="851"/>
        <v>-0.54771156078114769</v>
      </c>
      <c r="BR70" s="176">
        <f t="shared" si="851"/>
        <v>-0.4143588614215713</v>
      </c>
      <c r="BS70" s="176">
        <f t="shared" si="851"/>
        <v>-0.33961215415019752</v>
      </c>
      <c r="BT70" s="176">
        <f t="shared" si="851"/>
        <v>-0.1164017120146742</v>
      </c>
      <c r="BU70" s="176">
        <f t="shared" si="851"/>
        <v>0.30536650674997268</v>
      </c>
      <c r="BV70" s="176">
        <f t="shared" si="851"/>
        <v>3.4314186330733021E-2</v>
      </c>
      <c r="BW70" s="176">
        <f t="shared" si="851"/>
        <v>0.4070887496493043</v>
      </c>
      <c r="BX70" s="176">
        <f t="shared" si="851"/>
        <v>0.98304644926909535</v>
      </c>
      <c r="BY70" s="176">
        <f t="shared" si="851"/>
        <v>1.8614529914529916</v>
      </c>
      <c r="BZ70" s="176">
        <f t="shared" si="851"/>
        <v>2.5978003999272836</v>
      </c>
      <c r="CA70" s="176">
        <f t="shared" si="851"/>
        <v>1.7068988435464565</v>
      </c>
      <c r="CB70" s="176">
        <f t="shared" si="851"/>
        <v>0.63216435488092082</v>
      </c>
      <c r="CC70" s="176">
        <f t="shared" si="851"/>
        <v>-9.5283610621585968E-3</v>
      </c>
      <c r="CD70" s="176">
        <f t="shared" si="851"/>
        <v>-0.31594371321021664</v>
      </c>
      <c r="CE70" s="176">
        <f t="shared" si="851"/>
        <v>-0.42049695541151078</v>
      </c>
      <c r="CF70" s="176">
        <f t="shared" si="851"/>
        <v>-0.48878911782784162</v>
      </c>
      <c r="CG70" s="176">
        <f t="shared" si="851"/>
        <v>-0.58100120627261786</v>
      </c>
      <c r="CH70" s="176">
        <f t="shared" si="851"/>
        <v>-0.59681648631680018</v>
      </c>
      <c r="CI70" s="176">
        <f t="shared" si="851"/>
        <v>-0.62884501313448016</v>
      </c>
      <c r="CJ70" s="176">
        <f t="shared" si="851"/>
        <v>-0.57373621203408454</v>
      </c>
      <c r="CK70" s="176">
        <f t="shared" si="851"/>
        <v>-0.39866129264430661</v>
      </c>
      <c r="CL70" s="176">
        <f t="shared" si="851"/>
        <v>-0.24402308326463251</v>
      </c>
      <c r="CM70" s="102">
        <f t="shared" ref="CM70:DB70" si="852">+IF(CI69&lt;0,1-CM69/CI69,CM69/CI69-1)</f>
        <v>-1.4054605180295443E-2</v>
      </c>
      <c r="CN70" s="102">
        <f t="shared" si="852"/>
        <v>8.7158670442217367E-2</v>
      </c>
      <c r="CO70" s="102">
        <f t="shared" si="852"/>
        <v>0.16578466259350066</v>
      </c>
      <c r="CP70" s="102">
        <f t="shared" si="852"/>
        <v>0.28916245605842783</v>
      </c>
      <c r="CQ70" s="102">
        <f t="shared" si="852"/>
        <v>0.25664971505001488</v>
      </c>
      <c r="CR70" s="102">
        <f t="shared" si="852"/>
        <v>0.25282127702082469</v>
      </c>
      <c r="CS70" s="102">
        <f t="shared" si="852"/>
        <v>0.17508588663106206</v>
      </c>
      <c r="CT70" s="102">
        <f t="shared" si="852"/>
        <v>0.1169693108569676</v>
      </c>
      <c r="CU70" s="102">
        <f t="shared" si="852"/>
        <v>0.12339931532953918</v>
      </c>
      <c r="CV70" s="102">
        <f t="shared" si="852"/>
        <v>0.12805144828217485</v>
      </c>
      <c r="CW70" s="102">
        <f t="shared" si="852"/>
        <v>0.12590179443339222</v>
      </c>
      <c r="CX70" s="102">
        <f t="shared" si="852"/>
        <v>0.11566838604370289</v>
      </c>
      <c r="CY70" s="102">
        <f t="shared" si="852"/>
        <v>0.11614113034450524</v>
      </c>
      <c r="CZ70" s="102">
        <f t="shared" si="852"/>
        <v>0.11531237788150706</v>
      </c>
      <c r="DA70" s="102">
        <f t="shared" si="852"/>
        <v>0.11322726728353993</v>
      </c>
      <c r="DB70" s="102">
        <f t="shared" si="852"/>
        <v>0.1107619656119887</v>
      </c>
      <c r="DE70" s="135"/>
      <c r="DF70" s="97">
        <v>-0.2440230832646334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33.69</v>
      </c>
      <c r="C73" s="3">
        <f>'Annual Raw'!D112</f>
        <v>36.08</v>
      </c>
      <c r="D73" s="3">
        <f>'Annual Raw'!E112</f>
        <v>36.659999999999997</v>
      </c>
      <c r="E73" s="3">
        <f>'Annual Raw'!F112</f>
        <v>35.72</v>
      </c>
      <c r="F73" s="3">
        <f>'Annual Raw'!G112</f>
        <v>43.31</v>
      </c>
      <c r="G73" s="3">
        <f>'Annual Raw'!H112</f>
        <v>43.21</v>
      </c>
      <c r="H73" s="3">
        <f>'Annual Raw'!I112</f>
        <v>43.15</v>
      </c>
      <c r="I73" s="3">
        <f>'Annual Raw'!J112</f>
        <v>43.04</v>
      </c>
      <c r="J73" s="3">
        <f>'Annual Raw'!K112</f>
        <v>42.75</v>
      </c>
      <c r="K73" s="3">
        <f>'Annual Raw'!L112</f>
        <v>42.76</v>
      </c>
      <c r="L73" s="3">
        <f>'Annual Raw'!M112</f>
        <v>42.75</v>
      </c>
      <c r="M73" s="3">
        <f>'Annual Raw'!N112</f>
        <v>42.11</v>
      </c>
      <c r="N73" s="3">
        <f>'Annual Raw'!O112</f>
        <v>42.4</v>
      </c>
      <c r="O73" s="3">
        <f>'Annual Raw'!P112</f>
        <v>43.26</v>
      </c>
      <c r="P73" s="3">
        <f>'Annual Raw'!Q112</f>
        <v>43.42</v>
      </c>
      <c r="Q73" s="3">
        <f>'Annual Raw'!R112</f>
        <v>43.45</v>
      </c>
      <c r="R73" s="3">
        <f>'Annual Raw'!S112</f>
        <v>42.65</v>
      </c>
      <c r="S73" s="3">
        <f>'Annual Raw'!T112</f>
        <v>42.65</v>
      </c>
      <c r="T73" s="3">
        <f>'Annual Raw'!U112</f>
        <v>42.65</v>
      </c>
      <c r="U73" s="3">
        <f>'Annual Raw'!V112</f>
        <v>42.65</v>
      </c>
      <c r="V73" s="3">
        <f>'Annual Raw'!W112</f>
        <v>42.65</v>
      </c>
      <c r="W73" s="3">
        <f>'Annual Raw'!X112</f>
        <v>42.8</v>
      </c>
      <c r="X73" s="3">
        <f>'Annual Raw'!Y112</f>
        <v>42.78</v>
      </c>
      <c r="Y73" s="3">
        <f>'Annual Raw'!Z112</f>
        <v>42.78</v>
      </c>
      <c r="Z73" s="3">
        <f>'Annual Raw'!AA112</f>
        <v>42.9</v>
      </c>
      <c r="AA73" s="3">
        <f>'Annual Raw'!AB112</f>
        <v>43.11</v>
      </c>
      <c r="AB73" s="37"/>
      <c r="AC73" s="37"/>
      <c r="AD73" s="37"/>
      <c r="AE73" s="37"/>
      <c r="AI73" s="3">
        <f>'QTR Raw'!C49</f>
        <v>42.11</v>
      </c>
      <c r="AJ73" s="3">
        <f>'QTR Raw'!D49</f>
        <v>42.11</v>
      </c>
      <c r="AK73" s="3">
        <f>'QTR Raw'!E49</f>
        <v>42.39</v>
      </c>
      <c r="AL73" s="3">
        <f>'QTR Raw'!F49</f>
        <v>42.4</v>
      </c>
      <c r="AM73" s="3">
        <f>'QTR Raw'!G49</f>
        <v>44.18</v>
      </c>
      <c r="AN73" s="3">
        <f>'QTR Raw'!H49</f>
        <v>44.18</v>
      </c>
      <c r="AO73" s="3">
        <f>'QTR Raw'!I49</f>
        <v>44.15</v>
      </c>
      <c r="AP73" s="3">
        <f>'QTR Raw'!J49</f>
        <v>43.26</v>
      </c>
      <c r="AQ73" s="3">
        <f>'QTR Raw'!K49</f>
        <v>43.37</v>
      </c>
      <c r="AR73" s="3">
        <f>'QTR Raw'!L49</f>
        <v>43.42</v>
      </c>
      <c r="AS73" s="3">
        <f>'QTR Raw'!M49</f>
        <v>43.42</v>
      </c>
      <c r="AT73" s="3">
        <f>'QTR Raw'!N49</f>
        <v>43.42</v>
      </c>
      <c r="AU73" s="3">
        <f>'QTR Raw'!O49</f>
        <v>43.42</v>
      </c>
      <c r="AV73" s="3">
        <f>'QTR Raw'!P49</f>
        <v>43.45</v>
      </c>
      <c r="AW73" s="3">
        <f>'QTR Raw'!Q49</f>
        <v>43.45</v>
      </c>
      <c r="AX73" s="3">
        <f>'QTR Raw'!R49</f>
        <v>43.45</v>
      </c>
      <c r="AY73" s="3">
        <f>'QTR Raw'!S49</f>
        <v>43.45</v>
      </c>
      <c r="AZ73" s="3">
        <f>'QTR Raw'!T49</f>
        <v>43.02</v>
      </c>
      <c r="BA73" s="3">
        <f>'QTR Raw'!U49</f>
        <v>42.65</v>
      </c>
      <c r="BB73" s="3">
        <f>'QTR Raw'!V49</f>
        <v>42.65</v>
      </c>
      <c r="BC73" s="3">
        <f>'QTR Raw'!W49</f>
        <v>42.65</v>
      </c>
      <c r="BD73" s="3">
        <f>'QTR Raw'!X49</f>
        <v>42.65</v>
      </c>
      <c r="BE73" s="3">
        <f>'QTR Raw'!Y49</f>
        <v>42.65</v>
      </c>
      <c r="BF73" s="3">
        <f>'QTR Raw'!Z49</f>
        <v>42.65</v>
      </c>
      <c r="BG73" s="3">
        <f>'QTR Raw'!AA49</f>
        <v>42.65</v>
      </c>
      <c r="BH73" s="3">
        <f>'QTR Raw'!AB49</f>
        <v>42.65</v>
      </c>
      <c r="BI73" s="3">
        <f>'QTR Raw'!AC49</f>
        <v>42.65</v>
      </c>
      <c r="BJ73" s="3">
        <f>'QTR Raw'!AD49</f>
        <v>42.65</v>
      </c>
      <c r="BK73" s="3">
        <f>'QTR Raw'!AE49</f>
        <v>42.65</v>
      </c>
      <c r="BL73" s="3">
        <f>'QTR Raw'!AF49</f>
        <v>42.65</v>
      </c>
      <c r="BM73" s="3">
        <f>'QTR Raw'!AG49</f>
        <v>42.65</v>
      </c>
      <c r="BN73" s="3">
        <f>'QTR Raw'!AH49</f>
        <v>42.65</v>
      </c>
      <c r="BO73" s="3">
        <f>'QTR Raw'!AI49</f>
        <v>42.65</v>
      </c>
      <c r="BP73" s="3">
        <f>'QTR Raw'!AJ49</f>
        <v>42.65</v>
      </c>
      <c r="BQ73" s="3">
        <f>'QTR Raw'!AK49</f>
        <v>42.65</v>
      </c>
      <c r="BR73" s="3">
        <f>'QTR Raw'!AL49</f>
        <v>42.65</v>
      </c>
      <c r="BS73" s="3">
        <f>'QTR Raw'!AM49</f>
        <v>42.65</v>
      </c>
      <c r="BT73" s="3">
        <f>'QTR Raw'!AN49</f>
        <v>42.65</v>
      </c>
      <c r="BU73" s="3">
        <f>'QTR Raw'!AO49</f>
        <v>42.65</v>
      </c>
      <c r="BV73" s="3">
        <f>'QTR Raw'!AP49</f>
        <v>42.8</v>
      </c>
      <c r="BW73" s="3">
        <f>'QTR Raw'!AQ49</f>
        <v>42.78</v>
      </c>
      <c r="BX73" s="3">
        <f>'QTR Raw'!AR49</f>
        <v>42.78</v>
      </c>
      <c r="BY73" s="3">
        <f>'QTR Raw'!AS49</f>
        <v>42.78</v>
      </c>
      <c r="BZ73" s="3">
        <f>'QTR Raw'!AT49</f>
        <v>42.78</v>
      </c>
      <c r="CA73" s="3">
        <f>'QTR Raw'!AU49</f>
        <v>42.78</v>
      </c>
      <c r="CB73" s="3">
        <f>'QTR Raw'!AV49</f>
        <v>42.78</v>
      </c>
      <c r="CC73" s="3">
        <f>'QTR Raw'!AW49</f>
        <v>42.78</v>
      </c>
      <c r="CD73" s="3">
        <f>'QTR Raw'!AX49</f>
        <v>42.78</v>
      </c>
      <c r="CE73" s="3">
        <f>'QTR Raw'!AY49</f>
        <v>42.78</v>
      </c>
      <c r="CF73" s="3">
        <f>'QTR Raw'!AZ49</f>
        <v>42.78</v>
      </c>
      <c r="CG73" s="3">
        <f>'QTR Raw'!BA49</f>
        <v>42.81</v>
      </c>
      <c r="CH73" s="3">
        <f>'QTR Raw'!BB49</f>
        <v>42.9</v>
      </c>
      <c r="CI73" s="3">
        <f>'QTR Raw'!BC49</f>
        <v>42.9</v>
      </c>
      <c r="CJ73" s="3">
        <f>'QTR Raw'!BD49</f>
        <v>42.9</v>
      </c>
      <c r="CK73" s="3">
        <f>'QTR Raw'!BE49</f>
        <v>43.03</v>
      </c>
      <c r="CL73" s="3">
        <f>'QTR Raw'!BF49</f>
        <v>43.11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4.05</v>
      </c>
      <c r="C77" s="13">
        <f>'Annual Raw'!D106</f>
        <v>3.75</v>
      </c>
      <c r="D77" s="13">
        <f>'Annual Raw'!E106</f>
        <v>6</v>
      </c>
      <c r="E77" s="13">
        <f>'Annual Raw'!F106</f>
        <v>12.62</v>
      </c>
      <c r="F77" s="13">
        <f>'Annual Raw'!G106</f>
        <v>14.21</v>
      </c>
      <c r="G77" s="13">
        <f>'Annual Raw'!H106</f>
        <v>25.09</v>
      </c>
      <c r="H77" s="13">
        <f>'Annual Raw'!I106</f>
        <v>23.68</v>
      </c>
      <c r="I77" s="13">
        <f>'Annual Raw'!J106</f>
        <v>35.6</v>
      </c>
      <c r="J77" s="13">
        <f>'Annual Raw'!K106</f>
        <v>15.2</v>
      </c>
      <c r="K77" s="13">
        <f>'Annual Raw'!L106</f>
        <v>36.729999999999997</v>
      </c>
      <c r="L77" s="13">
        <f>'Annual Raw'!M106</f>
        <v>49.21</v>
      </c>
      <c r="M77" s="13">
        <f>'Annual Raw'!N106</f>
        <v>37.659999999999997</v>
      </c>
      <c r="N77" s="13">
        <f>'Annual Raw'!O106</f>
        <v>43.73</v>
      </c>
      <c r="O77" s="13">
        <f>'Annual Raw'!P106</f>
        <v>36.4</v>
      </c>
      <c r="P77" s="13">
        <f>'Annual Raw'!Q106</f>
        <v>37.08</v>
      </c>
      <c r="Q77" s="13">
        <f>'Annual Raw'!R106</f>
        <v>46.7</v>
      </c>
      <c r="R77" s="13">
        <f>'Annual Raw'!S106</f>
        <v>156.56</v>
      </c>
      <c r="S77" s="13">
        <f>'Annual Raw'!T106</f>
        <v>173.96</v>
      </c>
      <c r="T77" s="13">
        <f>'Annual Raw'!U106</f>
        <v>186.4</v>
      </c>
      <c r="U77" s="13">
        <f>'Annual Raw'!V106</f>
        <v>103.95</v>
      </c>
      <c r="V77" s="13">
        <f>'Annual Raw'!W106</f>
        <v>161.25</v>
      </c>
      <c r="W77" s="13">
        <f>'Annual Raw'!X106</f>
        <v>174.9</v>
      </c>
      <c r="X77" s="13">
        <f>'Annual Raw'!Y106</f>
        <v>236.2</v>
      </c>
      <c r="Y77" s="13">
        <f>'Annual Raw'!Z106</f>
        <v>294.5</v>
      </c>
      <c r="Z77" s="13">
        <f>'Annual Raw'!AA106</f>
        <v>260.25</v>
      </c>
      <c r="AA77" s="13">
        <f>'Annual Raw'!AB106</f>
        <v>245.5</v>
      </c>
      <c r="AB77" s="37">
        <f>+CP77</f>
        <v>245.5</v>
      </c>
      <c r="AC77" s="37">
        <f>+CT77</f>
        <v>245.5</v>
      </c>
      <c r="AD77" s="37">
        <f>+CX77</f>
        <v>245.5</v>
      </c>
      <c r="AE77" s="37">
        <f>+DB77</f>
        <v>245.5</v>
      </c>
      <c r="AJ77" s="13">
        <f>'QTR Share Price'!HP21</f>
        <v>40.75</v>
      </c>
      <c r="AK77" s="13">
        <f>'QTR Share Price'!HQ21</f>
        <v>49.97</v>
      </c>
      <c r="AL77" s="13">
        <f>'QTR Share Price'!HR21</f>
        <v>43.73</v>
      </c>
      <c r="AM77" s="13">
        <f>'QTR Share Price'!HS21</f>
        <v>42.4</v>
      </c>
      <c r="AN77" s="13">
        <f>'QTR Share Price'!HT21</f>
        <v>36.200000000000003</v>
      </c>
      <c r="AO77" s="13">
        <f>'QTR Share Price'!HU21</f>
        <v>37</v>
      </c>
      <c r="AP77" s="13">
        <f>'QTR Share Price'!HV21</f>
        <v>36.4</v>
      </c>
      <c r="AQ77" s="13">
        <f>'QTR Share Price'!HW21</f>
        <v>50.21</v>
      </c>
      <c r="AR77" s="13">
        <f>'QTR Share Price'!HX21</f>
        <v>46.2</v>
      </c>
      <c r="AS77" s="13">
        <f>'QTR Share Price'!HY21</f>
        <v>45.57</v>
      </c>
      <c r="AT77" s="13">
        <f>'QTR Share Price'!HZ21</f>
        <v>37.08</v>
      </c>
      <c r="AU77" s="13">
        <f>'QTR Share Price'!IA21</f>
        <v>38.700000000000003</v>
      </c>
      <c r="AV77" s="13">
        <f>'QTR Share Price'!IB21</f>
        <v>46.2</v>
      </c>
      <c r="AW77" s="13">
        <f>'QTR Share Price'!IC21</f>
        <v>47.98</v>
      </c>
      <c r="AX77" s="13">
        <f>'QTR Share Price'!ID21</f>
        <v>46.7</v>
      </c>
      <c r="AY77" s="13">
        <f>'QTR Share Price'!IE21</f>
        <v>58.87</v>
      </c>
      <c r="AZ77" s="13">
        <f>'QTR Share Price'!IF21</f>
        <v>95.55</v>
      </c>
      <c r="BA77" s="13">
        <f>'QTR Share Price'!IG21</f>
        <v>138.15</v>
      </c>
      <c r="BB77" s="13">
        <f>'QTR Share Price'!IH21</f>
        <v>156.56</v>
      </c>
      <c r="BC77" s="13">
        <f>'QTR Share Price'!II21</f>
        <v>151</v>
      </c>
      <c r="BD77" s="13">
        <f>'QTR Share Price'!IJ21</f>
        <v>146.03</v>
      </c>
      <c r="BE77" s="13">
        <f>'QTR Share Price'!IK21</f>
        <v>179.22</v>
      </c>
      <c r="BF77" s="13">
        <f>'QTR Share Price'!IL21</f>
        <v>173.96</v>
      </c>
      <c r="BG77" s="13">
        <f>'QTR Share Price'!IM21</f>
        <v>180.58</v>
      </c>
      <c r="BH77" s="13">
        <f>'QTR Share Price'!IN21</f>
        <v>212.73</v>
      </c>
      <c r="BI77" s="13">
        <f>'QTR Share Price'!IO21</f>
        <v>213.83</v>
      </c>
      <c r="BJ77" s="13">
        <f>'QTR Share Price'!IP21</f>
        <v>186.4</v>
      </c>
      <c r="BK77" s="13">
        <f>'QTR Share Price'!IQ21</f>
        <v>182.83</v>
      </c>
      <c r="BL77" s="13">
        <f>'QTR Share Price'!IR21</f>
        <v>207.4</v>
      </c>
      <c r="BM77" s="13">
        <f>'QTR Share Price'!IS21</f>
        <v>169.4</v>
      </c>
      <c r="BN77" s="13">
        <f>'QTR Share Price'!IT21</f>
        <v>103.95</v>
      </c>
      <c r="BO77" s="13">
        <f>'QTR Share Price'!IU21</f>
        <v>158.4</v>
      </c>
      <c r="BP77" s="13">
        <f>'QTR Share Price'!IV21</f>
        <v>136.19999999999999</v>
      </c>
      <c r="BQ77" s="13">
        <f>'QTR Share Price'!IW21</f>
        <v>151.80000000000001</v>
      </c>
      <c r="BR77" s="13">
        <f>'QTR Share Price'!IX21</f>
        <v>161.25</v>
      </c>
      <c r="BS77" s="13">
        <f>'QTR Share Price'!IY21</f>
        <v>198.3</v>
      </c>
      <c r="BT77" s="13">
        <f>'QTR Share Price'!IZ21</f>
        <v>184.85</v>
      </c>
      <c r="BU77" s="13">
        <f>'QTR Share Price'!JA21</f>
        <v>149.55000000000001</v>
      </c>
      <c r="BV77" s="13">
        <f>'QTR Share Price'!JB21</f>
        <v>174.9</v>
      </c>
      <c r="BW77" s="13">
        <f>'QTR Share Price'!JC21</f>
        <v>187.8</v>
      </c>
      <c r="BX77" s="13">
        <f>'QTR Share Price'!JD21</f>
        <v>273.2</v>
      </c>
      <c r="BY77" s="13">
        <f>'QTR Share Price'!JE21</f>
        <v>279.3</v>
      </c>
      <c r="BZ77" s="13">
        <f>'QTR Share Price'!JF21</f>
        <v>236.2</v>
      </c>
      <c r="CA77" s="13">
        <f>'QTR Share Price'!JG21</f>
        <v>281</v>
      </c>
      <c r="CB77" s="13">
        <f>'QTR Share Price'!JH21</f>
        <v>385.1</v>
      </c>
      <c r="CC77" s="13">
        <f>'QTR Share Price'!JI21</f>
        <v>352.6</v>
      </c>
      <c r="CD77" s="13">
        <f>'QTR Share Price'!JJ21</f>
        <v>294.5</v>
      </c>
      <c r="CE77" s="13">
        <f>'QTR Share Price'!JK21</f>
        <v>331.45</v>
      </c>
      <c r="CF77" s="13">
        <f>'QTR Share Price'!JL21</f>
        <v>341.4</v>
      </c>
      <c r="CG77" s="13">
        <f>'QTR Share Price'!JM21</f>
        <v>306.35000000000002</v>
      </c>
      <c r="CH77" s="13">
        <f>'QTR Share Price'!JN21</f>
        <v>260.25</v>
      </c>
      <c r="CI77" s="13">
        <f>'QTR Share Price'!JO21</f>
        <v>300.14999999999998</v>
      </c>
      <c r="CJ77" s="13">
        <f>'QTR Share Price'!JP21</f>
        <v>251.6</v>
      </c>
      <c r="CK77" s="13">
        <f>'QTR Share Price'!JQ21</f>
        <v>235.45</v>
      </c>
      <c r="CL77" s="13">
        <f>'QTR Share Price'!JR21</f>
        <v>245.5</v>
      </c>
      <c r="CM77" s="37">
        <f t="shared" ref="CM77" si="853">+CL77</f>
        <v>245.5</v>
      </c>
      <c r="CN77" s="37">
        <f t="shared" ref="CN77" si="854">+CM77</f>
        <v>245.5</v>
      </c>
      <c r="CO77" s="37">
        <f t="shared" ref="CO77" si="855">+CN77</f>
        <v>245.5</v>
      </c>
      <c r="CP77" s="37">
        <f t="shared" ref="CP77" si="856">+CO77</f>
        <v>245.5</v>
      </c>
      <c r="CQ77" s="37">
        <f t="shared" ref="CQ77" si="857">+CP77</f>
        <v>245.5</v>
      </c>
      <c r="CR77" s="37">
        <f t="shared" ref="CR77" si="858">+CQ77</f>
        <v>245.5</v>
      </c>
      <c r="CS77" s="37">
        <f t="shared" ref="CS77" si="859">+CR77</f>
        <v>245.5</v>
      </c>
      <c r="CT77" s="37">
        <f t="shared" ref="CT77" si="860">+CS77</f>
        <v>245.5</v>
      </c>
      <c r="CU77" s="37">
        <f t="shared" ref="CU77" si="861">+CT77</f>
        <v>245.5</v>
      </c>
      <c r="CV77" s="37">
        <f t="shared" ref="CV77" si="862">+CU77</f>
        <v>245.5</v>
      </c>
      <c r="CW77" s="37">
        <f t="shared" ref="CW77" si="863">+CV77</f>
        <v>245.5</v>
      </c>
      <c r="CX77" s="37">
        <f t="shared" ref="CX77" si="864">+CW77</f>
        <v>245.5</v>
      </c>
      <c r="CY77" s="37">
        <f t="shared" ref="CY77" si="865">+CX77</f>
        <v>245.5</v>
      </c>
      <c r="CZ77" s="37">
        <f t="shared" ref="CZ77" si="866">+CY77</f>
        <v>245.5</v>
      </c>
      <c r="DA77" s="37">
        <f t="shared" ref="DA77" si="867">+CZ77</f>
        <v>245.5</v>
      </c>
      <c r="DB77" s="37">
        <f t="shared" ref="DB77" si="868">+DA77</f>
        <v>245.5</v>
      </c>
      <c r="DE77" s="134"/>
      <c r="DF77" s="13">
        <v>245.5</v>
      </c>
    </row>
    <row r="78" spans="1:110" s="13" customFormat="1" x14ac:dyDescent="0.2">
      <c r="A78" s="13" t="s">
        <v>458</v>
      </c>
      <c r="B78" s="13">
        <f>'Annual Raw'!C107</f>
        <v>5.5</v>
      </c>
      <c r="C78" s="13">
        <f>'Annual Raw'!D107</f>
        <v>4.9400000000000004</v>
      </c>
      <c r="D78" s="13">
        <f>'Annual Raw'!E107</f>
        <v>10.72</v>
      </c>
      <c r="E78" s="13">
        <f>'Annual Raw'!F107</f>
        <v>25.2</v>
      </c>
      <c r="F78" s="13">
        <f>'Annual Raw'!G107</f>
        <v>20.190000000000001</v>
      </c>
      <c r="G78" s="13">
        <f>'Annual Raw'!H107</f>
        <v>33.18</v>
      </c>
      <c r="H78" s="13">
        <f>'Annual Raw'!I107</f>
        <v>33.799999999999997</v>
      </c>
      <c r="I78" s="13">
        <f>'Annual Raw'!J107</f>
        <v>56.99</v>
      </c>
      <c r="J78" s="13">
        <f>'Annual Raw'!K107</f>
        <v>41.6</v>
      </c>
      <c r="K78" s="13">
        <f>'Annual Raw'!L107</f>
        <v>39.4</v>
      </c>
      <c r="L78" s="13">
        <f>'Annual Raw'!M107</f>
        <v>57.8</v>
      </c>
      <c r="M78" s="13">
        <f>'Annual Raw'!N107</f>
        <v>54.4</v>
      </c>
      <c r="N78" s="13">
        <f>'Annual Raw'!O107</f>
        <v>58.2</v>
      </c>
      <c r="O78" s="13">
        <f>'Annual Raw'!P107</f>
        <v>49</v>
      </c>
      <c r="P78" s="13">
        <f>'Annual Raw'!Q107</f>
        <v>57.6</v>
      </c>
      <c r="Q78" s="13">
        <f>'Annual Raw'!R107</f>
        <v>56.4</v>
      </c>
      <c r="R78" s="13">
        <f>'Annual Raw'!S107</f>
        <v>176</v>
      </c>
      <c r="S78" s="13">
        <f>'Annual Raw'!T107</f>
        <v>245</v>
      </c>
      <c r="T78" s="13">
        <f>'Annual Raw'!U107</f>
        <v>265.60000000000002</v>
      </c>
      <c r="U78" s="13">
        <f>'Annual Raw'!V107</f>
        <v>225.7</v>
      </c>
      <c r="V78" s="13">
        <f>'Annual Raw'!W107</f>
        <v>183.7</v>
      </c>
      <c r="W78" s="13">
        <f>'Annual Raw'!X107</f>
        <v>230</v>
      </c>
      <c r="X78" s="13">
        <f>'Annual Raw'!Y107</f>
        <v>349</v>
      </c>
      <c r="Y78" s="13">
        <f>'Annual Raw'!Z107</f>
        <v>421.75</v>
      </c>
      <c r="Z78" s="13">
        <f>'Annual Raw'!AA107</f>
        <v>373.5</v>
      </c>
      <c r="AA78" s="13">
        <f>'Annual Raw'!AB107</f>
        <v>323.8</v>
      </c>
      <c r="AB78" s="37">
        <f>+MAX(CM78:CP78)</f>
        <v>400.92952383417105</v>
      </c>
      <c r="AC78" s="37">
        <f>+MAX(CQ78:CT78)</f>
        <v>447.82597393926625</v>
      </c>
      <c r="AD78" s="37">
        <f>+MAX(CU78:CX78)</f>
        <v>499.62528157327057</v>
      </c>
      <c r="AE78" s="37">
        <f>+MAX(CY78:DB78)</f>
        <v>554.96475982976926</v>
      </c>
      <c r="AJ78" s="13">
        <f>'QTR Share Price'!HP19</f>
        <v>43.4</v>
      </c>
      <c r="AK78" s="13">
        <f>'QTR Share Price'!HQ19</f>
        <v>58.2</v>
      </c>
      <c r="AL78" s="13">
        <f>'QTR Share Price'!HR19</f>
        <v>54.5</v>
      </c>
      <c r="AM78" s="13">
        <f>'QTR Share Price'!HS19</f>
        <v>49</v>
      </c>
      <c r="AN78" s="13">
        <f>'QTR Share Price'!HT19</f>
        <v>45.98</v>
      </c>
      <c r="AO78" s="13">
        <f>'QTR Share Price'!HU19</f>
        <v>41.57</v>
      </c>
      <c r="AP78" s="13">
        <f>'QTR Share Price'!HV19</f>
        <v>38.36</v>
      </c>
      <c r="AQ78" s="13">
        <f>'QTR Share Price'!HW19</f>
        <v>53.78</v>
      </c>
      <c r="AR78" s="13">
        <f>'QTR Share Price'!HX19</f>
        <v>57.34</v>
      </c>
      <c r="AS78" s="13">
        <f>'QTR Share Price'!HY19</f>
        <v>57.6</v>
      </c>
      <c r="AT78" s="13">
        <f>'QTR Share Price'!HZ19</f>
        <v>52.04</v>
      </c>
      <c r="AU78" s="13">
        <f>'QTR Share Price'!IA19</f>
        <v>49</v>
      </c>
      <c r="AV78" s="13">
        <f>'QTR Share Price'!IB19</f>
        <v>55</v>
      </c>
      <c r="AW78" s="13">
        <f>'QTR Share Price'!IC19</f>
        <v>48.38</v>
      </c>
      <c r="AX78" s="13">
        <f>'QTR Share Price'!ID19</f>
        <v>56.4</v>
      </c>
      <c r="AY78" s="13">
        <f>'QTR Share Price'!IE19</f>
        <v>61</v>
      </c>
      <c r="AZ78" s="13">
        <f>'QTR Share Price'!IF19</f>
        <v>102.35</v>
      </c>
      <c r="BA78" s="13">
        <f>'QTR Share Price'!IG19</f>
        <v>168</v>
      </c>
      <c r="BB78" s="13">
        <f>'QTR Share Price'!IH19</f>
        <v>176</v>
      </c>
      <c r="BC78" s="13">
        <f>'QTR Share Price'!II19</f>
        <v>169.4</v>
      </c>
      <c r="BD78" s="13">
        <f>'QTR Share Price'!IJ19</f>
        <v>165.58</v>
      </c>
      <c r="BE78" s="13">
        <f>'QTR Share Price'!IK19</f>
        <v>190</v>
      </c>
      <c r="BF78" s="13">
        <f>'QTR Share Price'!IL19</f>
        <v>245</v>
      </c>
      <c r="BG78" s="13">
        <f>'QTR Share Price'!IM19</f>
        <v>200.6</v>
      </c>
      <c r="BH78" s="13">
        <f>'QTR Share Price'!IN19</f>
        <v>265.60000000000002</v>
      </c>
      <c r="BI78" s="13">
        <f>'QTR Share Price'!IO19</f>
        <v>250.69</v>
      </c>
      <c r="BJ78" s="13">
        <f>'QTR Share Price'!IP19</f>
        <v>224.79</v>
      </c>
      <c r="BK78" s="13">
        <f>'QTR Share Price'!IQ19</f>
        <v>203</v>
      </c>
      <c r="BL78" s="13">
        <f>'QTR Share Price'!IR19</f>
        <v>225.7</v>
      </c>
      <c r="BM78" s="13">
        <f>'QTR Share Price'!IS19</f>
        <v>211</v>
      </c>
      <c r="BN78" s="13">
        <f>'QTR Share Price'!IT19</f>
        <v>181.7</v>
      </c>
      <c r="BO78" s="13">
        <f>'QTR Share Price'!IU19</f>
        <v>183.7</v>
      </c>
      <c r="BP78" s="13">
        <f>'QTR Share Price'!IV19</f>
        <v>163</v>
      </c>
      <c r="BQ78" s="13">
        <f>'QTR Share Price'!IW19</f>
        <v>170</v>
      </c>
      <c r="BR78" s="13">
        <f>'QTR Share Price'!IX19</f>
        <v>172.6</v>
      </c>
      <c r="BS78" s="13">
        <f>'QTR Share Price'!IY19</f>
        <v>203.3</v>
      </c>
      <c r="BT78" s="13">
        <f>'QTR Share Price'!IZ19</f>
        <v>230</v>
      </c>
      <c r="BU78" s="13">
        <f>'QTR Share Price'!JA19</f>
        <v>204.95</v>
      </c>
      <c r="BV78" s="13">
        <f>'QTR Share Price'!JB19</f>
        <v>194.05</v>
      </c>
      <c r="BW78" s="13">
        <f>'QTR Share Price'!JC19</f>
        <v>238.95</v>
      </c>
      <c r="BX78" s="13">
        <f>'QTR Share Price'!JD19</f>
        <v>315</v>
      </c>
      <c r="BY78" s="13">
        <f>'QTR Share Price'!JE19</f>
        <v>349</v>
      </c>
      <c r="BZ78" s="13">
        <f>'QTR Share Price'!JF19</f>
        <v>297</v>
      </c>
      <c r="CA78" s="13">
        <f>'QTR Share Price'!JG19</f>
        <v>300</v>
      </c>
      <c r="CB78" s="13">
        <f>'QTR Share Price'!JH19</f>
        <v>421.75</v>
      </c>
      <c r="CC78" s="13">
        <f>'QTR Share Price'!JI19</f>
        <v>389.9</v>
      </c>
      <c r="CD78" s="13">
        <f>'QTR Share Price'!JJ19</f>
        <v>382</v>
      </c>
      <c r="CE78" s="13">
        <f>'QTR Share Price'!JK19</f>
        <v>360.35</v>
      </c>
      <c r="CF78" s="13">
        <f>'QTR Share Price'!JL19</f>
        <v>373.5</v>
      </c>
      <c r="CG78" s="13">
        <f>'QTR Share Price'!JM19</f>
        <v>359</v>
      </c>
      <c r="CH78" s="13">
        <f>'QTR Share Price'!JN19</f>
        <v>353.9</v>
      </c>
      <c r="CI78" s="13">
        <f>'QTR Share Price'!JO19</f>
        <v>323.8</v>
      </c>
      <c r="CJ78" s="13">
        <f>'QTR Share Price'!JP19</f>
        <v>315.2</v>
      </c>
      <c r="CK78" s="13">
        <f>'QTR Share Price'!JQ19</f>
        <v>266.7</v>
      </c>
      <c r="CL78" s="13">
        <f>'QTR Share Price'!JR19</f>
        <v>311</v>
      </c>
      <c r="CM78" s="37">
        <f t="shared" ref="CM78:DB78" si="869">+CM69*CM86</f>
        <v>325.46591491954524</v>
      </c>
      <c r="CN78" s="37">
        <f t="shared" si="869"/>
        <v>334.05054518628282</v>
      </c>
      <c r="CO78" s="37">
        <f t="shared" si="869"/>
        <v>367.03994864973492</v>
      </c>
      <c r="CP78" s="37">
        <f t="shared" si="869"/>
        <v>400.92952383417105</v>
      </c>
      <c r="CQ78" s="37">
        <f t="shared" si="869"/>
        <v>408.99664924213891</v>
      </c>
      <c r="CR78" s="37">
        <f t="shared" si="869"/>
        <v>418.50563060978158</v>
      </c>
      <c r="CS78" s="37">
        <f t="shared" si="869"/>
        <v>431.3034634880932</v>
      </c>
      <c r="CT78" s="37">
        <f t="shared" si="869"/>
        <v>447.82597393926625</v>
      </c>
      <c r="CU78" s="37">
        <f t="shared" si="869"/>
        <v>459.46655573069461</v>
      </c>
      <c r="CV78" s="37">
        <f t="shared" si="869"/>
        <v>472.09588272360901</v>
      </c>
      <c r="CW78" s="37">
        <f t="shared" si="869"/>
        <v>485.60534348658121</v>
      </c>
      <c r="CX78" s="37">
        <f t="shared" si="869"/>
        <v>499.62528157327057</v>
      </c>
      <c r="CY78" s="37">
        <f t="shared" si="869"/>
        <v>512.82952086875412</v>
      </c>
      <c r="CZ78" s="37">
        <f t="shared" si="869"/>
        <v>526.53438154853745</v>
      </c>
      <c r="DA78" s="37">
        <f t="shared" si="869"/>
        <v>540.5891095078515</v>
      </c>
      <c r="DB78" s="37">
        <f t="shared" si="869"/>
        <v>554.96475982976926</v>
      </c>
      <c r="DE78" s="134"/>
      <c r="DF78" s="13">
        <v>323.8</v>
      </c>
    </row>
    <row r="79" spans="1:110" s="13" customFormat="1" x14ac:dyDescent="0.2">
      <c r="A79" s="13" t="s">
        <v>459</v>
      </c>
      <c r="B79" s="13">
        <f>'Annual Raw'!C108</f>
        <v>3.51</v>
      </c>
      <c r="C79" s="13">
        <f>'Annual Raw'!D108</f>
        <v>2.69</v>
      </c>
      <c r="D79" s="13">
        <f>'Annual Raw'!E108</f>
        <v>3.21</v>
      </c>
      <c r="E79" s="13">
        <f>'Annual Raw'!F108</f>
        <v>5.72</v>
      </c>
      <c r="F79" s="13">
        <f>'Annual Raw'!G108</f>
        <v>11.52</v>
      </c>
      <c r="G79" s="13">
        <f>'Annual Raw'!H108</f>
        <v>14.2</v>
      </c>
      <c r="H79" s="13">
        <f>'Annual Raw'!I108</f>
        <v>16.11</v>
      </c>
      <c r="I79" s="13">
        <f>'Annual Raw'!J108</f>
        <v>23.02</v>
      </c>
      <c r="J79" s="13">
        <f>'Annual Raw'!K108</f>
        <v>10.82</v>
      </c>
      <c r="K79" s="13">
        <f>'Annual Raw'!L108</f>
        <v>12.4</v>
      </c>
      <c r="L79" s="13">
        <f>'Annual Raw'!M108</f>
        <v>36.229999999999997</v>
      </c>
      <c r="M79" s="13">
        <f>'Annual Raw'!N108</f>
        <v>31.4</v>
      </c>
      <c r="N79" s="13">
        <f>'Annual Raw'!O108</f>
        <v>36.21</v>
      </c>
      <c r="O79" s="13">
        <f>'Annual Raw'!P108</f>
        <v>33.200000000000003</v>
      </c>
      <c r="P79" s="13">
        <f>'Annual Raw'!Q108</f>
        <v>34.92</v>
      </c>
      <c r="Q79" s="13">
        <f>'Annual Raw'!R108</f>
        <v>35.92</v>
      </c>
      <c r="R79" s="13">
        <f>'Annual Raw'!S108</f>
        <v>45.6</v>
      </c>
      <c r="S79" s="13">
        <f>'Annual Raw'!T108</f>
        <v>130</v>
      </c>
      <c r="T79" s="13">
        <f>'Annual Raw'!U108</f>
        <v>160.01</v>
      </c>
      <c r="U79" s="13">
        <f>'Annual Raw'!V108</f>
        <v>82.05</v>
      </c>
      <c r="V79" s="13">
        <f>'Annual Raw'!W108</f>
        <v>102.85</v>
      </c>
      <c r="W79" s="13">
        <f>'Annual Raw'!X108</f>
        <v>133.94999999999999</v>
      </c>
      <c r="X79" s="13">
        <f>'Annual Raw'!Y108</f>
        <v>160</v>
      </c>
      <c r="Y79" s="13">
        <f>'Annual Raw'!Z108</f>
        <v>236.95</v>
      </c>
      <c r="Z79" s="13">
        <f>'Annual Raw'!AA108</f>
        <v>251.05</v>
      </c>
      <c r="AA79" s="13">
        <f>'Annual Raw'!AB108</f>
        <v>213</v>
      </c>
      <c r="AB79" s="37">
        <f>+MIN(CM79:CP79)</f>
        <v>222.9075237230326</v>
      </c>
      <c r="AC79" s="37">
        <f>+MIN(CQ79:CT79)</f>
        <v>280.11667616905333</v>
      </c>
      <c r="AD79" s="37">
        <f>+MIN(CU79:CX79)</f>
        <v>314.68288222070078</v>
      </c>
      <c r="AE79" s="37">
        <f>+MIN(CY79:DB79)</f>
        <v>351.2305078618798</v>
      </c>
      <c r="AJ79" s="13">
        <f>+'QTR Share Price'!HP20</f>
        <v>37.020000000000003</v>
      </c>
      <c r="AK79" s="13">
        <f>+'QTR Share Price'!HQ20</f>
        <v>40</v>
      </c>
      <c r="AL79" s="13">
        <f>+'QTR Share Price'!HR20</f>
        <v>39.64</v>
      </c>
      <c r="AM79" s="13">
        <f>+'QTR Share Price'!HS20</f>
        <v>39.78</v>
      </c>
      <c r="AN79" s="13">
        <f>+'QTR Share Price'!HT20</f>
        <v>33.4</v>
      </c>
      <c r="AO79" s="13">
        <f>+'QTR Share Price'!HU20</f>
        <v>34</v>
      </c>
      <c r="AP79" s="13">
        <f>+'QTR Share Price'!HV20</f>
        <v>33.200000000000003</v>
      </c>
      <c r="AQ79" s="13">
        <f>+'QTR Share Price'!HW20</f>
        <v>35</v>
      </c>
      <c r="AR79" s="13">
        <f>+'QTR Share Price'!HX20</f>
        <v>42.02</v>
      </c>
      <c r="AS79" s="13">
        <f>+'QTR Share Price'!HY20</f>
        <v>40.4</v>
      </c>
      <c r="AT79" s="13">
        <f>+'QTR Share Price'!HZ20</f>
        <v>34.92</v>
      </c>
      <c r="AU79" s="13">
        <f>+'QTR Share Price'!IA20</f>
        <v>35.92</v>
      </c>
      <c r="AV79" s="13">
        <f>+'QTR Share Price'!IB20</f>
        <v>37.58</v>
      </c>
      <c r="AW79" s="13">
        <f>+'QTR Share Price'!IC20</f>
        <v>42.26</v>
      </c>
      <c r="AX79" s="13">
        <f>+'QTR Share Price'!ID20</f>
        <v>39.200000000000003</v>
      </c>
      <c r="AY79" s="13">
        <f>+'QTR Share Price'!IE20</f>
        <v>45.6</v>
      </c>
      <c r="AZ79" s="13">
        <f>+'QTR Share Price'!IF20</f>
        <v>54</v>
      </c>
      <c r="BA79" s="13">
        <f>+'QTR Share Price'!IG20</f>
        <v>96</v>
      </c>
      <c r="BB79" s="13">
        <f>+'QTR Share Price'!IH20</f>
        <v>137</v>
      </c>
      <c r="BC79" s="13">
        <f>+'QTR Share Price'!II20</f>
        <v>140.32</v>
      </c>
      <c r="BD79" s="13">
        <f>+'QTR Share Price'!IJ20</f>
        <v>130</v>
      </c>
      <c r="BE79" s="13">
        <f>+'QTR Share Price'!IK20</f>
        <v>139.35</v>
      </c>
      <c r="BF79" s="13">
        <f>+'QTR Share Price'!IL20</f>
        <v>160.09</v>
      </c>
      <c r="BG79" s="13">
        <f>+'QTR Share Price'!IM20</f>
        <v>163.61000000000001</v>
      </c>
      <c r="BH79" s="13">
        <f>+'QTR Share Price'!IN20</f>
        <v>160.01</v>
      </c>
      <c r="BI79" s="13">
        <f>+'QTR Share Price'!IO20</f>
        <v>192</v>
      </c>
      <c r="BJ79" s="13">
        <f>+'QTR Share Price'!IP20</f>
        <v>164.38</v>
      </c>
      <c r="BK79" s="13">
        <f>+'QTR Share Price'!IQ20</f>
        <v>176</v>
      </c>
      <c r="BL79" s="13">
        <f>+'QTR Share Price'!IR20</f>
        <v>160.01</v>
      </c>
      <c r="BM79" s="13">
        <f>+'QTR Share Price'!IS20</f>
        <v>161</v>
      </c>
      <c r="BN79" s="13">
        <f>+'QTR Share Price'!IT20</f>
        <v>82.05</v>
      </c>
      <c r="BO79" s="13">
        <f>+'QTR Share Price'!IU20</f>
        <v>102.85</v>
      </c>
      <c r="BP79" s="13">
        <f>+'QTR Share Price'!IV20</f>
        <v>132.35</v>
      </c>
      <c r="BQ79" s="13">
        <f>+'QTR Share Price'!IW20</f>
        <v>126</v>
      </c>
      <c r="BR79" s="13">
        <f>+'QTR Share Price'!IX20</f>
        <v>137</v>
      </c>
      <c r="BS79" s="13">
        <f>+'QTR Share Price'!IY20</f>
        <v>145.85</v>
      </c>
      <c r="BT79" s="13">
        <f>+'QTR Share Price'!IZ20</f>
        <v>165.25</v>
      </c>
      <c r="BU79" s="13">
        <f>+'QTR Share Price'!JA20</f>
        <v>140.69999999999999</v>
      </c>
      <c r="BV79" s="13">
        <f>+'QTR Share Price'!JB20</f>
        <v>133.94999999999999</v>
      </c>
      <c r="BW79" s="13">
        <f>+'QTR Share Price'!JC20</f>
        <v>160</v>
      </c>
      <c r="BX79" s="13">
        <f>+'QTR Share Price'!JD20</f>
        <v>186.6</v>
      </c>
      <c r="BY79" s="13">
        <f>+'QTR Share Price'!JE20</f>
        <v>240.55</v>
      </c>
      <c r="BZ79" s="13">
        <f>+'QTR Share Price'!JF20</f>
        <v>220</v>
      </c>
      <c r="CA79" s="13">
        <f>+'QTR Share Price'!JG20</f>
        <v>236.95</v>
      </c>
      <c r="CB79" s="13">
        <f>+'QTR Share Price'!JH20</f>
        <v>255.1</v>
      </c>
      <c r="CC79" s="13">
        <f>+'QTR Share Price'!JI20</f>
        <v>323.25</v>
      </c>
      <c r="CD79" s="13">
        <f>+'QTR Share Price'!JJ20</f>
        <v>289</v>
      </c>
      <c r="CE79" s="13">
        <f>+'QTR Share Price'!JK20</f>
        <v>280.5</v>
      </c>
      <c r="CF79" s="13">
        <f>+'QTR Share Price'!JL20</f>
        <v>324.14999999999998</v>
      </c>
      <c r="CG79" s="13">
        <f>+'QTR Share Price'!JM20</f>
        <v>278.35000000000002</v>
      </c>
      <c r="CH79" s="13">
        <f>+'QTR Share Price'!JN20</f>
        <v>251.05</v>
      </c>
      <c r="CI79" s="13">
        <f>+'QTR Share Price'!JO20</f>
        <v>255.15</v>
      </c>
      <c r="CJ79" s="13">
        <f>+'QTR Share Price'!JP20</f>
        <v>246.3</v>
      </c>
      <c r="CK79" s="13">
        <f>+'QTR Share Price'!JQ20</f>
        <v>227.1</v>
      </c>
      <c r="CL79" s="13">
        <f>+'QTR Share Price'!JR20</f>
        <v>213</v>
      </c>
      <c r="CM79" s="37">
        <f t="shared" ref="CM79:DB79" si="870">+CM87*CM69</f>
        <v>222.9075237230326</v>
      </c>
      <c r="CN79" s="37">
        <f t="shared" si="870"/>
        <v>228.78702933980142</v>
      </c>
      <c r="CO79" s="37">
        <f t="shared" si="870"/>
        <v>251.38105807843581</v>
      </c>
      <c r="CP79" s="37">
        <f t="shared" si="870"/>
        <v>274.5916031404451</v>
      </c>
      <c r="CQ79" s="37">
        <f t="shared" si="870"/>
        <v>280.11667616905333</v>
      </c>
      <c r="CR79" s="37">
        <f t="shared" si="870"/>
        <v>286.62925826329092</v>
      </c>
      <c r="CS79" s="37">
        <f t="shared" si="870"/>
        <v>295.39433351435321</v>
      </c>
      <c r="CT79" s="37">
        <f t="shared" si="870"/>
        <v>306.71039372689296</v>
      </c>
      <c r="CU79" s="37">
        <f t="shared" si="870"/>
        <v>314.68288222070078</v>
      </c>
      <c r="CV79" s="37">
        <f t="shared" si="870"/>
        <v>323.33254990395085</v>
      </c>
      <c r="CW79" s="37">
        <f t="shared" si="870"/>
        <v>332.58501016926618</v>
      </c>
      <c r="CX79" s="37">
        <f t="shared" si="870"/>
        <v>342.18708995211136</v>
      </c>
      <c r="CY79" s="37">
        <f t="shared" si="870"/>
        <v>351.2305078618798</v>
      </c>
      <c r="CZ79" s="37">
        <f t="shared" si="870"/>
        <v>360.61679507986651</v>
      </c>
      <c r="DA79" s="37">
        <f t="shared" si="870"/>
        <v>370.2427020102005</v>
      </c>
      <c r="DB79" s="37">
        <f t="shared" si="870"/>
        <v>380.08840464225358</v>
      </c>
      <c r="DE79" s="134"/>
      <c r="DF79" s="13">
        <v>213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0.63311415003735672</v>
      </c>
      <c r="AC81" s="48">
        <f t="shared" si="871"/>
        <v>0.82413838671798878</v>
      </c>
      <c r="AD81" s="48">
        <f t="shared" si="871"/>
        <v>1.0351335298300226</v>
      </c>
      <c r="AE81" s="48">
        <f t="shared" ref="AE81" si="872">+AE78/AE77-1</f>
        <v>1.2605489198768605</v>
      </c>
      <c r="CM81" s="48">
        <f t="shared" ref="CM81:DB81" si="873">+CM78/CM77-1</f>
        <v>0.32572674101647747</v>
      </c>
      <c r="CN81" s="48">
        <f t="shared" si="873"/>
        <v>0.36069468507650848</v>
      </c>
      <c r="CO81" s="48">
        <f t="shared" si="873"/>
        <v>0.49507107392967376</v>
      </c>
      <c r="CP81" s="48">
        <f t="shared" si="873"/>
        <v>0.63311415003735672</v>
      </c>
      <c r="CQ81" s="48">
        <f t="shared" si="873"/>
        <v>0.66597413133254135</v>
      </c>
      <c r="CR81" s="48">
        <f t="shared" si="873"/>
        <v>0.7047072529930003</v>
      </c>
      <c r="CS81" s="48">
        <f t="shared" si="873"/>
        <v>0.7568369184851047</v>
      </c>
      <c r="CT81" s="48">
        <f t="shared" si="873"/>
        <v>0.82413838671798878</v>
      </c>
      <c r="CU81" s="48">
        <f t="shared" si="873"/>
        <v>0.87155419849570115</v>
      </c>
      <c r="CV81" s="48">
        <f t="shared" si="873"/>
        <v>0.92299748563588202</v>
      </c>
      <c r="CW81" s="48">
        <f t="shared" si="873"/>
        <v>0.9780258390492107</v>
      </c>
      <c r="CX81" s="48">
        <f t="shared" si="873"/>
        <v>1.0351335298300226</v>
      </c>
      <c r="CY81" s="48">
        <f t="shared" si="873"/>
        <v>1.0889186186099966</v>
      </c>
      <c r="CZ81" s="48">
        <f t="shared" si="873"/>
        <v>1.1447428983647145</v>
      </c>
      <c r="DA81" s="48">
        <f t="shared" si="873"/>
        <v>1.2019922994209837</v>
      </c>
      <c r="DB81" s="48">
        <f t="shared" si="873"/>
        <v>1.2605489198768605</v>
      </c>
      <c r="DE81" s="129"/>
      <c r="DF81" s="51">
        <v>0.31894093686354386</v>
      </c>
    </row>
    <row r="82" spans="1:110" s="51" customFormat="1" x14ac:dyDescent="0.2">
      <c r="A82" s="51" t="s">
        <v>347</v>
      </c>
      <c r="AB82" s="48">
        <f t="shared" ref="AB82:AD82" si="874">+AB79/AB77-1</f>
        <v>-9.2026379946914094E-2</v>
      </c>
      <c r="AC82" s="48">
        <f t="shared" si="874"/>
        <v>0.14100479091264084</v>
      </c>
      <c r="AD82" s="48">
        <f t="shared" si="874"/>
        <v>0.28180400089898483</v>
      </c>
      <c r="AE82" s="48">
        <f t="shared" ref="AE82" si="875">+AE79/AE77-1</f>
        <v>0.43067416644350232</v>
      </c>
      <c r="CM82" s="48">
        <f t="shared" ref="CM82:DB82" si="876">+CM79/CM77-1</f>
        <v>-9.2026379946914094E-2</v>
      </c>
      <c r="CN82" s="48">
        <f t="shared" si="876"/>
        <v>-6.8077273564963625E-2</v>
      </c>
      <c r="CO82" s="48">
        <f t="shared" si="876"/>
        <v>2.3955430054728444E-2</v>
      </c>
      <c r="CP82" s="48">
        <f t="shared" si="876"/>
        <v>0.1184994017940737</v>
      </c>
      <c r="CQ82" s="48">
        <f t="shared" si="876"/>
        <v>0.14100479091264084</v>
      </c>
      <c r="CR82" s="48">
        <f t="shared" si="876"/>
        <v>0.16753262021707105</v>
      </c>
      <c r="CS82" s="48">
        <f t="shared" si="876"/>
        <v>0.20323557439655082</v>
      </c>
      <c r="CT82" s="48">
        <f t="shared" si="876"/>
        <v>0.24932950601585735</v>
      </c>
      <c r="CU82" s="48">
        <f t="shared" si="876"/>
        <v>0.28180400089898483</v>
      </c>
      <c r="CV82" s="48">
        <f t="shared" si="876"/>
        <v>0.31703686315254931</v>
      </c>
      <c r="CW82" s="48">
        <f t="shared" si="876"/>
        <v>0.35472509233916982</v>
      </c>
      <c r="CX82" s="48">
        <f t="shared" si="876"/>
        <v>0.39383743361348822</v>
      </c>
      <c r="CY82" s="48">
        <f t="shared" si="876"/>
        <v>0.43067416644350232</v>
      </c>
      <c r="CZ82" s="48">
        <f t="shared" si="876"/>
        <v>0.46890751560027089</v>
      </c>
      <c r="DA82" s="48">
        <f t="shared" si="876"/>
        <v>0.50811691246517521</v>
      </c>
      <c r="DB82" s="48">
        <f t="shared" si="876"/>
        <v>0.54822160750408799</v>
      </c>
      <c r="DE82" s="129"/>
      <c r="DF82" s="51">
        <v>-0.13238289205702647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1.6020569620253342</v>
      </c>
      <c r="C85" s="13">
        <f t="shared" si="877"/>
        <v>1.5673762817655159</v>
      </c>
      <c r="D85" s="13">
        <f t="shared" si="877"/>
        <v>0.31421509070342279</v>
      </c>
      <c r="E85" s="13">
        <f t="shared" ref="E85:AE85" ca="1" si="878">+E77/E69</f>
        <v>3.8639792083085456</v>
      </c>
      <c r="F85" s="13">
        <f t="shared" ca="1" si="878"/>
        <v>12.991950671283583</v>
      </c>
      <c r="G85" s="13">
        <f t="shared" ca="1" si="878"/>
        <v>8.4319656115670227</v>
      </c>
      <c r="H85" s="13">
        <f t="shared" ca="1" si="878"/>
        <v>3.4431822847854057</v>
      </c>
      <c r="I85" s="13">
        <f t="shared" ca="1" si="878"/>
        <v>4.6802925510424691</v>
      </c>
      <c r="J85" s="13">
        <f t="shared" ca="1" si="878"/>
        <v>6.0891843511475816</v>
      </c>
      <c r="K85" s="13">
        <f t="shared" ca="1" si="878"/>
        <v>5.5376111957044341</v>
      </c>
      <c r="L85" s="13">
        <f t="shared" ca="1" si="878"/>
        <v>4.5574418135973724</v>
      </c>
      <c r="M85" s="13">
        <f t="shared" ca="1" si="878"/>
        <v>6.6493779219484175</v>
      </c>
      <c r="N85" s="13">
        <f t="shared" ca="1" si="878"/>
        <v>12.83874428789496</v>
      </c>
      <c r="O85" s="13">
        <f t="shared" ca="1" si="878"/>
        <v>8.1793783570919523</v>
      </c>
      <c r="P85" s="13">
        <f t="shared" ca="1" si="878"/>
        <v>11.326733477102696</v>
      </c>
      <c r="Q85" s="13">
        <f t="shared" ca="1" si="878"/>
        <v>7.7995500056873528</v>
      </c>
      <c r="R85" s="13">
        <f t="shared" ca="1" si="878"/>
        <v>7.1083128441058907</v>
      </c>
      <c r="S85" s="13">
        <f t="shared" ca="1" si="878"/>
        <v>8.8411920641620991</v>
      </c>
      <c r="T85" s="13">
        <f t="shared" ca="1" si="878"/>
        <v>5.8425908570238425</v>
      </c>
      <c r="U85" s="13">
        <f t="shared" ca="1" si="878"/>
        <v>3.4462991518889758</v>
      </c>
      <c r="V85" s="13">
        <f t="shared" ca="1" si="878"/>
        <v>9.1259283632603179</v>
      </c>
      <c r="W85" s="13">
        <f t="shared" ca="1" si="878"/>
        <v>9.5700599890928899</v>
      </c>
      <c r="X85" s="13">
        <f t="shared" ca="1" si="878"/>
        <v>3.5921685529506839</v>
      </c>
      <c r="Y85" s="13">
        <f t="shared" ca="1" si="878"/>
        <v>6.5475865125383184</v>
      </c>
      <c r="Z85" s="13">
        <f t="shared" ref="Z85:AA85" ca="1" si="879">+Z77/Z69</f>
        <v>14.35105798296237</v>
      </c>
      <c r="AA85" s="13">
        <f t="shared" ca="1" si="879"/>
        <v>14.35105798296237</v>
      </c>
      <c r="AB85" s="37">
        <f t="shared" ca="1" si="878"/>
        <v>13.890839502800805</v>
      </c>
      <c r="AC85" s="37">
        <f t="shared" ca="1" si="878"/>
        <v>12.436187250429859</v>
      </c>
      <c r="AD85" s="37">
        <f t="shared" ca="1" si="878"/>
        <v>11.146849194616069</v>
      </c>
      <c r="AE85" s="37">
        <f t="shared" ca="1" si="878"/>
        <v>10.035317682555469</v>
      </c>
      <c r="AL85" s="13">
        <f t="shared" ref="AL85:BQ85" si="880">+AL77/AL69</f>
        <v>12.829171539961008</v>
      </c>
      <c r="AM85" s="13">
        <f t="shared" si="880"/>
        <v>11.938634237605227</v>
      </c>
      <c r="AN85" s="13">
        <f t="shared" si="880"/>
        <v>10.010289389067541</v>
      </c>
      <c r="AO85" s="13">
        <f t="shared" si="880"/>
        <v>10.194050343249424</v>
      </c>
      <c r="AP85" s="13">
        <f t="shared" si="880"/>
        <v>8.1794699514744238</v>
      </c>
      <c r="AQ85" s="13">
        <f t="shared" si="880"/>
        <v>12.076076707950445</v>
      </c>
      <c r="AR85" s="13">
        <f t="shared" si="880"/>
        <v>9.4503567787971292</v>
      </c>
      <c r="AS85" s="13">
        <f t="shared" si="880"/>
        <v>9.1504803202134646</v>
      </c>
      <c r="AT85" s="13">
        <f t="shared" si="880"/>
        <v>10.851803597472069</v>
      </c>
      <c r="AU85" s="13">
        <f t="shared" si="880"/>
        <v>11.131103678929804</v>
      </c>
      <c r="AV85" s="13">
        <f t="shared" si="880"/>
        <v>15.42562396006659</v>
      </c>
      <c r="AW85" s="13">
        <f t="shared" si="880"/>
        <v>14.804695028190723</v>
      </c>
      <c r="AX85" s="13">
        <f t="shared" si="880"/>
        <v>7.9014614952220459</v>
      </c>
      <c r="AY85" s="13">
        <f t="shared" si="880"/>
        <v>6.5254538758976297</v>
      </c>
      <c r="AZ85" s="13">
        <f t="shared" si="880"/>
        <v>7.3925073897956581</v>
      </c>
      <c r="BA85" s="13">
        <f t="shared" si="880"/>
        <v>7.6884810945733522</v>
      </c>
      <c r="BB85" s="13">
        <f t="shared" si="880"/>
        <v>7.3603373682155304</v>
      </c>
      <c r="BC85" s="13">
        <f t="shared" si="880"/>
        <v>7.2328134945894265</v>
      </c>
      <c r="BD85" s="13">
        <f t="shared" si="880"/>
        <v>7.2503142268041172</v>
      </c>
      <c r="BE85" s="13">
        <f t="shared" si="880"/>
        <v>9.5613647642679815</v>
      </c>
      <c r="BF85" s="13">
        <f t="shared" si="880"/>
        <v>8.8711495129182563</v>
      </c>
      <c r="BG85" s="13">
        <f t="shared" si="880"/>
        <v>8.8554219615509968</v>
      </c>
      <c r="BH85" s="13">
        <f t="shared" si="880"/>
        <v>8.62670663523072</v>
      </c>
      <c r="BI85" s="13">
        <f t="shared" si="880"/>
        <v>7.4580336037079986</v>
      </c>
      <c r="BJ85" s="13">
        <f t="shared" si="880"/>
        <v>5.8428950794064036</v>
      </c>
      <c r="BK85" s="13">
        <f t="shared" si="880"/>
        <v>5.379455522971651</v>
      </c>
      <c r="BL85" s="13">
        <f t="shared" si="880"/>
        <v>6.1644514663770105</v>
      </c>
      <c r="BM85" s="13">
        <f t="shared" si="880"/>
        <v>5.1460261391734372</v>
      </c>
      <c r="BN85" s="13">
        <f t="shared" si="880"/>
        <v>3.4453504377030235</v>
      </c>
      <c r="BO85" s="13">
        <f t="shared" si="880"/>
        <v>5.8891304347826114</v>
      </c>
      <c r="BP85" s="13">
        <f t="shared" si="880"/>
        <v>6.266615713848978</v>
      </c>
      <c r="BQ85" s="13">
        <f t="shared" si="880"/>
        <v>10.195648778310838</v>
      </c>
      <c r="BR85" s="13">
        <f t="shared" ref="BR85:DB85" si="881">+BR77/BR69</f>
        <v>9.1259283632603196</v>
      </c>
      <c r="BS85" s="13">
        <f t="shared" si="881"/>
        <v>11.163995137005521</v>
      </c>
      <c r="BT85" s="13">
        <f t="shared" si="881"/>
        <v>9.6254389758671408</v>
      </c>
      <c r="BU85" s="13">
        <f t="shared" si="881"/>
        <v>7.6947948717948718</v>
      </c>
      <c r="BV85" s="13">
        <f t="shared" si="881"/>
        <v>9.5700599890928881</v>
      </c>
      <c r="BW85" s="13">
        <f t="shared" si="881"/>
        <v>7.5139970756347179</v>
      </c>
      <c r="BX85" s="13">
        <f t="shared" si="881"/>
        <v>7.1737939457384607</v>
      </c>
      <c r="BY85" s="13">
        <f t="shared" si="881"/>
        <v>5.0222109382000655</v>
      </c>
      <c r="BZ85" s="13">
        <f t="shared" si="881"/>
        <v>3.5922593032362382</v>
      </c>
      <c r="CA85" s="13">
        <f t="shared" si="881"/>
        <v>4.1534570811235518</v>
      </c>
      <c r="CB85" s="13">
        <f t="shared" si="881"/>
        <v>6.1955209920094072</v>
      </c>
      <c r="CC85" s="13">
        <f t="shared" si="881"/>
        <v>6.4012424607961416</v>
      </c>
      <c r="CD85" s="13">
        <f t="shared" si="881"/>
        <v>6.5475865125383192</v>
      </c>
      <c r="CE85" s="13">
        <f t="shared" si="881"/>
        <v>8.4540674519108592</v>
      </c>
      <c r="CF85" s="13">
        <f t="shared" si="881"/>
        <v>10.744043075957974</v>
      </c>
      <c r="CG85" s="13">
        <f t="shared" si="881"/>
        <v>13.27354973369801</v>
      </c>
      <c r="CH85" s="13">
        <f t="shared" si="881"/>
        <v>14.351057982962354</v>
      </c>
      <c r="CI85" s="13">
        <f t="shared" ref="CI85:CJ85" si="882">+CI77/CI69</f>
        <v>20.626746575342477</v>
      </c>
      <c r="CJ85" s="13">
        <f t="shared" si="882"/>
        <v>18.575324993868055</v>
      </c>
      <c r="CK85" s="13">
        <f t="shared" ref="CK85:CL85" si="883">+CK77/CK69</f>
        <v>16.964799521244768</v>
      </c>
      <c r="CL85" s="13">
        <f t="shared" si="883"/>
        <v>17.907548770144178</v>
      </c>
      <c r="CM85" s="37">
        <f t="shared" si="881"/>
        <v>17.111615724465494</v>
      </c>
      <c r="CN85" s="37">
        <f t="shared" si="881"/>
        <v>16.67187121161307</v>
      </c>
      <c r="CO85" s="37">
        <f t="shared" si="881"/>
        <v>15.173410109725019</v>
      </c>
      <c r="CP85" s="37">
        <f t="shared" si="881"/>
        <v>13.890839502800853</v>
      </c>
      <c r="CQ85" s="37">
        <f t="shared" si="881"/>
        <v>13.616854020282373</v>
      </c>
      <c r="CR85" s="37">
        <f t="shared" si="881"/>
        <v>13.307461740479321</v>
      </c>
      <c r="CS85" s="37">
        <f t="shared" si="881"/>
        <v>12.912596672594509</v>
      </c>
      <c r="CT85" s="37">
        <f t="shared" si="881"/>
        <v>12.436187250429864</v>
      </c>
      <c r="CU85" s="37">
        <f t="shared" si="881"/>
        <v>12.121116538412693</v>
      </c>
      <c r="CV85" s="37">
        <f t="shared" si="881"/>
        <v>11.796857103232533</v>
      </c>
      <c r="CW85" s="37">
        <f t="shared" si="881"/>
        <v>11.468670479464638</v>
      </c>
      <c r="CX85" s="37">
        <f t="shared" si="881"/>
        <v>11.146849194616072</v>
      </c>
      <c r="CY85" s="37">
        <f t="shared" si="881"/>
        <v>10.859842190988356</v>
      </c>
      <c r="CZ85" s="37">
        <f t="shared" si="881"/>
        <v>10.57717760260153</v>
      </c>
      <c r="DA85" s="37">
        <f t="shared" si="881"/>
        <v>10.302182507126426</v>
      </c>
      <c r="DB85" s="37">
        <f t="shared" si="881"/>
        <v>10.03531768255548</v>
      </c>
      <c r="DE85" s="134"/>
      <c r="DF85" s="13">
        <v>17.907548770144221</v>
      </c>
    </row>
    <row r="86" spans="1:110" s="13" customFormat="1" x14ac:dyDescent="0.2">
      <c r="A86" s="13" t="s">
        <v>461</v>
      </c>
      <c r="B86" s="13">
        <f t="shared" ref="B86:D86" si="884">+B78/B69</f>
        <v>2.1756329113924293</v>
      </c>
      <c r="C86" s="13">
        <f t="shared" si="884"/>
        <v>2.0647570218457734</v>
      </c>
      <c r="D86" s="13">
        <f t="shared" si="884"/>
        <v>0.56139762872344878</v>
      </c>
      <c r="E86" s="13">
        <f t="shared" ref="E86:AE86" ca="1" si="885">+E78/E69</f>
        <v>7.7157112558934511</v>
      </c>
      <c r="F86" s="13">
        <f t="shared" ca="1" si="885"/>
        <v>18.459358483688636</v>
      </c>
      <c r="G86" s="13">
        <f t="shared" ca="1" si="885"/>
        <v>11.150762016412667</v>
      </c>
      <c r="H86" s="13">
        <f t="shared" ca="1" si="885"/>
        <v>4.9146774166278169</v>
      </c>
      <c r="I86" s="13">
        <f t="shared" ca="1" si="885"/>
        <v>7.4924121484244468</v>
      </c>
      <c r="J86" s="13">
        <f t="shared" ca="1" si="885"/>
        <v>16.665136118930224</v>
      </c>
      <c r="K86" s="13">
        <f t="shared" ca="1" si="885"/>
        <v>5.9401546722231062</v>
      </c>
      <c r="L86" s="13">
        <f t="shared" ca="1" si="885"/>
        <v>5.3529798176372303</v>
      </c>
      <c r="M86" s="13">
        <f t="shared" ca="1" si="885"/>
        <v>9.6050493614974481</v>
      </c>
      <c r="N86" s="13">
        <f t="shared" ca="1" si="885"/>
        <v>17.08700931981447</v>
      </c>
      <c r="O86" s="13">
        <f t="shared" ca="1" si="885"/>
        <v>11.01070163454686</v>
      </c>
      <c r="P86" s="13">
        <f t="shared" ca="1" si="885"/>
        <v>17.594925789674093</v>
      </c>
      <c r="Q86" s="13">
        <f t="shared" ca="1" si="885"/>
        <v>9.4195850175753026</v>
      </c>
      <c r="R86" s="13">
        <f t="shared" ca="1" si="885"/>
        <v>7.9909495437061624</v>
      </c>
      <c r="S86" s="13">
        <f t="shared" ca="1" si="885"/>
        <v>12.451667370198404</v>
      </c>
      <c r="T86" s="13">
        <f t="shared" ca="1" si="885"/>
        <v>8.3250650838279654</v>
      </c>
      <c r="U86" s="13">
        <f t="shared" ca="1" si="885"/>
        <v>7.4827293754818829</v>
      </c>
      <c r="V86" s="13">
        <f t="shared" ca="1" si="885"/>
        <v>10.396483971044466</v>
      </c>
      <c r="W86" s="13">
        <f t="shared" ca="1" si="885"/>
        <v>12.584984548263948</v>
      </c>
      <c r="X86" s="13">
        <f t="shared" ca="1" si="885"/>
        <v>5.3076495553759049</v>
      </c>
      <c r="Y86" s="13">
        <f t="shared" ca="1" si="885"/>
        <v>9.3767219411308513</v>
      </c>
      <c r="Z86" s="13">
        <f t="shared" ref="Z86:AA86" ca="1" si="886">+Z78/Z69</f>
        <v>20.596042868920058</v>
      </c>
      <c r="AA86" s="13">
        <f t="shared" ca="1" si="886"/>
        <v>20.596042868920058</v>
      </c>
      <c r="AB86" s="60">
        <f t="shared" ca="1" si="885"/>
        <v>22.685326547921875</v>
      </c>
      <c r="AC86" s="60">
        <f t="shared" ca="1" si="885"/>
        <v>22.685326547921942</v>
      </c>
      <c r="AD86" s="60">
        <f t="shared" ca="1" si="885"/>
        <v>22.685326547921946</v>
      </c>
      <c r="AE86" s="60">
        <f t="shared" ca="1" si="885"/>
        <v>22.685326547921925</v>
      </c>
      <c r="AL86" s="13">
        <f t="shared" ref="AL86:BQ86" si="887">+AL78/AL69</f>
        <v>15.988791423001944</v>
      </c>
      <c r="AM86" s="13">
        <f t="shared" si="887"/>
        <v>13.797006548175853</v>
      </c>
      <c r="AN86" s="13">
        <f t="shared" si="887"/>
        <v>12.714726688102914</v>
      </c>
      <c r="AO86" s="13">
        <f t="shared" si="887"/>
        <v>11.453153318077799</v>
      </c>
      <c r="AP86" s="13">
        <f t="shared" si="887"/>
        <v>8.6199029488615082</v>
      </c>
      <c r="AQ86" s="13">
        <f t="shared" si="887"/>
        <v>12.934702357171378</v>
      </c>
      <c r="AR86" s="13">
        <f t="shared" si="887"/>
        <v>11.729079170914012</v>
      </c>
      <c r="AS86" s="13">
        <f t="shared" si="887"/>
        <v>11.566110740493649</v>
      </c>
      <c r="AT86" s="13">
        <f t="shared" si="887"/>
        <v>15.229985415653895</v>
      </c>
      <c r="AU86" s="13">
        <f t="shared" si="887"/>
        <v>14.09364548494988</v>
      </c>
      <c r="AV86" s="13">
        <f t="shared" si="887"/>
        <v>18.363838047698319</v>
      </c>
      <c r="AW86" s="13">
        <f t="shared" si="887"/>
        <v>14.92811891337781</v>
      </c>
      <c r="AX86" s="13">
        <f t="shared" si="887"/>
        <v>9.5426644182124924</v>
      </c>
      <c r="AY86" s="13">
        <f t="shared" si="887"/>
        <v>6.7615540416129676</v>
      </c>
      <c r="AZ86" s="13">
        <f t="shared" si="887"/>
        <v>7.9186094332348054</v>
      </c>
      <c r="BA86" s="13">
        <f t="shared" si="887"/>
        <v>9.3497272811315462</v>
      </c>
      <c r="BB86" s="13">
        <f t="shared" si="887"/>
        <v>8.2742678641155685</v>
      </c>
      <c r="BC86" s="13">
        <f t="shared" si="887"/>
        <v>8.1141629535327731</v>
      </c>
      <c r="BD86" s="13">
        <f t="shared" si="887"/>
        <v>8.2209616494845292</v>
      </c>
      <c r="BE86" s="13">
        <f t="shared" si="887"/>
        <v>10.136476426799</v>
      </c>
      <c r="BF86" s="13">
        <f t="shared" si="887"/>
        <v>12.493858534519275</v>
      </c>
      <c r="BG86" s="13">
        <f t="shared" si="887"/>
        <v>9.8371782339524287</v>
      </c>
      <c r="BH86" s="13">
        <f t="shared" si="887"/>
        <v>10.770710676995625</v>
      </c>
      <c r="BI86" s="13">
        <f t="shared" si="887"/>
        <v>8.7436488991888783</v>
      </c>
      <c r="BJ86" s="13">
        <f t="shared" si="887"/>
        <v>7.0462681593335059</v>
      </c>
      <c r="BK86" s="13">
        <f t="shared" si="887"/>
        <v>5.9729227761485806</v>
      </c>
      <c r="BL86" s="13">
        <f t="shared" si="887"/>
        <v>6.7083736545867456</v>
      </c>
      <c r="BM86" s="13">
        <f t="shared" si="887"/>
        <v>6.4097492052278353</v>
      </c>
      <c r="BN86" s="13">
        <f t="shared" si="887"/>
        <v>6.0223201013048513</v>
      </c>
      <c r="BO86" s="13">
        <f t="shared" si="887"/>
        <v>6.8297554347826113</v>
      </c>
      <c r="BP86" s="13">
        <f t="shared" si="887"/>
        <v>7.4996942830938584</v>
      </c>
      <c r="BQ86" s="13">
        <f t="shared" si="887"/>
        <v>11.418051991520702</v>
      </c>
      <c r="BR86" s="13">
        <f t="shared" ref="BR86:CH86" si="888">+BR78/BR69</f>
        <v>9.768280530224688</v>
      </c>
      <c r="BS86" s="13">
        <f t="shared" si="888"/>
        <v>11.445487702235113</v>
      </c>
      <c r="BT86" s="13">
        <f t="shared" si="888"/>
        <v>11.97647262347548</v>
      </c>
      <c r="BU86" s="13">
        <f t="shared" si="888"/>
        <v>10.545290598290597</v>
      </c>
      <c r="BV86" s="13">
        <f t="shared" si="888"/>
        <v>10.617896746046169</v>
      </c>
      <c r="BW86" s="13">
        <f t="shared" si="888"/>
        <v>9.5605410075767612</v>
      </c>
      <c r="BX86" s="13">
        <f t="shared" si="888"/>
        <v>8.2713949227950785</v>
      </c>
      <c r="BY86" s="13">
        <f t="shared" si="888"/>
        <v>6.2755159951014061</v>
      </c>
      <c r="BZ86" s="13">
        <f t="shared" si="888"/>
        <v>4.5169390900133903</v>
      </c>
      <c r="CA86" s="13">
        <f t="shared" si="888"/>
        <v>4.4342958161461405</v>
      </c>
      <c r="CB86" s="13">
        <f t="shared" si="888"/>
        <v>6.7851492557257007</v>
      </c>
      <c r="CC86" s="13">
        <f t="shared" si="888"/>
        <v>7.0784016887816659</v>
      </c>
      <c r="CD86" s="13">
        <f t="shared" si="888"/>
        <v>8.4929645086235581</v>
      </c>
      <c r="CE86" s="13">
        <f t="shared" si="888"/>
        <v>9.1911998983137071</v>
      </c>
      <c r="CF86" s="13">
        <f t="shared" si="888"/>
        <v>11.754247477651738</v>
      </c>
      <c r="CG86" s="13">
        <f t="shared" si="888"/>
        <v>15.554771843961435</v>
      </c>
      <c r="CH86" s="13">
        <f t="shared" si="888"/>
        <v>19.515233122652745</v>
      </c>
      <c r="CI86" s="13">
        <f t="shared" ref="CI86:CJ86" si="889">+CI78/CI69</f>
        <v>22.252009132420106</v>
      </c>
      <c r="CJ86" s="13">
        <f t="shared" si="889"/>
        <v>23.270836399313239</v>
      </c>
      <c r="CK86" s="13">
        <f t="shared" ref="CK86:CL86" si="890">+CK78/CK69</f>
        <v>19.216445242369844</v>
      </c>
      <c r="CL86" s="13">
        <f t="shared" si="890"/>
        <v>22.685326547921953</v>
      </c>
      <c r="CM86" s="60">
        <f t="shared" ref="CM86:CM87" si="891">+CL86</f>
        <v>22.685326547921953</v>
      </c>
      <c r="CN86" s="60">
        <f t="shared" ref="CN86:CN87" si="892">+CM86</f>
        <v>22.685326547921953</v>
      </c>
      <c r="CO86" s="60">
        <f t="shared" ref="CO86:CO87" si="893">+CN86</f>
        <v>22.685326547921953</v>
      </c>
      <c r="CP86" s="60">
        <f t="shared" ref="CP86:CP87" si="894">+CO86</f>
        <v>22.685326547921953</v>
      </c>
      <c r="CQ86" s="60">
        <f t="shared" ref="CQ86:CQ87" si="895">+CP86</f>
        <v>22.685326547921953</v>
      </c>
      <c r="CR86" s="60">
        <f t="shared" ref="CR86:CR87" si="896">+CQ86</f>
        <v>22.685326547921953</v>
      </c>
      <c r="CS86" s="60">
        <f t="shared" ref="CS86:CS87" si="897">+CR86</f>
        <v>22.685326547921953</v>
      </c>
      <c r="CT86" s="60">
        <f t="shared" ref="CT86:CT87" si="898">+CS86</f>
        <v>22.685326547921953</v>
      </c>
      <c r="CU86" s="60">
        <f t="shared" ref="CU86:CU87" si="899">+CT86</f>
        <v>22.685326547921953</v>
      </c>
      <c r="CV86" s="60">
        <f t="shared" ref="CV86:CV87" si="900">+CU86</f>
        <v>22.685326547921953</v>
      </c>
      <c r="CW86" s="60">
        <f t="shared" ref="CW86:CW87" si="901">+CV86</f>
        <v>22.685326547921953</v>
      </c>
      <c r="CX86" s="60">
        <f t="shared" ref="CX86:CX87" si="902">+CW86</f>
        <v>22.685326547921953</v>
      </c>
      <c r="CY86" s="60">
        <f t="shared" ref="CY86:CY87" si="903">+CX86</f>
        <v>22.685326547921953</v>
      </c>
      <c r="CZ86" s="60">
        <f t="shared" ref="CZ86:CZ87" si="904">+CY86</f>
        <v>22.685326547921953</v>
      </c>
      <c r="DA86" s="60">
        <f t="shared" ref="DA86:DA87" si="905">+CZ86</f>
        <v>22.685326547921953</v>
      </c>
      <c r="DB86" s="60">
        <f t="shared" ref="DB86:DB87" si="906">+DA86</f>
        <v>22.685326547921953</v>
      </c>
      <c r="DE86" s="136"/>
      <c r="DF86" s="13">
        <v>23.618999151823619</v>
      </c>
    </row>
    <row r="87" spans="1:110" s="13" customFormat="1" x14ac:dyDescent="0.2">
      <c r="A87" s="13" t="s">
        <v>462</v>
      </c>
      <c r="B87" s="13">
        <f t="shared" ref="B87:D87" si="907">+B79/B69</f>
        <v>1.3884493670886229</v>
      </c>
      <c r="C87" s="13">
        <f t="shared" si="907"/>
        <v>1.1243312527864635</v>
      </c>
      <c r="D87" s="13">
        <f t="shared" si="907"/>
        <v>0.16810507352633119</v>
      </c>
      <c r="E87" s="13">
        <f t="shared" ref="E87:AE87" ca="1" si="908">+E79/E69</f>
        <v>1.7513439834805768</v>
      </c>
      <c r="F87" s="13">
        <f t="shared" ca="1" si="908"/>
        <v>10.532531437944185</v>
      </c>
      <c r="G87" s="13">
        <f t="shared" ca="1" si="908"/>
        <v>4.7721766314966807</v>
      </c>
      <c r="H87" s="13">
        <f t="shared" ca="1" si="908"/>
        <v>2.3424690290495302</v>
      </c>
      <c r="I87" s="13">
        <f t="shared" ca="1" si="908"/>
        <v>3.026413891151619</v>
      </c>
      <c r="J87" s="13">
        <f t="shared" ca="1" si="908"/>
        <v>4.3345378078563712</v>
      </c>
      <c r="K87" s="13">
        <f t="shared" ca="1" si="908"/>
        <v>1.8694903029331607</v>
      </c>
      <c r="L87" s="13">
        <f t="shared" ca="1" si="908"/>
        <v>3.3553366573182841</v>
      </c>
      <c r="M87" s="13">
        <f t="shared" ca="1" si="908"/>
        <v>5.544090991746689</v>
      </c>
      <c r="N87" s="13">
        <f t="shared" ca="1" si="908"/>
        <v>10.630938272688692</v>
      </c>
      <c r="O87" s="13">
        <f t="shared" ca="1" si="908"/>
        <v>7.4603121278970574</v>
      </c>
      <c r="P87" s="13">
        <f t="shared" ca="1" si="908"/>
        <v>10.666923759989919</v>
      </c>
      <c r="Q87" s="13">
        <f t="shared" ca="1" si="908"/>
        <v>5.999139961547959</v>
      </c>
      <c r="R87" s="13">
        <f t="shared" ca="1" si="908"/>
        <v>2.070382381778415</v>
      </c>
      <c r="S87" s="13">
        <f t="shared" ca="1" si="908"/>
        <v>6.6070071760236422</v>
      </c>
      <c r="T87" s="13">
        <f t="shared" ca="1" si="908"/>
        <v>5.0154128918046403</v>
      </c>
      <c r="U87" s="13">
        <f t="shared" ca="1" si="908"/>
        <v>2.7202390131071712</v>
      </c>
      <c r="V87" s="13">
        <f t="shared" ca="1" si="908"/>
        <v>5.8207859358841771</v>
      </c>
      <c r="W87" s="13">
        <f t="shared" ca="1" si="908"/>
        <v>7.3293855662606777</v>
      </c>
      <c r="X87" s="13">
        <f t="shared" ca="1" si="908"/>
        <v>2.433306386418753</v>
      </c>
      <c r="Y87" s="13">
        <f t="shared" ca="1" si="908"/>
        <v>5.2680836133988267</v>
      </c>
      <c r="Z87" s="13">
        <f t="shared" ref="Z87:AA87" ca="1" si="909">+Z79/Z69</f>
        <v>13.843739122469561</v>
      </c>
      <c r="AA87" s="13">
        <f t="shared" ca="1" si="909"/>
        <v>13.843739122469561</v>
      </c>
      <c r="AB87" s="60">
        <f t="shared" ca="1" si="908"/>
        <v>12.612515828934455</v>
      </c>
      <c r="AC87" s="60">
        <f t="shared" ca="1" si="908"/>
        <v>14.189749233427172</v>
      </c>
      <c r="AD87" s="60">
        <f t="shared" ca="1" si="908"/>
        <v>14.288075895076505</v>
      </c>
      <c r="AE87" s="60">
        <f t="shared" ca="1" si="908"/>
        <v>14.357269760485783</v>
      </c>
      <c r="AL87" s="13">
        <f t="shared" ref="AL87:BQ87" si="910">+AL79/AL69</f>
        <v>11.629278752436644</v>
      </c>
      <c r="AM87" s="13">
        <f t="shared" si="910"/>
        <v>11.20091674462113</v>
      </c>
      <c r="AN87" s="13">
        <f t="shared" si="910"/>
        <v>9.2360128617363486</v>
      </c>
      <c r="AO87" s="13">
        <f t="shared" si="910"/>
        <v>9.3675057208237948</v>
      </c>
      <c r="AP87" s="13">
        <f t="shared" si="910"/>
        <v>7.4603956700261245</v>
      </c>
      <c r="AQ87" s="13">
        <f t="shared" si="910"/>
        <v>8.4178985217738607</v>
      </c>
      <c r="AR87" s="13">
        <f t="shared" si="910"/>
        <v>8.5953244988107222</v>
      </c>
      <c r="AS87" s="13">
        <f t="shared" si="910"/>
        <v>8.112341561040683</v>
      </c>
      <c r="AT87" s="13">
        <f t="shared" si="910"/>
        <v>10.219659698590201</v>
      </c>
      <c r="AU87" s="13">
        <f t="shared" si="910"/>
        <v>10.331505016722444</v>
      </c>
      <c r="AV87" s="13">
        <f t="shared" si="910"/>
        <v>12.547509706045506</v>
      </c>
      <c r="AW87" s="13">
        <f t="shared" si="910"/>
        <v>13.039733470015424</v>
      </c>
      <c r="AX87" s="13">
        <f t="shared" si="910"/>
        <v>6.632490163012938</v>
      </c>
      <c r="AY87" s="13">
        <f t="shared" si="910"/>
        <v>5.0545387589762516</v>
      </c>
      <c r="AZ87" s="13">
        <f t="shared" si="910"/>
        <v>4.1778691684873426</v>
      </c>
      <c r="BA87" s="13">
        <f t="shared" si="910"/>
        <v>5.3427013035037412</v>
      </c>
      <c r="BB87" s="13">
        <f t="shared" si="910"/>
        <v>6.4407653260445041</v>
      </c>
      <c r="BC87" s="13">
        <f t="shared" si="910"/>
        <v>6.7212476129853522</v>
      </c>
      <c r="BD87" s="13">
        <f t="shared" si="910"/>
        <v>6.4544329896907158</v>
      </c>
      <c r="BE87" s="13">
        <f t="shared" si="910"/>
        <v>7.434305210918108</v>
      </c>
      <c r="BF87" s="13">
        <f t="shared" si="910"/>
        <v>8.1638441338415948</v>
      </c>
      <c r="BG87" s="13">
        <f t="shared" si="910"/>
        <v>8.0232339524275034</v>
      </c>
      <c r="BH87" s="13">
        <f t="shared" si="910"/>
        <v>6.4887854496463468</v>
      </c>
      <c r="BI87" s="13">
        <f t="shared" si="910"/>
        <v>6.6966396292004662</v>
      </c>
      <c r="BJ87" s="13">
        <f t="shared" si="910"/>
        <v>5.1526560791460545</v>
      </c>
      <c r="BK87" s="13">
        <f t="shared" si="910"/>
        <v>5.1784946236559124</v>
      </c>
      <c r="BL87" s="13">
        <f t="shared" si="910"/>
        <v>4.7559010565814139</v>
      </c>
      <c r="BM87" s="13">
        <f t="shared" si="910"/>
        <v>4.8908512892970686</v>
      </c>
      <c r="BN87" s="13">
        <f t="shared" si="910"/>
        <v>2.7194901723283604</v>
      </c>
      <c r="BO87" s="13">
        <f t="shared" si="910"/>
        <v>3.8238451086956537</v>
      </c>
      <c r="BP87" s="13">
        <f t="shared" si="910"/>
        <v>6.0894756955059641</v>
      </c>
      <c r="BQ87" s="13">
        <f t="shared" si="910"/>
        <v>8.4627914760682845</v>
      </c>
      <c r="BR87" s="13">
        <f t="shared" ref="BR87:CH87" si="911">+BR79/BR69</f>
        <v>7.7535019272351242</v>
      </c>
      <c r="BS87" s="13">
        <f t="shared" si="911"/>
        <v>8.2111381277471267</v>
      </c>
      <c r="BT87" s="13">
        <f t="shared" si="911"/>
        <v>8.6048352218666224</v>
      </c>
      <c r="BU87" s="13">
        <f t="shared" si="911"/>
        <v>7.2394358974358965</v>
      </c>
      <c r="BV87" s="13">
        <f t="shared" si="911"/>
        <v>7.3293855662606759</v>
      </c>
      <c r="BW87" s="13">
        <f t="shared" si="911"/>
        <v>6.4017014488900683</v>
      </c>
      <c r="BX87" s="13">
        <f t="shared" si="911"/>
        <v>4.899816801884322</v>
      </c>
      <c r="BY87" s="13">
        <f t="shared" si="911"/>
        <v>4.3254308671107262</v>
      </c>
      <c r="BZ87" s="13">
        <f t="shared" si="911"/>
        <v>3.3458808074173265</v>
      </c>
      <c r="CA87" s="13">
        <f t="shared" si="911"/>
        <v>3.5023546454527601</v>
      </c>
      <c r="CB87" s="13">
        <f t="shared" si="911"/>
        <v>4.1040701248029077</v>
      </c>
      <c r="CC87" s="13">
        <f t="shared" si="911"/>
        <v>5.8684107358262976</v>
      </c>
      <c r="CD87" s="13">
        <f t="shared" si="911"/>
        <v>6.4253056099272472</v>
      </c>
      <c r="CE87" s="13">
        <f t="shared" si="911"/>
        <v>7.1545208033217556</v>
      </c>
      <c r="CF87" s="13">
        <f t="shared" si="911"/>
        <v>10.201176224580484</v>
      </c>
      <c r="CG87" s="13">
        <f t="shared" si="911"/>
        <v>12.060364185979569</v>
      </c>
      <c r="CH87" s="13">
        <f t="shared" si="911"/>
        <v>13.843739122469545</v>
      </c>
      <c r="CI87" s="13">
        <f t="shared" ref="CI87:CJ87" si="912">+CI79/CI69</f>
        <v>17.534280821917818</v>
      </c>
      <c r="CJ87" s="13">
        <f t="shared" si="912"/>
        <v>18.184032376747627</v>
      </c>
      <c r="CK87" s="13">
        <f t="shared" ref="CK87:CL87" si="913">+CK79/CK69</f>
        <v>16.36315978456015</v>
      </c>
      <c r="CL87" s="13">
        <f t="shared" si="913"/>
        <v>15.536895674300244</v>
      </c>
      <c r="CM87" s="60">
        <f t="shared" si="891"/>
        <v>15.536895674300244</v>
      </c>
      <c r="CN87" s="60">
        <f t="shared" si="892"/>
        <v>15.536895674300244</v>
      </c>
      <c r="CO87" s="60">
        <f t="shared" si="893"/>
        <v>15.536895674300244</v>
      </c>
      <c r="CP87" s="60">
        <f t="shared" si="894"/>
        <v>15.536895674300244</v>
      </c>
      <c r="CQ87" s="60">
        <f t="shared" si="895"/>
        <v>15.536895674300244</v>
      </c>
      <c r="CR87" s="60">
        <f t="shared" si="896"/>
        <v>15.536895674300244</v>
      </c>
      <c r="CS87" s="60">
        <f t="shared" si="897"/>
        <v>15.536895674300244</v>
      </c>
      <c r="CT87" s="60">
        <f t="shared" si="898"/>
        <v>15.536895674300244</v>
      </c>
      <c r="CU87" s="60">
        <f t="shared" si="899"/>
        <v>15.536895674300244</v>
      </c>
      <c r="CV87" s="60">
        <f t="shared" si="900"/>
        <v>15.536895674300244</v>
      </c>
      <c r="CW87" s="60">
        <f t="shared" si="901"/>
        <v>15.536895674300244</v>
      </c>
      <c r="CX87" s="60">
        <f t="shared" si="902"/>
        <v>15.536895674300244</v>
      </c>
      <c r="CY87" s="60">
        <f t="shared" si="903"/>
        <v>15.536895674300244</v>
      </c>
      <c r="CZ87" s="60">
        <f t="shared" si="904"/>
        <v>15.536895674300244</v>
      </c>
      <c r="DA87" s="60">
        <f t="shared" si="905"/>
        <v>15.536895674300244</v>
      </c>
      <c r="DB87" s="60">
        <f t="shared" si="906"/>
        <v>15.536895674300244</v>
      </c>
      <c r="DE87" s="136"/>
      <c r="DF87" s="13">
        <v>15.536895674300281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2.2988185465894233</v>
      </c>
      <c r="C89" s="13">
        <f t="shared" si="914"/>
        <v>0.2587037580124848</v>
      </c>
      <c r="D89" s="13">
        <f t="shared" ca="1" si="914"/>
        <v>3.2822390739356271</v>
      </c>
      <c r="E89" s="13">
        <f t="shared" ca="1" si="914"/>
        <v>23.039912520502902</v>
      </c>
      <c r="F89" s="13">
        <f t="shared" ca="1" si="914"/>
        <v>6.7852286049238026</v>
      </c>
      <c r="G89" s="13">
        <f t="shared" ca="1" si="914"/>
        <v>4.824526529103875</v>
      </c>
      <c r="H89" s="13">
        <f t="shared" ca="1" si="914"/>
        <v>4.4436485456526809</v>
      </c>
      <c r="I89" s="13">
        <f t="shared" ca="1" si="914"/>
        <v>22.830435274467153</v>
      </c>
      <c r="J89" s="13">
        <f t="shared" ca="1" si="914"/>
        <v>6.2718384356467327</v>
      </c>
      <c r="K89" s="13">
        <f t="shared" ca="1" si="914"/>
        <v>3.6489170383201879</v>
      </c>
      <c r="L89" s="13">
        <f t="shared" ca="1" si="914"/>
        <v>10.20536494659104</v>
      </c>
      <c r="M89" s="13">
        <f t="shared" ca="1" si="914"/>
        <v>15.971362663194279</v>
      </c>
      <c r="N89" s="13">
        <f t="shared" ca="1" si="914"/>
        <v>13.078017043482189</v>
      </c>
      <c r="O89" s="13">
        <f t="shared" ca="1" si="914"/>
        <v>14.967905619688029</v>
      </c>
      <c r="P89" s="13">
        <f t="shared" ca="1" si="914"/>
        <v>9.620001720076905</v>
      </c>
      <c r="Q89" s="13">
        <f t="shared" ca="1" si="914"/>
        <v>2.5607361037785656</v>
      </c>
      <c r="R89" s="13">
        <f t="shared" ca="1" si="914"/>
        <v>8.9448712536935471</v>
      </c>
      <c r="S89" s="13">
        <f t="shared" ca="1" si="914"/>
        <v>7.6793710298864886</v>
      </c>
      <c r="T89" s="13">
        <f t="shared" ca="1" si="914"/>
        <v>8.8055512721665412</v>
      </c>
      <c r="U89" s="13">
        <f t="shared" ca="1" si="914"/>
        <v>12.773469963335526</v>
      </c>
      <c r="V89" s="13">
        <f t="shared" ca="1" si="914"/>
        <v>10.051572441374292</v>
      </c>
      <c r="W89" s="13">
        <f t="shared" ca="1" si="914"/>
        <v>3.4978779304769576</v>
      </c>
      <c r="X89" s="13">
        <f t="shared" ca="1" si="914"/>
        <v>7.759279092957124</v>
      </c>
      <c r="Y89" s="13">
        <f t="shared" ca="1" si="914"/>
        <v>23.256709718787242</v>
      </c>
      <c r="Z89" s="13">
        <f t="shared" ref="Z89:AA89" ca="1" si="915">+Z78/AA69</f>
        <v>27.244274809160352</v>
      </c>
      <c r="AA89" s="13">
        <f t="shared" ca="1" si="915"/>
        <v>27.244274809160352</v>
      </c>
      <c r="AB89" s="37">
        <f t="shared" ca="1" si="914"/>
        <v>20.309713371191169</v>
      </c>
      <c r="AC89" s="37">
        <f t="shared" ca="1" si="914"/>
        <v>20.33339550685567</v>
      </c>
      <c r="AD89" s="37">
        <f t="shared" ca="1" si="914"/>
        <v>20.423211498264756</v>
      </c>
      <c r="AE89" s="37"/>
      <c r="AL89" s="13">
        <f t="shared" ref="AL89:BQ89" si="916">+AL78/AP69</f>
        <v>12.246733855916377</v>
      </c>
      <c r="AM89" s="13">
        <f t="shared" si="916"/>
        <v>11.785057930483406</v>
      </c>
      <c r="AN89" s="13">
        <f t="shared" si="916"/>
        <v>9.4053550798504748</v>
      </c>
      <c r="AO89" s="13">
        <f t="shared" si="916"/>
        <v>8.3472781854569611</v>
      </c>
      <c r="AP89" s="13">
        <f t="shared" si="916"/>
        <v>11.226407389402064</v>
      </c>
      <c r="AQ89" s="13">
        <f t="shared" si="916"/>
        <v>15.468494983277644</v>
      </c>
      <c r="AR89" s="13">
        <f t="shared" si="916"/>
        <v>19.145135884636758</v>
      </c>
      <c r="AS89" s="13">
        <f t="shared" si="916"/>
        <v>17.773039466940094</v>
      </c>
      <c r="AT89" s="13">
        <f t="shared" si="916"/>
        <v>8.8049690837549299</v>
      </c>
      <c r="AU89" s="13">
        <f t="shared" si="916"/>
        <v>5.431412262935007</v>
      </c>
      <c r="AV89" s="13">
        <f t="shared" si="916"/>
        <v>4.2552371160519229</v>
      </c>
      <c r="AW89" s="13">
        <f t="shared" si="916"/>
        <v>2.6924988444115727</v>
      </c>
      <c r="AX89" s="13">
        <f t="shared" si="916"/>
        <v>2.6515267473643069</v>
      </c>
      <c r="AY89" s="13">
        <f t="shared" si="916"/>
        <v>2.9218650541056621</v>
      </c>
      <c r="AZ89" s="13">
        <f t="shared" si="916"/>
        <v>5.0816247422680361</v>
      </c>
      <c r="BA89" s="13">
        <f t="shared" si="916"/>
        <v>8.9627791563275352</v>
      </c>
      <c r="BB89" s="13">
        <f t="shared" si="916"/>
        <v>8.9751800084709892</v>
      </c>
      <c r="BC89" s="13">
        <f t="shared" si="916"/>
        <v>8.3071684587813639</v>
      </c>
      <c r="BD89" s="13">
        <f t="shared" si="916"/>
        <v>6.7146621758167759</v>
      </c>
      <c r="BE89" s="13">
        <f t="shared" si="916"/>
        <v>6.6268829663962947</v>
      </c>
      <c r="BF89" s="13">
        <f t="shared" si="916"/>
        <v>7.679770892996614</v>
      </c>
      <c r="BG89" s="13">
        <f t="shared" si="916"/>
        <v>5.9023069403714548</v>
      </c>
      <c r="BH89" s="13">
        <f t="shared" si="916"/>
        <v>7.8943023600276474</v>
      </c>
      <c r="BI89" s="13">
        <f t="shared" si="916"/>
        <v>7.6154503708936776</v>
      </c>
      <c r="BJ89" s="13">
        <f t="shared" si="916"/>
        <v>7.4505081759621223</v>
      </c>
      <c r="BK89" s="13">
        <f t="shared" si="916"/>
        <v>7.5473073122529675</v>
      </c>
      <c r="BL89" s="13">
        <f t="shared" si="916"/>
        <v>10.384546010394379</v>
      </c>
      <c r="BM89" s="13">
        <f t="shared" si="916"/>
        <v>14.171817471828636</v>
      </c>
      <c r="BN89" s="13">
        <f t="shared" si="916"/>
        <v>10.283294161887751</v>
      </c>
      <c r="BO89" s="13">
        <f t="shared" si="916"/>
        <v>10.34203684653512</v>
      </c>
      <c r="BP89" s="13">
        <f t="shared" si="916"/>
        <v>8.4876740766369707</v>
      </c>
      <c r="BQ89" s="13">
        <f t="shared" si="916"/>
        <v>8.7470085470085461</v>
      </c>
      <c r="BR89" s="13">
        <f t="shared" ref="BR89:CL89" si="917">+BR78/BV69</f>
        <v>9.4442101436102472</v>
      </c>
      <c r="BS89" s="13">
        <f t="shared" si="917"/>
        <v>8.1341619034959436</v>
      </c>
      <c r="BT89" s="13">
        <f t="shared" si="917"/>
        <v>6.0394312134694221</v>
      </c>
      <c r="BU89" s="13">
        <f t="shared" si="917"/>
        <v>3.6852922727680033</v>
      </c>
      <c r="BV89" s="13">
        <f t="shared" si="917"/>
        <v>2.9512189576333281</v>
      </c>
      <c r="BW89" s="13">
        <f t="shared" si="917"/>
        <v>3.5319166175604009</v>
      </c>
      <c r="BX89" s="13">
        <f t="shared" si="917"/>
        <v>5.0677463320772871</v>
      </c>
      <c r="BY89" s="13">
        <f t="shared" si="917"/>
        <v>6.3358866103739455</v>
      </c>
      <c r="BZ89" s="13">
        <f t="shared" si="917"/>
        <v>6.603168740997897</v>
      </c>
      <c r="CA89" s="13">
        <f t="shared" si="917"/>
        <v>7.6518939072959951</v>
      </c>
      <c r="CB89" s="13">
        <f t="shared" si="917"/>
        <v>13.272701134403267</v>
      </c>
      <c r="CC89" s="13">
        <f t="shared" si="917"/>
        <v>16.893608751979283</v>
      </c>
      <c r="CD89" s="13">
        <f t="shared" si="917"/>
        <v>21.06476138133187</v>
      </c>
      <c r="CE89" s="13">
        <f t="shared" si="917"/>
        <v>24.763778538812801</v>
      </c>
      <c r="CF89" s="13">
        <f t="shared" si="917"/>
        <v>27.575055187637993</v>
      </c>
      <c r="CG89" s="13">
        <f t="shared" si="917"/>
        <v>25.866906044284868</v>
      </c>
      <c r="CH89" s="13">
        <f t="shared" si="917"/>
        <v>25.814588634435943</v>
      </c>
      <c r="CI89" s="13">
        <f t="shared" si="917"/>
        <v>22.569210474875469</v>
      </c>
      <c r="CJ89" s="13">
        <f t="shared" si="917"/>
        <v>21.405188618739061</v>
      </c>
      <c r="CK89" s="13">
        <f t="shared" si="917"/>
        <v>16.483700514312268</v>
      </c>
      <c r="CL89" s="13">
        <f t="shared" si="917"/>
        <v>17.596949431246703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18.321196867645217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-0.97047529880538808</v>
      </c>
      <c r="AP90" s="175">
        <f t="shared" si="918"/>
        <v>-0.93193151602129876</v>
      </c>
      <c r="AQ90" s="175">
        <f t="shared" si="918"/>
        <v>-0.62501580328324369</v>
      </c>
      <c r="AR90" s="175">
        <f t="shared" si="918"/>
        <v>-0.17046118351739095</v>
      </c>
      <c r="AS90" s="175">
        <f t="shared" si="918"/>
        <v>-4.2315026052532505E-2</v>
      </c>
      <c r="AT90" s="175">
        <f t="shared" si="918"/>
        <v>-0.98725941369886538</v>
      </c>
      <c r="AU90" s="175">
        <f t="shared" si="918"/>
        <v>-0.97320871753811344</v>
      </c>
      <c r="AV90" s="175">
        <f t="shared" si="918"/>
        <v>-0.90056514266875265</v>
      </c>
      <c r="AW90" s="175">
        <f t="shared" si="918"/>
        <v>-0.91467340687115584</v>
      </c>
      <c r="AX90" s="175">
        <f t="shared" si="918"/>
        <v>-0.92185981365990499</v>
      </c>
      <c r="AY90" s="175">
        <f t="shared" si="918"/>
        <v>-0.94445804936833322</v>
      </c>
      <c r="AZ90" s="175">
        <f t="shared" si="918"/>
        <v>-0.80266618840803849</v>
      </c>
      <c r="BA90" s="175">
        <f t="shared" si="918"/>
        <v>0.15338082191391816</v>
      </c>
      <c r="BB90" s="175">
        <f t="shared" si="918"/>
        <v>0.76279552641921722</v>
      </c>
      <c r="BC90" s="175">
        <f t="shared" si="918"/>
        <v>0.15745623663741512</v>
      </c>
      <c r="BD90" s="175">
        <f t="shared" si="918"/>
        <v>-0.93603559953561621</v>
      </c>
      <c r="BE90" s="175">
        <f t="shared" si="918"/>
        <v>-0.90043930367405201</v>
      </c>
      <c r="BF90" s="175">
        <f t="shared" si="918"/>
        <v>-0.57965521694758493</v>
      </c>
      <c r="BG90" s="175">
        <f t="shared" si="918"/>
        <v>-0.32929496552085963</v>
      </c>
      <c r="BH90" s="175">
        <f t="shared" si="918"/>
        <v>-3.9986304575337639E-2</v>
      </c>
      <c r="BI90" s="175">
        <f t="shared" si="918"/>
        <v>-0.72519736976323923</v>
      </c>
      <c r="BJ90" s="175">
        <f t="shared" si="918"/>
        <v>-0.81268248339686033</v>
      </c>
      <c r="BK90" s="175">
        <f t="shared" si="918"/>
        <v>-0.99996401487672182</v>
      </c>
      <c r="BL90" s="175">
        <f t="shared" si="918"/>
        <v>-0.97646593014102412</v>
      </c>
      <c r="BM90" s="175">
        <f t="shared" si="918"/>
        <v>-0.78834730040859824</v>
      </c>
      <c r="BN90" s="175">
        <f t="shared" si="918"/>
        <v>0.3826659307990023</v>
      </c>
      <c r="BO90" s="175">
        <f t="shared" si="918"/>
        <v>-0.17597276315262983</v>
      </c>
      <c r="BP90" s="175">
        <f t="shared" si="918"/>
        <v>-0.88313936031665863</v>
      </c>
      <c r="BQ90" s="175">
        <f t="shared" si="918"/>
        <v>-0.95518999887127187</v>
      </c>
      <c r="BR90" s="175">
        <f t="shared" si="918"/>
        <v>-0.95601578494316819</v>
      </c>
      <c r="BS90" s="175">
        <f t="shared" si="918"/>
        <v>-0.89110297232305546</v>
      </c>
      <c r="BT90" s="175">
        <f t="shared" si="918"/>
        <v>0.10669649262586599</v>
      </c>
      <c r="BU90" s="175">
        <f t="shared" si="918"/>
        <v>0.35254481633354146</v>
      </c>
      <c r="BV90" s="175">
        <f t="shared" si="918"/>
        <v>-4.9079450514160745E-2</v>
      </c>
      <c r="BW90" s="175">
        <f t="shared" si="918"/>
        <v>-0.70730818926138217</v>
      </c>
      <c r="BX90" s="175">
        <f t="shared" si="918"/>
        <v>-0.99130022787647254</v>
      </c>
      <c r="BY90" s="175">
        <f t="shared" si="918"/>
        <v>-0.99782184523736028</v>
      </c>
      <c r="BZ90" s="175">
        <f t="shared" si="918"/>
        <v>-0.99373312502292421</v>
      </c>
      <c r="CA90" s="175">
        <f t="shared" si="918"/>
        <v>-0.99512790300113252</v>
      </c>
      <c r="CB90" s="175">
        <f t="shared" si="918"/>
        <v>-0.75521879482077603</v>
      </c>
      <c r="CC90" s="175">
        <f t="shared" si="918"/>
        <v>-0.88585986667346783</v>
      </c>
      <c r="CD90" s="175">
        <f t="shared" si="918"/>
        <v>-0.93022585367895527</v>
      </c>
      <c r="CE90" s="175">
        <f t="shared" si="918"/>
        <v>-0.98359266680330781</v>
      </c>
      <c r="CF90" s="175">
        <f t="shared" si="918"/>
        <v>-0.96484223369798983</v>
      </c>
      <c r="CG90" s="175">
        <f t="shared" si="918"/>
        <v>-0.98084752298889377</v>
      </c>
      <c r="CH90" s="175">
        <f t="shared" si="918"/>
        <v>-0.98542653110280187</v>
      </c>
      <c r="CI90" s="175">
        <f t="shared" si="918"/>
        <v>-0.98806192447695218</v>
      </c>
      <c r="CJ90" s="175">
        <f>+CORREL(CG69:CJ69,CG86:CJ86)</f>
        <v>-0.99967441727007322</v>
      </c>
      <c r="CK90" s="175">
        <f>+CORREL(CH69:CK69,CH86:CK86)</f>
        <v>-0.5127690825081137</v>
      </c>
      <c r="CL90" s="175">
        <f>+CORREL(CI69:CL69,CI86:CL86)</f>
        <v>-0.14454689595184878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14.17059800664452</v>
      </c>
      <c r="F92" s="162">
        <f t="shared" ca="1" si="919"/>
        <v>14.880797342192693</v>
      </c>
      <c r="G92" s="162">
        <f t="shared" ca="1" si="919"/>
        <v>17.323654485049836</v>
      </c>
      <c r="H92" s="162">
        <f t="shared" ca="1" si="919"/>
        <v>23.435780730897015</v>
      </c>
      <c r="I92" s="162">
        <f t="shared" ca="1" si="919"/>
        <v>30.250647840531563</v>
      </c>
      <c r="J92" s="162">
        <f t="shared" ca="1" si="919"/>
        <v>31.981644518272429</v>
      </c>
      <c r="K92" s="162">
        <f t="shared" ca="1" si="919"/>
        <v>37.306976744186045</v>
      </c>
      <c r="L92" s="162">
        <f t="shared" ca="1" si="919"/>
        <v>47.018737541528239</v>
      </c>
      <c r="M92" s="162">
        <f t="shared" ca="1" si="919"/>
        <v>51.596461794019937</v>
      </c>
      <c r="N92" s="162">
        <f t="shared" ca="1" si="919"/>
        <v>60.341312292358808</v>
      </c>
      <c r="O92" s="162">
        <f t="shared" ca="1" si="919"/>
        <v>63.808787375415292</v>
      </c>
      <c r="P92" s="162">
        <f t="shared" ca="1" si="919"/>
        <v>68.756162790697687</v>
      </c>
      <c r="Q92" s="162">
        <f t="shared" ca="1" si="919"/>
        <v>73.48277408637874</v>
      </c>
      <c r="R92" s="162">
        <f t="shared" ca="1" si="919"/>
        <v>100.49003322259138</v>
      </c>
      <c r="S92" s="162">
        <f t="shared" ca="1" si="919"/>
        <v>120.50996677740865</v>
      </c>
      <c r="T92" s="162">
        <f t="shared" ca="1" si="919"/>
        <v>148.37209302325584</v>
      </c>
      <c r="U92" s="162">
        <f t="shared" ca="1" si="919"/>
        <v>169.3106312292359</v>
      </c>
      <c r="V92" s="162">
        <f t="shared" ca="1" si="919"/>
        <v>189.82225913621264</v>
      </c>
      <c r="W92" s="162">
        <f t="shared" ca="1" si="919"/>
        <v>208.51495016611298</v>
      </c>
      <c r="X92" s="162">
        <f t="shared" ca="1" si="919"/>
        <v>271.65448504983391</v>
      </c>
      <c r="Y92" s="162">
        <f t="shared" ca="1" si="919"/>
        <v>317.49335548172758</v>
      </c>
      <c r="Z92" s="162">
        <f t="shared" ca="1" si="919"/>
        <v>330.29900332225913</v>
      </c>
      <c r="AA92" s="162">
        <f t="shared" ca="1" si="919"/>
        <v>330.29900332225913</v>
      </c>
      <c r="AB92" s="21">
        <f t="shared" ca="1" si="919"/>
        <v>356.8711922754988</v>
      </c>
      <c r="AC92" s="21">
        <f t="shared" ca="1" si="919"/>
        <v>376.61196933653201</v>
      </c>
      <c r="AD92" s="21">
        <f t="shared" ca="1" si="919"/>
        <v>398.63613021946355</v>
      </c>
      <c r="AE92" s="21">
        <f t="shared" ca="1" si="919"/>
        <v>423.09973045274319</v>
      </c>
      <c r="AL92" s="162">
        <f t="shared" ref="AL92:BQ92" si="920">+AL$120/AL$65</f>
        <v>60.340531561461795</v>
      </c>
      <c r="AM92" s="162">
        <f t="shared" si="920"/>
        <v>61.468438538205987</v>
      </c>
      <c r="AN92" s="162">
        <f t="shared" si="920"/>
        <v>62.410299003322272</v>
      </c>
      <c r="AO92" s="162">
        <f t="shared" si="920"/>
        <v>62.759136212624597</v>
      </c>
      <c r="AP92" s="162">
        <f t="shared" si="920"/>
        <v>63.808970099667775</v>
      </c>
      <c r="AQ92" s="162">
        <f t="shared" si="920"/>
        <v>64.644518272425259</v>
      </c>
      <c r="AR92" s="162">
        <f t="shared" si="920"/>
        <v>65.785714285714292</v>
      </c>
      <c r="AS92" s="162">
        <f t="shared" si="920"/>
        <v>66.225913621262464</v>
      </c>
      <c r="AT92" s="162">
        <f t="shared" si="920"/>
        <v>68.755813953488385</v>
      </c>
      <c r="AU92" s="162">
        <f t="shared" si="920"/>
        <v>69.651162790697683</v>
      </c>
      <c r="AV92" s="162">
        <f t="shared" si="920"/>
        <v>67.370431893687709</v>
      </c>
      <c r="AW92" s="162">
        <f t="shared" si="920"/>
        <v>68.056478405315616</v>
      </c>
      <c r="AX92" s="162">
        <f t="shared" si="920"/>
        <v>73.481727574750835</v>
      </c>
      <c r="AY92" s="162">
        <f t="shared" si="920"/>
        <v>77.488372093023258</v>
      </c>
      <c r="AZ92" s="162">
        <f t="shared" si="920"/>
        <v>79.034883720930239</v>
      </c>
      <c r="BA92" s="162">
        <f t="shared" si="920"/>
        <v>84.764119601328929</v>
      </c>
      <c r="BB92" s="162">
        <f t="shared" si="920"/>
        <v>100.49003322259138</v>
      </c>
      <c r="BC92" s="162">
        <f t="shared" si="920"/>
        <v>104.10299003322261</v>
      </c>
      <c r="BD92" s="162">
        <f t="shared" si="920"/>
        <v>103.62458471760799</v>
      </c>
      <c r="BE92" s="162">
        <f t="shared" si="920"/>
        <v>108.76079734219272</v>
      </c>
      <c r="BF92" s="162">
        <f t="shared" si="920"/>
        <v>120.50996677740865</v>
      </c>
      <c r="BG92" s="162">
        <f t="shared" si="920"/>
        <v>124.90531561461795</v>
      </c>
      <c r="BH92" s="162">
        <f t="shared" si="920"/>
        <v>128.98172757475083</v>
      </c>
      <c r="BI92" s="162">
        <f t="shared" si="920"/>
        <v>137.32558139534885</v>
      </c>
      <c r="BJ92" s="162">
        <f t="shared" si="920"/>
        <v>148.37209302325584</v>
      </c>
      <c r="BK92" s="162">
        <f t="shared" si="920"/>
        <v>154.85215946843854</v>
      </c>
      <c r="BL92" s="162">
        <f t="shared" si="920"/>
        <v>157.75747508305651</v>
      </c>
      <c r="BM92" s="162">
        <f t="shared" si="920"/>
        <v>165.37541528239205</v>
      </c>
      <c r="BN92" s="162">
        <f t="shared" si="920"/>
        <v>169.3106312292359</v>
      </c>
      <c r="BO92" s="162">
        <f t="shared" si="920"/>
        <v>172.51661129568106</v>
      </c>
      <c r="BP92" s="162">
        <f t="shared" si="920"/>
        <v>173.07807308970101</v>
      </c>
      <c r="BQ92" s="162">
        <f t="shared" si="920"/>
        <v>173.85049833887047</v>
      </c>
      <c r="BR92" s="162">
        <f t="shared" ref="BR92:DB92" si="921">+BR$120/BR$65</f>
        <v>189.82225913621264</v>
      </c>
      <c r="BS92" s="162">
        <f t="shared" si="921"/>
        <v>193.12126245847176</v>
      </c>
      <c r="BT92" s="162">
        <f t="shared" si="921"/>
        <v>201.15946843853823</v>
      </c>
      <c r="BU92" s="162">
        <f t="shared" si="921"/>
        <v>202.16279069767444</v>
      </c>
      <c r="BV92" s="162">
        <f t="shared" si="921"/>
        <v>208.51495016611298</v>
      </c>
      <c r="BW92" s="162">
        <f t="shared" si="921"/>
        <v>218.53156146179401</v>
      </c>
      <c r="BX92" s="162">
        <f t="shared" si="921"/>
        <v>233.33720930232562</v>
      </c>
      <c r="BY92" s="162">
        <f t="shared" si="921"/>
        <v>251.87043189368774</v>
      </c>
      <c r="BZ92" s="162">
        <f t="shared" si="921"/>
        <v>271.65448504983391</v>
      </c>
      <c r="CA92" s="162">
        <f t="shared" si="921"/>
        <v>283.57308970099666</v>
      </c>
      <c r="CB92" s="162">
        <f t="shared" si="921"/>
        <v>294.21594684385383</v>
      </c>
      <c r="CC92" s="162">
        <f t="shared" si="921"/>
        <v>305.67441860465118</v>
      </c>
      <c r="CD92" s="162">
        <f t="shared" si="921"/>
        <v>317.49335548172758</v>
      </c>
      <c r="CE92" s="162">
        <f t="shared" si="921"/>
        <v>323.63953488372096</v>
      </c>
      <c r="CF92" s="162">
        <f t="shared" si="921"/>
        <v>326.37541528239205</v>
      </c>
      <c r="CG92" s="162">
        <f t="shared" si="921"/>
        <v>329.13787375415285</v>
      </c>
      <c r="CH92" s="162">
        <f t="shared" si="921"/>
        <v>330.29900332225913</v>
      </c>
      <c r="CI92" s="162">
        <f t="shared" si="921"/>
        <v>332.86212624584721</v>
      </c>
      <c r="CJ92" s="162">
        <f t="shared" si="921"/>
        <v>334.89700996677743</v>
      </c>
      <c r="CK92" s="162">
        <f t="shared" si="921"/>
        <v>337.99335548172758</v>
      </c>
      <c r="CL92" s="162">
        <f t="shared" si="921"/>
        <v>339.19767441860466</v>
      </c>
      <c r="CM92" s="21">
        <f t="shared" si="921"/>
        <v>342.39847451598115</v>
      </c>
      <c r="CN92" s="21">
        <f t="shared" si="921"/>
        <v>346.49948803785026</v>
      </c>
      <c r="CO92" s="21">
        <f t="shared" si="921"/>
        <v>351.05005125576201</v>
      </c>
      <c r="CP92" s="21">
        <f t="shared" si="921"/>
        <v>356.8711922754988</v>
      </c>
      <c r="CQ92" s="21">
        <f t="shared" si="921"/>
        <v>360.42760221569256</v>
      </c>
      <c r="CR92" s="21">
        <f t="shared" si="921"/>
        <v>364.94778454906441</v>
      </c>
      <c r="CS92" s="21">
        <f t="shared" si="921"/>
        <v>370.06249361919811</v>
      </c>
      <c r="CT92" s="21">
        <f t="shared" si="921"/>
        <v>376.61196933653201</v>
      </c>
      <c r="CU92" s="21">
        <f t="shared" si="921"/>
        <v>380.68151192953729</v>
      </c>
      <c r="CV92" s="21">
        <f t="shared" si="921"/>
        <v>385.75841214687847</v>
      </c>
      <c r="CW92" s="21">
        <f t="shared" si="921"/>
        <v>391.46863659275226</v>
      </c>
      <c r="CX92" s="21">
        <f t="shared" si="921"/>
        <v>398.63613021946355</v>
      </c>
      <c r="CY92" s="21">
        <f t="shared" si="921"/>
        <v>403.2877336114434</v>
      </c>
      <c r="CZ92" s="21">
        <f t="shared" si="921"/>
        <v>408.96876269820302</v>
      </c>
      <c r="DA92" s="21">
        <f t="shared" si="921"/>
        <v>415.29853863828276</v>
      </c>
      <c r="DB92" s="21">
        <f t="shared" si="921"/>
        <v>423.09973045274319</v>
      </c>
      <c r="DE92" s="22"/>
      <c r="DF92" s="162">
        <v>339.19767441860466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0.89057638880748347</v>
      </c>
      <c r="F94" s="162">
        <f t="shared" ca="1" si="922"/>
        <v>0.95492194895425875</v>
      </c>
      <c r="G94" s="162">
        <f t="shared" ca="1" si="922"/>
        <v>1.4483087284875402</v>
      </c>
      <c r="H94" s="162">
        <f t="shared" ca="1" si="922"/>
        <v>1.0104207865702128</v>
      </c>
      <c r="I94" s="162">
        <f t="shared" ca="1" si="922"/>
        <v>1.1768343007947442</v>
      </c>
      <c r="J94" s="162">
        <f t="shared" ca="1" si="922"/>
        <v>0.47527262055944663</v>
      </c>
      <c r="K94" s="162">
        <f t="shared" ca="1" si="922"/>
        <v>0.98453434733823708</v>
      </c>
      <c r="L94" s="162">
        <f t="shared" ca="1" si="922"/>
        <v>1.0466040258213309</v>
      </c>
      <c r="M94" s="162">
        <f t="shared" ca="1" si="922"/>
        <v>0.729895010055996</v>
      </c>
      <c r="N94" s="162">
        <f t="shared" ca="1" si="922"/>
        <v>0.72471078832565683</v>
      </c>
      <c r="O94" s="162">
        <f t="shared" ca="1" si="922"/>
        <v>0.57045434488266822</v>
      </c>
      <c r="P94" s="162">
        <f t="shared" ca="1" si="922"/>
        <v>0.53929711163312199</v>
      </c>
      <c r="Q94" s="162">
        <f t="shared" ca="1" si="922"/>
        <v>0.63552309477462454</v>
      </c>
      <c r="R94" s="162">
        <f t="shared" ca="1" si="922"/>
        <v>1.5579654516902222</v>
      </c>
      <c r="S94" s="162">
        <f t="shared" ca="1" si="922"/>
        <v>1.4435320550815334</v>
      </c>
      <c r="T94" s="162">
        <f t="shared" ca="1" si="922"/>
        <v>1.2563009404388712</v>
      </c>
      <c r="U94" s="162">
        <f t="shared" ca="1" si="922"/>
        <v>0.61396026490066224</v>
      </c>
      <c r="V94" s="162">
        <f t="shared" ca="1" si="922"/>
        <v>0.84947887952534717</v>
      </c>
      <c r="W94" s="162">
        <f t="shared" ca="1" si="922"/>
        <v>0.83878877682711139</v>
      </c>
      <c r="X94" s="162">
        <f t="shared" ca="1" si="922"/>
        <v>0.86948684081792382</v>
      </c>
      <c r="Y94" s="162">
        <f t="shared" ca="1" si="922"/>
        <v>0.9275784671246422</v>
      </c>
      <c r="Z94" s="162">
        <f t="shared" ca="1" si="922"/>
        <v>0.78792245021122509</v>
      </c>
      <c r="AA94" s="162">
        <f t="shared" ref="AA94" ca="1" si="923">+AA77/AA$92</f>
        <v>0.78792245021122509</v>
      </c>
      <c r="AB94" s="21">
        <f t="shared" ca="1" si="922"/>
        <v>0.68792327684011534</v>
      </c>
      <c r="AC94" s="21">
        <f t="shared" ca="1" si="922"/>
        <v>0.65186457146460663</v>
      </c>
      <c r="AD94" s="21">
        <f t="shared" ca="1" si="922"/>
        <v>0.61584984749085192</v>
      </c>
      <c r="AE94" s="21">
        <f t="shared" ca="1" si="922"/>
        <v>0.58024144741784556</v>
      </c>
      <c r="AL94" s="162">
        <f t="shared" ref="AL94:CI96" si="924">+AL77/AL$92</f>
        <v>0.72472016517549886</v>
      </c>
      <c r="AM94" s="162">
        <f t="shared" si="924"/>
        <v>0.68978488812020311</v>
      </c>
      <c r="AN94" s="162">
        <f t="shared" si="924"/>
        <v>0.58003247185329099</v>
      </c>
      <c r="AO94" s="162">
        <f t="shared" si="924"/>
        <v>0.58955559672851421</v>
      </c>
      <c r="AP94" s="162">
        <f t="shared" si="924"/>
        <v>0.57045271132168796</v>
      </c>
      <c r="AQ94" s="162">
        <f t="shared" si="924"/>
        <v>0.77670932264364256</v>
      </c>
      <c r="AR94" s="162">
        <f t="shared" si="924"/>
        <v>0.70228013029315961</v>
      </c>
      <c r="AS94" s="162">
        <f t="shared" si="924"/>
        <v>0.68809922745058694</v>
      </c>
      <c r="AT94" s="162">
        <f t="shared" si="924"/>
        <v>0.53929984779299833</v>
      </c>
      <c r="AU94" s="162">
        <f t="shared" si="924"/>
        <v>0.55562604340567612</v>
      </c>
      <c r="AV94" s="162">
        <f t="shared" si="924"/>
        <v>0.68576078112286409</v>
      </c>
      <c r="AW94" s="162">
        <f t="shared" si="924"/>
        <v>0.70500268489138385</v>
      </c>
      <c r="AX94" s="162">
        <f t="shared" si="924"/>
        <v>0.63553214576363148</v>
      </c>
      <c r="AY94" s="162">
        <f t="shared" si="924"/>
        <v>0.75972689075630251</v>
      </c>
      <c r="AZ94" s="162">
        <f t="shared" si="924"/>
        <v>1.208959835221421</v>
      </c>
      <c r="BA94" s="162">
        <f t="shared" si="924"/>
        <v>1.6298169632358701</v>
      </c>
      <c r="BB94" s="162">
        <f t="shared" si="924"/>
        <v>1.5579654516902222</v>
      </c>
      <c r="BC94" s="162">
        <f t="shared" si="924"/>
        <v>1.4504866762406252</v>
      </c>
      <c r="BD94" s="162">
        <f t="shared" si="924"/>
        <v>1.409221570324773</v>
      </c>
      <c r="BE94" s="162">
        <f t="shared" si="924"/>
        <v>1.6478363930720588</v>
      </c>
      <c r="BF94" s="162">
        <f t="shared" si="924"/>
        <v>1.4435320550815334</v>
      </c>
      <c r="BG94" s="162">
        <f t="shared" si="924"/>
        <v>1.4457351083212533</v>
      </c>
      <c r="BH94" s="162">
        <f t="shared" si="924"/>
        <v>1.6493033858358983</v>
      </c>
      <c r="BI94" s="162">
        <f t="shared" si="924"/>
        <v>1.5571024555461472</v>
      </c>
      <c r="BJ94" s="162">
        <f t="shared" si="924"/>
        <v>1.2563009404388712</v>
      </c>
      <c r="BK94" s="162">
        <f t="shared" si="924"/>
        <v>1.1806745261260876</v>
      </c>
      <c r="BL94" s="162">
        <f t="shared" si="924"/>
        <v>1.3146762135411181</v>
      </c>
      <c r="BM94" s="162">
        <f t="shared" si="924"/>
        <v>1.0243360520711959</v>
      </c>
      <c r="BN94" s="162">
        <f t="shared" si="924"/>
        <v>0.61396026490066224</v>
      </c>
      <c r="BO94" s="162">
        <f t="shared" si="924"/>
        <v>0.91817245197631314</v>
      </c>
      <c r="BP94" s="162">
        <f t="shared" si="924"/>
        <v>0.78692810457516327</v>
      </c>
      <c r="BQ94" s="162">
        <f t="shared" si="924"/>
        <v>0.87316401995069648</v>
      </c>
      <c r="BR94" s="162">
        <f t="shared" si="924"/>
        <v>0.84947887952534717</v>
      </c>
      <c r="BS94" s="162">
        <f t="shared" si="924"/>
        <v>1.0268159884396046</v>
      </c>
      <c r="BT94" s="162">
        <f t="shared" si="924"/>
        <v>0.91892269071330646</v>
      </c>
      <c r="BU94" s="162">
        <f t="shared" si="924"/>
        <v>0.73975037386402853</v>
      </c>
      <c r="BV94" s="162">
        <f t="shared" si="924"/>
        <v>0.83878877682711139</v>
      </c>
      <c r="BW94" s="162">
        <f t="shared" si="924"/>
        <v>0.85937243455258605</v>
      </c>
      <c r="BX94" s="162">
        <f t="shared" si="924"/>
        <v>1.1708376937260176</v>
      </c>
      <c r="BY94" s="162">
        <f t="shared" si="924"/>
        <v>1.1089034862094891</v>
      </c>
      <c r="BZ94" s="162">
        <f t="shared" si="924"/>
        <v>0.86948684081792382</v>
      </c>
      <c r="CA94" s="162">
        <f t="shared" si="924"/>
        <v>0.99092618519017528</v>
      </c>
      <c r="CB94" s="162">
        <f t="shared" si="924"/>
        <v>1.3089025395499045</v>
      </c>
      <c r="CC94" s="162">
        <f t="shared" si="924"/>
        <v>1.1535149117468046</v>
      </c>
      <c r="CD94" s="162">
        <f t="shared" si="924"/>
        <v>0.9275784671246422</v>
      </c>
      <c r="CE94" s="162">
        <f t="shared" si="924"/>
        <v>1.024133223152373</v>
      </c>
      <c r="CF94" s="162">
        <f t="shared" si="924"/>
        <v>1.0460346705483563</v>
      </c>
      <c r="CG94" s="162">
        <f t="shared" si="924"/>
        <v>0.93076496030604472</v>
      </c>
      <c r="CH94" s="162">
        <f t="shared" si="924"/>
        <v>0.78792245021122509</v>
      </c>
      <c r="CI94" s="162">
        <f t="shared" si="924"/>
        <v>0.9017246972048526</v>
      </c>
      <c r="CJ94" s="162">
        <f>+CJ77/CJ$92</f>
        <v>0.75127574302607036</v>
      </c>
      <c r="CK94" s="162">
        <f>+CK77/CK$92</f>
        <v>0.69661132735708109</v>
      </c>
      <c r="CL94" s="162">
        <f>+CL77/CL$92</f>
        <v>0.7237667546535943</v>
      </c>
      <c r="CM94" s="21">
        <f t="shared" ref="CM94:DB94" si="925">+CM77/CM$92</f>
        <v>0.7170008579829158</v>
      </c>
      <c r="CN94" s="21">
        <f t="shared" si="925"/>
        <v>0.70851475536143516</v>
      </c>
      <c r="CO94" s="21">
        <f t="shared" si="925"/>
        <v>0.69933047758234856</v>
      </c>
      <c r="CP94" s="21">
        <f t="shared" si="925"/>
        <v>0.68792327684011534</v>
      </c>
      <c r="CQ94" s="21">
        <f t="shared" si="925"/>
        <v>0.68113540275720663</v>
      </c>
      <c r="CR94" s="21">
        <f t="shared" si="925"/>
        <v>0.67269897337051632</v>
      </c>
      <c r="CS94" s="21">
        <f t="shared" si="925"/>
        <v>0.66340146389605359</v>
      </c>
      <c r="CT94" s="21">
        <f t="shared" si="925"/>
        <v>0.65186457146460663</v>
      </c>
      <c r="CU94" s="21">
        <f t="shared" si="925"/>
        <v>0.6448960411963508</v>
      </c>
      <c r="CV94" s="21">
        <f t="shared" si="925"/>
        <v>0.63640867514387545</v>
      </c>
      <c r="CW94" s="21">
        <f t="shared" si="925"/>
        <v>0.62712559079259134</v>
      </c>
      <c r="CX94" s="21">
        <f t="shared" si="925"/>
        <v>0.61584984749085192</v>
      </c>
      <c r="CY94" s="21">
        <f t="shared" si="925"/>
        <v>0.6087465091029336</v>
      </c>
      <c r="CZ94" s="21">
        <f t="shared" si="925"/>
        <v>0.60029034584522978</v>
      </c>
      <c r="DA94" s="21">
        <f t="shared" si="925"/>
        <v>0.59114101582193601</v>
      </c>
      <c r="DB94" s="21">
        <f t="shared" si="925"/>
        <v>0.58024144741784556</v>
      </c>
      <c r="DE94" s="22"/>
      <c r="DF94" s="162">
        <v>0.7237667546535943</v>
      </c>
    </row>
    <row r="95" spans="1:110" s="162" customFormat="1" x14ac:dyDescent="0.2">
      <c r="A95" s="49" t="s">
        <v>503</v>
      </c>
      <c r="E95" s="162">
        <f t="shared" ca="1" si="922"/>
        <v>1.7783300315331683</v>
      </c>
      <c r="F95" s="162">
        <f t="shared" ca="1" si="922"/>
        <v>1.3567821357766703</v>
      </c>
      <c r="G95" s="162">
        <f t="shared" ca="1" si="922"/>
        <v>1.9153002635000631</v>
      </c>
      <c r="H95" s="162">
        <f t="shared" ca="1" si="922"/>
        <v>1.4422391294794421</v>
      </c>
      <c r="I95" s="162">
        <f t="shared" ca="1" si="922"/>
        <v>1.8839265955700133</v>
      </c>
      <c r="J95" s="162">
        <f t="shared" ca="1" si="922"/>
        <v>1.3007461194258541</v>
      </c>
      <c r="K95" s="162">
        <f t="shared" ca="1" si="922"/>
        <v>1.0561027303328763</v>
      </c>
      <c r="L95" s="162">
        <f t="shared" ca="1" si="922"/>
        <v>1.2292971488005064</v>
      </c>
      <c r="M95" s="162">
        <f t="shared" ca="1" si="922"/>
        <v>1.0543358615784968</v>
      </c>
      <c r="N95" s="162">
        <f t="shared" ca="1" si="922"/>
        <v>0.96451332907736631</v>
      </c>
      <c r="O95" s="162">
        <f t="shared" ca="1" si="922"/>
        <v>0.76791931041897643</v>
      </c>
      <c r="P95" s="162">
        <f t="shared" ca="1" si="922"/>
        <v>0.83774308603203418</v>
      </c>
      <c r="Q95" s="162">
        <f t="shared" ca="1" si="922"/>
        <v>0.76752682109826176</v>
      </c>
      <c r="R95" s="162">
        <f t="shared" ca="1" si="922"/>
        <v>1.7514174725183898</v>
      </c>
      <c r="S95" s="162">
        <f t="shared" ca="1" si="922"/>
        <v>2.0330268653424675</v>
      </c>
      <c r="T95" s="162">
        <f t="shared" ca="1" si="922"/>
        <v>1.7900940438871471</v>
      </c>
      <c r="U95" s="162">
        <f t="shared" ca="1" si="922"/>
        <v>1.3330527348540593</v>
      </c>
      <c r="V95" s="162">
        <f t="shared" ca="1" si="922"/>
        <v>0.9677474118995737</v>
      </c>
      <c r="W95" s="162">
        <f t="shared" ca="1" si="922"/>
        <v>1.103038414352405</v>
      </c>
      <c r="X95" s="162">
        <f t="shared" ca="1" si="922"/>
        <v>1.2847201839350355</v>
      </c>
      <c r="Y95" s="162">
        <f t="shared" ca="1" si="922"/>
        <v>1.3283742564000607</v>
      </c>
      <c r="Z95" s="162">
        <f t="shared" ca="1" si="922"/>
        <v>1.1307936028968015</v>
      </c>
      <c r="AA95" s="162">
        <f t="shared" ref="AA95" ca="1" si="926">+AA78/AA$92</f>
        <v>1.1307936028968015</v>
      </c>
      <c r="AB95" s="21">
        <f t="shared" ca="1" si="922"/>
        <v>1.1234572375476581</v>
      </c>
      <c r="AC95" s="21">
        <f t="shared" ca="1" si="922"/>
        <v>1.1890911877500605</v>
      </c>
      <c r="AD95" s="21">
        <f t="shared" ca="1" si="922"/>
        <v>1.2533366739693386</v>
      </c>
      <c r="AE95" s="21">
        <f t="shared" ca="1" si="922"/>
        <v>1.3116641772281969</v>
      </c>
      <c r="AL95" s="162">
        <f t="shared" si="924"/>
        <v>0.90320715760495529</v>
      </c>
      <c r="AM95" s="162">
        <f t="shared" si="924"/>
        <v>0.79715706410117815</v>
      </c>
      <c r="AN95" s="162">
        <f t="shared" si="924"/>
        <v>0.73673737723243971</v>
      </c>
      <c r="AO95" s="162">
        <f t="shared" si="924"/>
        <v>0.66237367989200913</v>
      </c>
      <c r="AP95" s="162">
        <f t="shared" si="924"/>
        <v>0.60116939577747119</v>
      </c>
      <c r="AQ95" s="162">
        <f t="shared" si="924"/>
        <v>0.83193442285949215</v>
      </c>
      <c r="AR95" s="162">
        <f t="shared" si="924"/>
        <v>0.87161780673181322</v>
      </c>
      <c r="AS95" s="162">
        <f t="shared" si="924"/>
        <v>0.86975017557941203</v>
      </c>
      <c r="AT95" s="162">
        <f t="shared" si="924"/>
        <v>0.75688144765770327</v>
      </c>
      <c r="AU95" s="162">
        <f t="shared" si="924"/>
        <v>0.70350584307178621</v>
      </c>
      <c r="AV95" s="162">
        <f t="shared" si="924"/>
        <v>0.81638188228912389</v>
      </c>
      <c r="AW95" s="162">
        <f t="shared" si="924"/>
        <v>0.7108801562118624</v>
      </c>
      <c r="AX95" s="162">
        <f t="shared" si="924"/>
        <v>0.76753775205714792</v>
      </c>
      <c r="AY95" s="162">
        <f t="shared" si="924"/>
        <v>0.78721488595438172</v>
      </c>
      <c r="AZ95" s="162">
        <f t="shared" si="924"/>
        <v>1.294997793144034</v>
      </c>
      <c r="BA95" s="162">
        <f t="shared" si="924"/>
        <v>1.9819706827624044</v>
      </c>
      <c r="BB95" s="162">
        <f t="shared" si="924"/>
        <v>1.7514174725183898</v>
      </c>
      <c r="BC95" s="162">
        <f t="shared" si="924"/>
        <v>1.6272347215573637</v>
      </c>
      <c r="BD95" s="162">
        <f t="shared" si="924"/>
        <v>1.597883363790837</v>
      </c>
      <c r="BE95" s="162">
        <f t="shared" si="924"/>
        <v>1.7469529889727216</v>
      </c>
      <c r="BF95" s="162">
        <f t="shared" si="924"/>
        <v>2.0330268653424675</v>
      </c>
      <c r="BG95" s="162">
        <f t="shared" si="924"/>
        <v>1.6060165174949794</v>
      </c>
      <c r="BH95" s="162">
        <f t="shared" si="924"/>
        <v>2.0592064084897035</v>
      </c>
      <c r="BI95" s="162">
        <f t="shared" si="924"/>
        <v>1.8255156646909396</v>
      </c>
      <c r="BJ95" s="162">
        <f t="shared" si="924"/>
        <v>1.515042319749216</v>
      </c>
      <c r="BK95" s="162">
        <f t="shared" si="924"/>
        <v>1.3109277952392702</v>
      </c>
      <c r="BL95" s="162">
        <f t="shared" si="924"/>
        <v>1.4306770559123931</v>
      </c>
      <c r="BM95" s="162">
        <f t="shared" si="924"/>
        <v>1.2758849290851377</v>
      </c>
      <c r="BN95" s="162">
        <f t="shared" si="924"/>
        <v>1.073175374049546</v>
      </c>
      <c r="BO95" s="162">
        <f t="shared" si="924"/>
        <v>1.0648249963891965</v>
      </c>
      <c r="BP95" s="162">
        <f t="shared" si="924"/>
        <v>0.94177152015970356</v>
      </c>
      <c r="BQ95" s="162">
        <f t="shared" si="924"/>
        <v>0.97785166924649791</v>
      </c>
      <c r="BR95" s="162">
        <f t="shared" si="924"/>
        <v>0.90927165647178243</v>
      </c>
      <c r="BS95" s="162">
        <f t="shared" si="924"/>
        <v>1.0527064571345015</v>
      </c>
      <c r="BT95" s="162">
        <f t="shared" si="924"/>
        <v>1.1433714842524236</v>
      </c>
      <c r="BU95" s="162">
        <f t="shared" si="924"/>
        <v>1.0137869550212812</v>
      </c>
      <c r="BV95" s="162">
        <f t="shared" si="924"/>
        <v>0.93062871436993122</v>
      </c>
      <c r="BW95" s="162">
        <f t="shared" si="924"/>
        <v>1.0934347350177871</v>
      </c>
      <c r="BX95" s="162">
        <f t="shared" si="924"/>
        <v>1.3499775751233367</v>
      </c>
      <c r="BY95" s="162">
        <f t="shared" si="924"/>
        <v>1.3856330708453695</v>
      </c>
      <c r="BZ95" s="162">
        <f t="shared" si="924"/>
        <v>1.093300557675374</v>
      </c>
      <c r="CA95" s="162">
        <f t="shared" si="924"/>
        <v>1.0579283115909344</v>
      </c>
      <c r="CB95" s="162">
        <f t="shared" si="924"/>
        <v>1.4334709064013822</v>
      </c>
      <c r="CC95" s="162">
        <f t="shared" si="924"/>
        <v>1.2755401704199634</v>
      </c>
      <c r="CD95" s="162">
        <f t="shared" si="924"/>
        <v>1.2031747858798416</v>
      </c>
      <c r="CE95" s="162">
        <f t="shared" si="924"/>
        <v>1.1134301009592928</v>
      </c>
      <c r="CF95" s="162">
        <f t="shared" si="924"/>
        <v>1.1443876668125692</v>
      </c>
      <c r="CG95" s="162">
        <f t="shared" si="924"/>
        <v>1.090728319731908</v>
      </c>
      <c r="CH95" s="162">
        <f t="shared" si="924"/>
        <v>1.0714534298933815</v>
      </c>
      <c r="CI95" s="162">
        <f t="shared" si="924"/>
        <v>0.9727751356152966</v>
      </c>
      <c r="CJ95" s="162">
        <f t="shared" ref="CJ95:CK96" si="927">+CJ78/CJ$92</f>
        <v>0.94118487361612624</v>
      </c>
      <c r="CK95" s="162">
        <f t="shared" si="927"/>
        <v>0.78906876621844768</v>
      </c>
      <c r="CL95" s="162">
        <f t="shared" ref="CL95" si="928">+CL78/CL$92</f>
        <v>0.91686949367522541</v>
      </c>
      <c r="CM95" s="94">
        <f t="shared" ref="CM95:DB95" si="929">+CL95</f>
        <v>0.91686949367522541</v>
      </c>
      <c r="CN95" s="94">
        <f t="shared" si="929"/>
        <v>0.91686949367522541</v>
      </c>
      <c r="CO95" s="94">
        <f t="shared" si="929"/>
        <v>0.91686949367522541</v>
      </c>
      <c r="CP95" s="94">
        <f t="shared" si="929"/>
        <v>0.91686949367522541</v>
      </c>
      <c r="CQ95" s="94">
        <f t="shared" si="929"/>
        <v>0.91686949367522541</v>
      </c>
      <c r="CR95" s="94">
        <f t="shared" si="929"/>
        <v>0.91686949367522541</v>
      </c>
      <c r="CS95" s="94">
        <f t="shared" si="929"/>
        <v>0.91686949367522541</v>
      </c>
      <c r="CT95" s="94">
        <f t="shared" si="929"/>
        <v>0.91686949367522541</v>
      </c>
      <c r="CU95" s="94">
        <f t="shared" si="929"/>
        <v>0.91686949367522541</v>
      </c>
      <c r="CV95" s="94">
        <f t="shared" si="929"/>
        <v>0.91686949367522541</v>
      </c>
      <c r="CW95" s="94">
        <f t="shared" si="929"/>
        <v>0.91686949367522541</v>
      </c>
      <c r="CX95" s="94">
        <f t="shared" si="929"/>
        <v>0.91686949367522541</v>
      </c>
      <c r="CY95" s="94">
        <f t="shared" si="929"/>
        <v>0.91686949367522541</v>
      </c>
      <c r="CZ95" s="94">
        <f t="shared" si="929"/>
        <v>0.91686949367522541</v>
      </c>
      <c r="DA95" s="94">
        <f t="shared" si="929"/>
        <v>0.91686949367522541</v>
      </c>
      <c r="DB95" s="94">
        <f t="shared" si="929"/>
        <v>0.91686949367522541</v>
      </c>
      <c r="DC95" s="94"/>
      <c r="DE95" s="22"/>
      <c r="DF95" s="162">
        <v>0.95460560145349838</v>
      </c>
    </row>
    <row r="96" spans="1:110" s="162" customFormat="1" x14ac:dyDescent="0.2">
      <c r="A96" s="49" t="s">
        <v>504</v>
      </c>
      <c r="E96" s="162">
        <f t="shared" ca="1" si="922"/>
        <v>0.40365268969721119</v>
      </c>
      <c r="F96" s="162">
        <f t="shared" ca="1" si="922"/>
        <v>0.77415206558431104</v>
      </c>
      <c r="G96" s="162">
        <f t="shared" ca="1" si="922"/>
        <v>0.81968847925560262</v>
      </c>
      <c r="H96" s="162">
        <f t="shared" ca="1" si="922"/>
        <v>0.68741042532289398</v>
      </c>
      <c r="I96" s="162">
        <f t="shared" ca="1" si="922"/>
        <v>0.76097543832289349</v>
      </c>
      <c r="J96" s="162">
        <f t="shared" ca="1" si="922"/>
        <v>0.33831906279297458</v>
      </c>
      <c r="K96" s="162">
        <f t="shared" ca="1" si="922"/>
        <v>0.33237750903877322</v>
      </c>
      <c r="L96" s="162">
        <f t="shared" ca="1" si="922"/>
        <v>0.77054387026024818</v>
      </c>
      <c r="M96" s="162">
        <f t="shared" ca="1" si="922"/>
        <v>0.60856886127876464</v>
      </c>
      <c r="N96" s="162">
        <f t="shared" ca="1" si="922"/>
        <v>0.60008638566823769</v>
      </c>
      <c r="O96" s="162">
        <f t="shared" ca="1" si="922"/>
        <v>0.52030451236551056</v>
      </c>
      <c r="P96" s="162">
        <f t="shared" ca="1" si="922"/>
        <v>0.5078817459069207</v>
      </c>
      <c r="Q96" s="162">
        <f t="shared" ca="1" si="922"/>
        <v>0.48882204634485044</v>
      </c>
      <c r="R96" s="162">
        <f t="shared" ca="1" si="922"/>
        <v>0.45377634515249188</v>
      </c>
      <c r="S96" s="162">
        <f t="shared" ca="1" si="922"/>
        <v>1.0787489489572277</v>
      </c>
      <c r="T96" s="162">
        <f t="shared" ca="1" si="922"/>
        <v>1.0784373040752349</v>
      </c>
      <c r="U96" s="162">
        <f t="shared" ca="1" si="922"/>
        <v>0.48461221486387046</v>
      </c>
      <c r="V96" s="162">
        <f t="shared" ca="1" si="922"/>
        <v>0.54182265277012065</v>
      </c>
      <c r="W96" s="162">
        <f t="shared" ca="1" si="922"/>
        <v>0.64239998088045491</v>
      </c>
      <c r="X96" s="162">
        <f t="shared" ca="1" si="922"/>
        <v>0.58898346541434299</v>
      </c>
      <c r="Y96" s="162">
        <f t="shared" ca="1" si="922"/>
        <v>0.74631483118907971</v>
      </c>
      <c r="Z96" s="162">
        <f t="shared" ca="1" si="922"/>
        <v>0.76006889961778323</v>
      </c>
      <c r="AA96" s="162">
        <f t="shared" ref="AA96" ca="1" si="930">+AA79/AA$92</f>
        <v>0.76006889961778323</v>
      </c>
      <c r="AB96" s="21">
        <f t="shared" ca="1" si="922"/>
        <v>0.62461618799130081</v>
      </c>
      <c r="AC96" s="21">
        <f t="shared" ca="1" si="922"/>
        <v>0.74378059906733174</v>
      </c>
      <c r="AD96" s="21">
        <f t="shared" ca="1" si="922"/>
        <v>0.78939879846680361</v>
      </c>
      <c r="AE96" s="21">
        <f t="shared" ca="1" si="922"/>
        <v>0.83013644912049733</v>
      </c>
      <c r="AL96" s="162">
        <f t="shared" si="924"/>
        <v>0.65693819683413623</v>
      </c>
      <c r="AM96" s="162">
        <f t="shared" si="924"/>
        <v>0.64716138795805855</v>
      </c>
      <c r="AN96" s="162">
        <f t="shared" si="924"/>
        <v>0.53516808176519115</v>
      </c>
      <c r="AO96" s="162">
        <f t="shared" si="924"/>
        <v>0.54175379158836445</v>
      </c>
      <c r="AP96" s="162">
        <f t="shared" si="924"/>
        <v>0.52030302241428683</v>
      </c>
      <c r="AQ96" s="162">
        <f t="shared" si="924"/>
        <v>0.54142255113577953</v>
      </c>
      <c r="AR96" s="162">
        <f t="shared" si="924"/>
        <v>0.63874049945711187</v>
      </c>
      <c r="AS96" s="162">
        <f t="shared" si="924"/>
        <v>0.61003310926055976</v>
      </c>
      <c r="AT96" s="162">
        <f t="shared" si="924"/>
        <v>0.5078843226788432</v>
      </c>
      <c r="AU96" s="162">
        <f t="shared" si="924"/>
        <v>0.51571285475792983</v>
      </c>
      <c r="AV96" s="162">
        <f t="shared" si="924"/>
        <v>0.55781147520773233</v>
      </c>
      <c r="AW96" s="162">
        <f t="shared" si="924"/>
        <v>0.62095484500854281</v>
      </c>
      <c r="AX96" s="162">
        <f t="shared" si="924"/>
        <v>0.53346595533050001</v>
      </c>
      <c r="AY96" s="162">
        <f t="shared" si="924"/>
        <v>0.58847539015606243</v>
      </c>
      <c r="AZ96" s="162">
        <f t="shared" si="924"/>
        <v>0.68324260703251427</v>
      </c>
      <c r="BA96" s="162">
        <f t="shared" si="924"/>
        <v>1.1325546758642311</v>
      </c>
      <c r="BB96" s="162">
        <f t="shared" si="924"/>
        <v>1.3633192825853373</v>
      </c>
      <c r="BC96" s="162">
        <f t="shared" si="924"/>
        <v>1.3478959629806921</v>
      </c>
      <c r="BD96" s="162">
        <f t="shared" si="924"/>
        <v>1.2545285499022152</v>
      </c>
      <c r="BE96" s="162">
        <f t="shared" si="924"/>
        <v>1.2812521000702566</v>
      </c>
      <c r="BF96" s="162">
        <f t="shared" si="924"/>
        <v>1.3284378402966353</v>
      </c>
      <c r="BG96" s="162">
        <f t="shared" si="924"/>
        <v>1.3098721955501178</v>
      </c>
      <c r="BH96" s="162">
        <f t="shared" si="924"/>
        <v>1.2405633186085745</v>
      </c>
      <c r="BI96" s="162">
        <f t="shared" si="924"/>
        <v>1.3981371718882303</v>
      </c>
      <c r="BJ96" s="162">
        <f t="shared" si="924"/>
        <v>1.1078902821316612</v>
      </c>
      <c r="BK96" s="162">
        <f t="shared" si="924"/>
        <v>1.1365679407000568</v>
      </c>
      <c r="BL96" s="162">
        <f t="shared" si="924"/>
        <v>1.0142784037064334</v>
      </c>
      <c r="BM96" s="162">
        <f t="shared" si="924"/>
        <v>0.97354252882799619</v>
      </c>
      <c r="BN96" s="162">
        <f t="shared" si="924"/>
        <v>0.48461221486387046</v>
      </c>
      <c r="BO96" s="162">
        <f t="shared" si="924"/>
        <v>0.59617447402628665</v>
      </c>
      <c r="BP96" s="162">
        <f t="shared" si="924"/>
        <v>0.76468380793335433</v>
      </c>
      <c r="BQ96" s="162">
        <f t="shared" si="924"/>
        <v>0.72476064897093373</v>
      </c>
      <c r="BR96" s="162">
        <f t="shared" si="924"/>
        <v>0.7217277922168841</v>
      </c>
      <c r="BS96" s="162">
        <f t="shared" si="924"/>
        <v>0.75522497183013781</v>
      </c>
      <c r="BT96" s="162">
        <f t="shared" si="924"/>
        <v>0.8214875555335347</v>
      </c>
      <c r="BU96" s="162">
        <f t="shared" si="924"/>
        <v>0.69597377200046007</v>
      </c>
      <c r="BV96" s="162">
        <f t="shared" si="924"/>
        <v>0.64239998088045491</v>
      </c>
      <c r="BW96" s="162">
        <f t="shared" si="924"/>
        <v>0.73215968864970049</v>
      </c>
      <c r="BX96" s="162">
        <f t="shared" si="924"/>
        <v>0.79970100164449076</v>
      </c>
      <c r="BY96" s="162">
        <f t="shared" si="924"/>
        <v>0.9550545420970018</v>
      </c>
      <c r="BZ96" s="162">
        <f t="shared" si="924"/>
        <v>0.80985226494472162</v>
      </c>
      <c r="CA96" s="162">
        <f t="shared" si="924"/>
        <v>0.83558704477157297</v>
      </c>
      <c r="CB96" s="162">
        <f t="shared" si="924"/>
        <v>0.86705021511083002</v>
      </c>
      <c r="CC96" s="162">
        <f t="shared" si="924"/>
        <v>1.0574977175897748</v>
      </c>
      <c r="CD96" s="162">
        <f t="shared" si="924"/>
        <v>0.91025526994574402</v>
      </c>
      <c r="CE96" s="162">
        <f t="shared" si="924"/>
        <v>0.86670499047892779</v>
      </c>
      <c r="CF96" s="162">
        <f t="shared" si="924"/>
        <v>0.99318142489235417</v>
      </c>
      <c r="CG96" s="162">
        <f t="shared" si="924"/>
        <v>0.84569422784784576</v>
      </c>
      <c r="CH96" s="162">
        <f t="shared" si="924"/>
        <v>0.76006889961778323</v>
      </c>
      <c r="CI96" s="162">
        <f t="shared" si="924"/>
        <v>0.76653358817863781</v>
      </c>
      <c r="CJ96" s="162">
        <f t="shared" si="927"/>
        <v>0.73544998214356572</v>
      </c>
      <c r="CK96" s="162">
        <f t="shared" si="927"/>
        <v>0.67190669969332384</v>
      </c>
      <c r="CL96" s="162">
        <f t="shared" ref="CL96" si="931">+CL79/CL$92</f>
        <v>0.62795241849782313</v>
      </c>
      <c r="CM96" s="94">
        <f t="shared" ref="CM96:DB96" si="932">+CL96</f>
        <v>0.62795241849782313</v>
      </c>
      <c r="CN96" s="94">
        <f t="shared" si="932"/>
        <v>0.62795241849782313</v>
      </c>
      <c r="CO96" s="94">
        <f t="shared" si="932"/>
        <v>0.62795241849782313</v>
      </c>
      <c r="CP96" s="94">
        <f t="shared" si="932"/>
        <v>0.62795241849782313</v>
      </c>
      <c r="CQ96" s="94">
        <f t="shared" si="932"/>
        <v>0.62795241849782313</v>
      </c>
      <c r="CR96" s="94">
        <f t="shared" si="932"/>
        <v>0.62795241849782313</v>
      </c>
      <c r="CS96" s="94">
        <f t="shared" si="932"/>
        <v>0.62795241849782313</v>
      </c>
      <c r="CT96" s="94">
        <f t="shared" si="932"/>
        <v>0.62795241849782313</v>
      </c>
      <c r="CU96" s="94">
        <f t="shared" si="932"/>
        <v>0.62795241849782313</v>
      </c>
      <c r="CV96" s="94">
        <f t="shared" si="932"/>
        <v>0.62795241849782313</v>
      </c>
      <c r="CW96" s="94">
        <f t="shared" si="932"/>
        <v>0.62795241849782313</v>
      </c>
      <c r="CX96" s="94">
        <f t="shared" si="932"/>
        <v>0.62795241849782313</v>
      </c>
      <c r="CY96" s="94">
        <f t="shared" si="932"/>
        <v>0.62795241849782313</v>
      </c>
      <c r="CZ96" s="94">
        <f t="shared" si="932"/>
        <v>0.62795241849782313</v>
      </c>
      <c r="DA96" s="94">
        <f t="shared" si="932"/>
        <v>0.62795241849782313</v>
      </c>
      <c r="DB96" s="94">
        <f t="shared" si="932"/>
        <v>0.62795241849782313</v>
      </c>
      <c r="DC96" s="94"/>
      <c r="DE96" s="22"/>
      <c r="DF96" s="162">
        <v>0.62795241849782313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374.15479999999997</v>
      </c>
      <c r="F98" s="177">
        <f t="shared" si="933"/>
        <v>385.56040000000002</v>
      </c>
      <c r="G98" s="177">
        <f t="shared" si="933"/>
        <v>419.16480000000001</v>
      </c>
      <c r="H98" s="177">
        <f t="shared" si="933"/>
        <v>457.59780000000001</v>
      </c>
      <c r="I98" s="177">
        <f t="shared" si="933"/>
        <v>495.04039999999998</v>
      </c>
      <c r="J98" s="177">
        <f t="shared" si="933"/>
        <v>529.1123</v>
      </c>
      <c r="K98" s="177">
        <f t="shared" si="933"/>
        <v>509.25760000000002</v>
      </c>
      <c r="L98" s="177">
        <f t="shared" si="933"/>
        <v>573.4787</v>
      </c>
      <c r="M98" s="177">
        <f t="shared" si="933"/>
        <v>611.41779999999994</v>
      </c>
      <c r="N98" s="177">
        <f t="shared" si="933"/>
        <v>833.55740000000003</v>
      </c>
      <c r="O98" s="177">
        <f t="shared" si="933"/>
        <v>1010.8505</v>
      </c>
      <c r="P98" s="177">
        <f t="shared" si="933"/>
        <v>1014.4385</v>
      </c>
      <c r="Q98" s="177">
        <f t="shared" si="933"/>
        <v>1025.6261999999999</v>
      </c>
      <c r="R98" s="177">
        <f t="shared" si="933"/>
        <v>1107.97</v>
      </c>
      <c r="S98" s="177">
        <f t="shared" si="933"/>
        <v>1105.03</v>
      </c>
      <c r="T98" s="177">
        <f t="shared" si="933"/>
        <v>1325.51</v>
      </c>
      <c r="U98" s="177">
        <f t="shared" si="933"/>
        <v>1184.25</v>
      </c>
      <c r="V98" s="177">
        <f t="shared" si="933"/>
        <v>782.06000000000006</v>
      </c>
      <c r="W98" s="177">
        <f t="shared" si="933"/>
        <v>1355.2</v>
      </c>
      <c r="X98" s="177">
        <f t="shared" si="933"/>
        <v>2082.8000000000002</v>
      </c>
      <c r="Y98" s="177">
        <f t="shared" si="933"/>
        <v>1801.83</v>
      </c>
      <c r="Z98" s="177">
        <f>+Z10</f>
        <v>1754.3799999999999</v>
      </c>
      <c r="AA98" s="177">
        <f>+AA10</f>
        <v>1710.45</v>
      </c>
      <c r="AB98" s="178">
        <f t="shared" ref="AA98:AE98" si="934">+AB10</f>
        <v>1708.6166968746261</v>
      </c>
      <c r="AC98" s="178">
        <f t="shared" si="934"/>
        <v>1715.1475032994877</v>
      </c>
      <c r="AD98" s="178">
        <f t="shared" si="934"/>
        <v>1723.8962986581146</v>
      </c>
      <c r="AE98" s="178">
        <f t="shared" si="934"/>
        <v>1733.1743001937541</v>
      </c>
      <c r="AL98" s="177">
        <f t="shared" ref="AL98:BQ98" si="935">+SUM(AI8:AL8)</f>
        <v>833.79</v>
      </c>
      <c r="AM98" s="177">
        <f t="shared" si="935"/>
        <v>851.91</v>
      </c>
      <c r="AN98" s="177">
        <f t="shared" si="935"/>
        <v>902.95</v>
      </c>
      <c r="AO98" s="177">
        <f t="shared" si="935"/>
        <v>955.22</v>
      </c>
      <c r="AP98" s="177">
        <f t="shared" si="935"/>
        <v>1012.0300000000001</v>
      </c>
      <c r="AQ98" s="177">
        <f t="shared" si="935"/>
        <v>1008.3300000000002</v>
      </c>
      <c r="AR98" s="177">
        <f t="shared" si="935"/>
        <v>984.83999999999992</v>
      </c>
      <c r="AS98" s="177">
        <f t="shared" si="935"/>
        <v>990.22</v>
      </c>
      <c r="AT98" s="177">
        <f t="shared" si="935"/>
        <v>1014.1199999999999</v>
      </c>
      <c r="AU98" s="177">
        <f t="shared" si="935"/>
        <v>1037.94</v>
      </c>
      <c r="AV98" s="177">
        <f t="shared" si="935"/>
        <v>1050.7399999999998</v>
      </c>
      <c r="AW98" s="177">
        <f t="shared" si="935"/>
        <v>1029.44</v>
      </c>
      <c r="AX98" s="177">
        <f t="shared" si="935"/>
        <v>1070.24</v>
      </c>
      <c r="AY98" s="177">
        <f t="shared" si="935"/>
        <v>1088.5999999999999</v>
      </c>
      <c r="AZ98" s="177">
        <f t="shared" si="935"/>
        <v>1120.1599999999999</v>
      </c>
      <c r="BA98" s="177">
        <f t="shared" si="935"/>
        <v>1188.49</v>
      </c>
      <c r="BB98" s="177">
        <f t="shared" si="935"/>
        <v>1166.68</v>
      </c>
      <c r="BC98" s="177">
        <f t="shared" si="935"/>
        <v>1162.6000000000001</v>
      </c>
      <c r="BD98" s="177">
        <f t="shared" si="935"/>
        <v>1115.45</v>
      </c>
      <c r="BE98" s="177">
        <f t="shared" si="935"/>
        <v>1104.3499999999999</v>
      </c>
      <c r="BF98" s="177">
        <f t="shared" si="935"/>
        <v>1121.78</v>
      </c>
      <c r="BG98" s="177">
        <f t="shared" si="935"/>
        <v>1144.9000000000001</v>
      </c>
      <c r="BH98" s="177">
        <f t="shared" si="935"/>
        <v>1248.92</v>
      </c>
      <c r="BI98" s="177">
        <f t="shared" si="935"/>
        <v>1308.6499999999999</v>
      </c>
      <c r="BJ98" s="177">
        <f t="shared" si="935"/>
        <v>1325.51</v>
      </c>
      <c r="BK98" s="177">
        <f t="shared" si="935"/>
        <v>1329.1200000000001</v>
      </c>
      <c r="BL98" s="177">
        <f t="shared" si="935"/>
        <v>1297.77</v>
      </c>
      <c r="BM98" s="177">
        <f t="shared" si="935"/>
        <v>1228.68</v>
      </c>
      <c r="BN98" s="177">
        <f t="shared" si="935"/>
        <v>1184.25</v>
      </c>
      <c r="BO98" s="177">
        <f t="shared" si="935"/>
        <v>1044.97</v>
      </c>
      <c r="BP98" s="177">
        <f t="shared" si="935"/>
        <v>895.43999999999994</v>
      </c>
      <c r="BQ98" s="177">
        <f t="shared" si="935"/>
        <v>774.49999999999989</v>
      </c>
      <c r="BR98" s="177">
        <f t="shared" ref="BR98:CW98" si="936">+SUM(BO8:BR8)</f>
        <v>782.06</v>
      </c>
      <c r="BS98" s="177">
        <f t="shared" si="936"/>
        <v>860.88999999999987</v>
      </c>
      <c r="BT98" s="177">
        <f t="shared" si="936"/>
        <v>1042.47</v>
      </c>
      <c r="BU98" s="177">
        <f t="shared" si="936"/>
        <v>1212.1100000000001</v>
      </c>
      <c r="BV98" s="177">
        <f t="shared" si="936"/>
        <v>1355.2</v>
      </c>
      <c r="BW98" s="177">
        <f t="shared" si="936"/>
        <v>1568.0500000000002</v>
      </c>
      <c r="BX98" s="177">
        <f t="shared" si="936"/>
        <v>1758.96</v>
      </c>
      <c r="BY98" s="177">
        <f t="shared" si="936"/>
        <v>1980.6100000000001</v>
      </c>
      <c r="BZ98" s="177">
        <f t="shared" si="936"/>
        <v>2082.7999999999997</v>
      </c>
      <c r="CA98" s="177">
        <f t="shared" si="936"/>
        <v>2078.46</v>
      </c>
      <c r="CB98" s="177">
        <f t="shared" si="936"/>
        <v>1917.9099999999999</v>
      </c>
      <c r="CC98" s="177">
        <f t="shared" si="936"/>
        <v>1835.57</v>
      </c>
      <c r="CD98" s="177">
        <f t="shared" si="936"/>
        <v>1801.83</v>
      </c>
      <c r="CE98" s="177">
        <f t="shared" si="936"/>
        <v>1797.49</v>
      </c>
      <c r="CF98" s="177">
        <f t="shared" si="936"/>
        <v>1833.6000000000001</v>
      </c>
      <c r="CG98" s="177">
        <f t="shared" si="936"/>
        <v>1791.46</v>
      </c>
      <c r="CH98" s="177">
        <f t="shared" si="936"/>
        <v>1754.38</v>
      </c>
      <c r="CI98" s="177">
        <f t="shared" si="936"/>
        <v>1717.5500000000002</v>
      </c>
      <c r="CJ98" s="177">
        <f t="shared" si="936"/>
        <v>1665.3999999999999</v>
      </c>
      <c r="CK98" s="177">
        <f t="shared" si="936"/>
        <v>1620.9499999999998</v>
      </c>
      <c r="CL98" s="177">
        <f t="shared" si="936"/>
        <v>1710.44</v>
      </c>
      <c r="CM98" s="178">
        <f t="shared" si="936"/>
        <v>1696.6606437668179</v>
      </c>
      <c r="CN98" s="178">
        <f t="shared" si="936"/>
        <v>1688.735144686992</v>
      </c>
      <c r="CO98" s="178">
        <f t="shared" si="936"/>
        <v>1690.3262942836941</v>
      </c>
      <c r="CP98" s="178">
        <f t="shared" si="936"/>
        <v>1708.6166968746261</v>
      </c>
      <c r="CQ98" s="178">
        <f t="shared" si="936"/>
        <v>1706.4221640944447</v>
      </c>
      <c r="CR98" s="178">
        <f t="shared" si="936"/>
        <v>1706.9489487829687</v>
      </c>
      <c r="CS98" s="178">
        <f t="shared" si="936"/>
        <v>1709.9274046428761</v>
      </c>
      <c r="CT98" s="178">
        <f t="shared" si="936"/>
        <v>1715.1475032994877</v>
      </c>
      <c r="CU98" s="178">
        <f t="shared" si="936"/>
        <v>1716.2441674385891</v>
      </c>
      <c r="CV98" s="178">
        <f t="shared" si="936"/>
        <v>1718.002161583297</v>
      </c>
      <c r="CW98" s="178">
        <f t="shared" si="936"/>
        <v>1720.3878924597159</v>
      </c>
      <c r="CX98" s="178">
        <f t="shared" ref="CX98:DB98" si="937">+SUM(CU8:CX8)</f>
        <v>1723.8962986581146</v>
      </c>
      <c r="CY98" s="178">
        <f t="shared" si="937"/>
        <v>1725.7444357752552</v>
      </c>
      <c r="CZ98" s="178">
        <f t="shared" si="937"/>
        <v>1727.6157041968045</v>
      </c>
      <c r="DA98" s="178">
        <f t="shared" si="937"/>
        <v>1729.8090476223633</v>
      </c>
      <c r="DB98" s="178">
        <f t="shared" si="937"/>
        <v>1733.1743001937541</v>
      </c>
      <c r="DE98" s="179"/>
      <c r="DF98" s="177">
        <v>1710.44</v>
      </c>
    </row>
    <row r="99" spans="1:110" s="163" customFormat="1" x14ac:dyDescent="0.2">
      <c r="A99" s="163" t="s">
        <v>511</v>
      </c>
      <c r="E99" s="163">
        <f t="shared" ref="E99:AE99" ca="1" si="938">+E98/E65</f>
        <v>62.151960132890366</v>
      </c>
      <c r="F99" s="163">
        <f t="shared" ca="1" si="938"/>
        <v>64.046578073089705</v>
      </c>
      <c r="G99" s="163">
        <f t="shared" ca="1" si="938"/>
        <v>69.628704318936883</v>
      </c>
      <c r="H99" s="163">
        <f t="shared" ca="1" si="938"/>
        <v>76.012923588039868</v>
      </c>
      <c r="I99" s="163">
        <f t="shared" ca="1" si="938"/>
        <v>82.232624584717612</v>
      </c>
      <c r="J99" s="163">
        <f t="shared" ca="1" si="938"/>
        <v>87.892408637873757</v>
      </c>
      <c r="K99" s="163">
        <f t="shared" ca="1" si="938"/>
        <v>84.594285714285718</v>
      </c>
      <c r="L99" s="163">
        <f t="shared" ca="1" si="938"/>
        <v>95.262242524916957</v>
      </c>
      <c r="M99" s="163">
        <f t="shared" ca="1" si="938"/>
        <v>101.56441860465117</v>
      </c>
      <c r="N99" s="163">
        <f t="shared" ca="1" si="938"/>
        <v>138.46468438538207</v>
      </c>
      <c r="O99" s="163">
        <f t="shared" ca="1" si="938"/>
        <v>167.91536544850499</v>
      </c>
      <c r="P99" s="163">
        <f t="shared" ca="1" si="938"/>
        <v>168.51137873754155</v>
      </c>
      <c r="Q99" s="163">
        <f t="shared" ca="1" si="938"/>
        <v>170.36980066445182</v>
      </c>
      <c r="R99" s="163">
        <f t="shared" ca="1" si="938"/>
        <v>184.0481727574751</v>
      </c>
      <c r="S99" s="163">
        <f t="shared" ca="1" si="938"/>
        <v>183.55980066445184</v>
      </c>
      <c r="T99" s="163">
        <f t="shared" ca="1" si="938"/>
        <v>220.18438538205982</v>
      </c>
      <c r="U99" s="163">
        <f t="shared" ca="1" si="938"/>
        <v>196.71926910299004</v>
      </c>
      <c r="V99" s="163">
        <f t="shared" ca="1" si="938"/>
        <v>129.91029900332228</v>
      </c>
      <c r="W99" s="163">
        <f t="shared" ca="1" si="938"/>
        <v>225.11627906976747</v>
      </c>
      <c r="X99" s="163">
        <f t="shared" ca="1" si="938"/>
        <v>345.98006644518279</v>
      </c>
      <c r="Y99" s="163">
        <f t="shared" ca="1" si="938"/>
        <v>299.30730897009965</v>
      </c>
      <c r="Z99" s="163">
        <f t="shared" ref="Z99:AA99" ca="1" si="939">+Z98/Z65</f>
        <v>291.42524916943523</v>
      </c>
      <c r="AA99" s="163">
        <f t="shared" ca="1" si="939"/>
        <v>291.42524916943523</v>
      </c>
      <c r="AB99" s="94">
        <f t="shared" ca="1" si="938"/>
        <v>283.8233715738582</v>
      </c>
      <c r="AC99" s="94">
        <f t="shared" ca="1" si="938"/>
        <v>284.90822313944977</v>
      </c>
      <c r="AD99" s="94">
        <f t="shared" ca="1" si="938"/>
        <v>286.36151140500243</v>
      </c>
      <c r="AE99" s="94">
        <f t="shared" ca="1" si="938"/>
        <v>287.90270767338109</v>
      </c>
      <c r="AL99" s="163">
        <f t="shared" ref="AL99:BQ99" si="940">+AL98/AL65</f>
        <v>138.50332225913621</v>
      </c>
      <c r="AM99" s="163">
        <f t="shared" si="940"/>
        <v>141.51328903654485</v>
      </c>
      <c r="AN99" s="163">
        <f t="shared" si="940"/>
        <v>149.9916943521595</v>
      </c>
      <c r="AO99" s="163">
        <f t="shared" si="940"/>
        <v>158.67441860465118</v>
      </c>
      <c r="AP99" s="163">
        <f t="shared" si="940"/>
        <v>168.11129568106315</v>
      </c>
      <c r="AQ99" s="163">
        <f t="shared" si="940"/>
        <v>167.49667774086382</v>
      </c>
      <c r="AR99" s="163">
        <f t="shared" si="940"/>
        <v>163.59468438538207</v>
      </c>
      <c r="AS99" s="163">
        <f t="shared" si="940"/>
        <v>164.48837209302326</v>
      </c>
      <c r="AT99" s="163">
        <f t="shared" si="940"/>
        <v>168.45847176079732</v>
      </c>
      <c r="AU99" s="163">
        <f t="shared" si="940"/>
        <v>172.4152823920266</v>
      </c>
      <c r="AV99" s="163">
        <f t="shared" si="940"/>
        <v>174.54152823920262</v>
      </c>
      <c r="AW99" s="163">
        <f t="shared" si="940"/>
        <v>171.00332225913624</v>
      </c>
      <c r="AX99" s="163">
        <f t="shared" si="940"/>
        <v>177.78073089700999</v>
      </c>
      <c r="AY99" s="163">
        <f t="shared" si="940"/>
        <v>180.83056478405317</v>
      </c>
      <c r="AZ99" s="163">
        <f t="shared" si="940"/>
        <v>186.07308970099666</v>
      </c>
      <c r="BA99" s="163">
        <f t="shared" si="940"/>
        <v>197.42358803986713</v>
      </c>
      <c r="BB99" s="163">
        <f t="shared" si="940"/>
        <v>193.80066445182726</v>
      </c>
      <c r="BC99" s="163">
        <f t="shared" si="940"/>
        <v>193.1229235880399</v>
      </c>
      <c r="BD99" s="163">
        <f t="shared" si="940"/>
        <v>185.29069767441862</v>
      </c>
      <c r="BE99" s="163">
        <f t="shared" si="940"/>
        <v>183.44684385382061</v>
      </c>
      <c r="BF99" s="163">
        <f t="shared" si="940"/>
        <v>186.34219269102991</v>
      </c>
      <c r="BG99" s="163">
        <f t="shared" si="940"/>
        <v>190.18272425249171</v>
      </c>
      <c r="BH99" s="163">
        <f t="shared" si="940"/>
        <v>207.46179401993359</v>
      </c>
      <c r="BI99" s="163">
        <f t="shared" si="940"/>
        <v>217.38372093023256</v>
      </c>
      <c r="BJ99" s="163">
        <f t="shared" si="940"/>
        <v>220.18438538205982</v>
      </c>
      <c r="BK99" s="163">
        <f t="shared" si="940"/>
        <v>220.78405315614623</v>
      </c>
      <c r="BL99" s="163">
        <f t="shared" si="940"/>
        <v>215.5764119601329</v>
      </c>
      <c r="BM99" s="163">
        <f t="shared" si="940"/>
        <v>204.09966777408641</v>
      </c>
      <c r="BN99" s="163">
        <f t="shared" si="940"/>
        <v>196.71926910299004</v>
      </c>
      <c r="BO99" s="163">
        <f t="shared" si="940"/>
        <v>173.58305647840533</v>
      </c>
      <c r="BP99" s="163">
        <f t="shared" si="940"/>
        <v>148.74418604651163</v>
      </c>
      <c r="BQ99" s="163">
        <f t="shared" si="940"/>
        <v>128.65448504983388</v>
      </c>
      <c r="BR99" s="163">
        <f t="shared" ref="BR99:CW99" si="941">+BR98/BR65</f>
        <v>129.91029900332225</v>
      </c>
      <c r="BS99" s="163">
        <f t="shared" si="941"/>
        <v>143.00498338870432</v>
      </c>
      <c r="BT99" s="163">
        <f t="shared" si="941"/>
        <v>173.16777408637876</v>
      </c>
      <c r="BU99" s="163">
        <f t="shared" si="941"/>
        <v>201.34717607973425</v>
      </c>
      <c r="BV99" s="163">
        <f t="shared" si="941"/>
        <v>225.11627906976747</v>
      </c>
      <c r="BW99" s="163">
        <f t="shared" si="941"/>
        <v>260.47342192691036</v>
      </c>
      <c r="BX99" s="163">
        <f t="shared" si="941"/>
        <v>292.18604651162792</v>
      </c>
      <c r="BY99" s="163">
        <f t="shared" si="941"/>
        <v>329.00498338870437</v>
      </c>
      <c r="BZ99" s="163">
        <f t="shared" si="941"/>
        <v>345.98006644518273</v>
      </c>
      <c r="CA99" s="163">
        <f t="shared" si="941"/>
        <v>345.25913621262464</v>
      </c>
      <c r="CB99" s="163">
        <f t="shared" si="941"/>
        <v>318.58970099667772</v>
      </c>
      <c r="CC99" s="163">
        <f t="shared" si="941"/>
        <v>304.91196013289039</v>
      </c>
      <c r="CD99" s="163">
        <f t="shared" si="941"/>
        <v>299.30730897009965</v>
      </c>
      <c r="CE99" s="163">
        <f t="shared" si="941"/>
        <v>298.58637873754157</v>
      </c>
      <c r="CF99" s="163">
        <f t="shared" si="941"/>
        <v>304.58471760797346</v>
      </c>
      <c r="CG99" s="163">
        <f t="shared" si="941"/>
        <v>297.58471760797346</v>
      </c>
      <c r="CH99" s="163">
        <f t="shared" si="941"/>
        <v>291.42524916943523</v>
      </c>
      <c r="CI99" s="163">
        <f t="shared" si="941"/>
        <v>285.30730897009971</v>
      </c>
      <c r="CJ99" s="163">
        <f t="shared" si="941"/>
        <v>276.64451827242527</v>
      </c>
      <c r="CK99" s="163">
        <f t="shared" ref="CK99:CL99" si="942">+CK98/CK65</f>
        <v>269.26079734219269</v>
      </c>
      <c r="CL99" s="163">
        <f t="shared" si="942"/>
        <v>284.12624584717611</v>
      </c>
      <c r="CM99" s="50">
        <f t="shared" si="941"/>
        <v>281.83731624033521</v>
      </c>
      <c r="CN99" s="50">
        <f t="shared" si="941"/>
        <v>280.52078815398539</v>
      </c>
      <c r="CO99" s="50">
        <f t="shared" si="941"/>
        <v>280.7850987182216</v>
      </c>
      <c r="CP99" s="50">
        <f t="shared" si="941"/>
        <v>283.8233715738582</v>
      </c>
      <c r="CQ99" s="50">
        <f t="shared" si="941"/>
        <v>283.4588312449244</v>
      </c>
      <c r="CR99" s="50">
        <f t="shared" si="941"/>
        <v>283.54633700713771</v>
      </c>
      <c r="CS99" s="50">
        <f t="shared" si="941"/>
        <v>284.04109711675687</v>
      </c>
      <c r="CT99" s="50">
        <f t="shared" si="941"/>
        <v>284.90822313944977</v>
      </c>
      <c r="CU99" s="50">
        <f t="shared" si="941"/>
        <v>285.0903932622241</v>
      </c>
      <c r="CV99" s="50">
        <f t="shared" si="941"/>
        <v>285.38241886765735</v>
      </c>
      <c r="CW99" s="50">
        <f t="shared" si="941"/>
        <v>285.77871967769369</v>
      </c>
      <c r="CX99" s="50">
        <f t="shared" ref="CX99:DB99" si="943">+CX98/CX65</f>
        <v>286.36151140500243</v>
      </c>
      <c r="CY99" s="50">
        <f t="shared" si="943"/>
        <v>286.66851092612217</v>
      </c>
      <c r="CZ99" s="50">
        <f t="shared" si="943"/>
        <v>286.97935285661208</v>
      </c>
      <c r="DA99" s="50">
        <f t="shared" si="943"/>
        <v>287.34369561833279</v>
      </c>
      <c r="DB99" s="50">
        <f t="shared" si="943"/>
        <v>287.90270767338109</v>
      </c>
      <c r="DE99" s="164"/>
      <c r="DF99" s="163">
        <v>284.12624584717611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0.203050715906892</v>
      </c>
      <c r="F102" s="163">
        <f t="shared" ca="1" si="944"/>
        <v>0.22186977708291619</v>
      </c>
      <c r="G102" s="163">
        <f t="shared" ca="1" si="944"/>
        <v>0.36033989495301127</v>
      </c>
      <c r="H102" s="163">
        <f t="shared" ca="1" si="944"/>
        <v>0.31152597324550074</v>
      </c>
      <c r="I102" s="163">
        <f t="shared" ca="1" si="944"/>
        <v>0.43291820223157546</v>
      </c>
      <c r="J102" s="163">
        <f t="shared" ca="1" si="944"/>
        <v>0.17293871263246005</v>
      </c>
      <c r="K102" s="163">
        <f t="shared" ca="1" si="944"/>
        <v>0.4341900837611456</v>
      </c>
      <c r="L102" s="163">
        <f t="shared" ca="1" si="944"/>
        <v>0.51657402445810097</v>
      </c>
      <c r="M102" s="163">
        <f t="shared" ca="1" si="944"/>
        <v>0.37079914912519718</v>
      </c>
      <c r="N102" s="163">
        <f t="shared" ca="1" si="944"/>
        <v>0.3158206021564921</v>
      </c>
      <c r="O102" s="163">
        <f t="shared" ca="1" si="944"/>
        <v>0.21677587338582707</v>
      </c>
      <c r="P102" s="163">
        <f t="shared" ca="1" si="944"/>
        <v>0.22004448766485102</v>
      </c>
      <c r="Q102" s="163">
        <f t="shared" ca="1" si="944"/>
        <v>0.27410961225444519</v>
      </c>
      <c r="R102" s="163">
        <f t="shared" ca="1" si="944"/>
        <v>0.85064685866945844</v>
      </c>
      <c r="S102" s="163">
        <f t="shared" ca="1" si="944"/>
        <v>0.94770205333791835</v>
      </c>
      <c r="T102" s="163">
        <f t="shared" ca="1" si="944"/>
        <v>0.84656320963251874</v>
      </c>
      <c r="U102" s="163">
        <f t="shared" ca="1" si="944"/>
        <v>0.52841798606713108</v>
      </c>
      <c r="V102" s="163">
        <f t="shared" ca="1" si="944"/>
        <v>1.241241081246963</v>
      </c>
      <c r="W102" s="163">
        <f t="shared" ca="1" si="944"/>
        <v>0.77693181818181811</v>
      </c>
      <c r="X102" s="163">
        <f t="shared" ca="1" si="944"/>
        <v>0.68269829076243504</v>
      </c>
      <c r="Y102" s="163">
        <f t="shared" ca="1" si="944"/>
        <v>0.98393855136167119</v>
      </c>
      <c r="Z102" s="163">
        <f ca="1">+Z77/Z$99</f>
        <v>0.8930248862846133</v>
      </c>
      <c r="AA102" s="163">
        <f ca="1">+AA77/AA$99</f>
        <v>0.8930248862846133</v>
      </c>
      <c r="AB102" s="50">
        <f t="shared" ref="AA102:AE102" ca="1" si="945">+AB77/AB$99</f>
        <v>0.86497457428770819</v>
      </c>
      <c r="AC102" s="50">
        <f t="shared" ca="1" si="945"/>
        <v>0.86168099079344151</v>
      </c>
      <c r="AD102" s="50">
        <f t="shared" ca="1" si="945"/>
        <v>0.85730794894705031</v>
      </c>
      <c r="AE102" s="50">
        <f t="shared" ca="1" si="945"/>
        <v>0.85271862145358501</v>
      </c>
      <c r="AL102" s="163">
        <f t="shared" ref="AL102:BQ102" si="946">+AL77/AL99</f>
        <v>0.31573249859077224</v>
      </c>
      <c r="AM102" s="163">
        <f t="shared" si="946"/>
        <v>0.29961850430209763</v>
      </c>
      <c r="AN102" s="163">
        <f t="shared" si="946"/>
        <v>0.24134669693781491</v>
      </c>
      <c r="AO102" s="163">
        <f t="shared" si="946"/>
        <v>0.23318188480140697</v>
      </c>
      <c r="AP102" s="163">
        <f t="shared" si="946"/>
        <v>0.21652322559607912</v>
      </c>
      <c r="AQ102" s="163">
        <f t="shared" si="946"/>
        <v>0.29976713972608171</v>
      </c>
      <c r="AR102" s="163">
        <f t="shared" si="946"/>
        <v>0.28240526379919584</v>
      </c>
      <c r="AS102" s="163">
        <f t="shared" si="946"/>
        <v>0.27704085960695601</v>
      </c>
      <c r="AT102" s="163">
        <f t="shared" si="946"/>
        <v>0.22011359602413916</v>
      </c>
      <c r="AU102" s="163">
        <f t="shared" si="946"/>
        <v>0.22445806115960459</v>
      </c>
      <c r="AV102" s="163">
        <f t="shared" si="946"/>
        <v>0.26469345413708439</v>
      </c>
      <c r="AW102" s="163">
        <f t="shared" si="946"/>
        <v>0.28057934410941865</v>
      </c>
      <c r="AX102" s="163">
        <f t="shared" si="946"/>
        <v>0.26268313649274927</v>
      </c>
      <c r="AY102" s="163">
        <f t="shared" si="946"/>
        <v>0.32555337130259043</v>
      </c>
      <c r="AZ102" s="163">
        <f t="shared" si="946"/>
        <v>0.51350789172975297</v>
      </c>
      <c r="BA102" s="163">
        <f t="shared" si="946"/>
        <v>0.69976440693653286</v>
      </c>
      <c r="BB102" s="163">
        <f t="shared" si="946"/>
        <v>0.80784036753865662</v>
      </c>
      <c r="BC102" s="163">
        <f t="shared" si="946"/>
        <v>0.78188542921039039</v>
      </c>
      <c r="BD102" s="163">
        <f t="shared" si="946"/>
        <v>0.78811295889551292</v>
      </c>
      <c r="BE102" s="163">
        <f t="shared" si="946"/>
        <v>0.97695875401820065</v>
      </c>
      <c r="BF102" s="163">
        <f t="shared" si="946"/>
        <v>0.93355132022321663</v>
      </c>
      <c r="BG102" s="163">
        <f t="shared" si="946"/>
        <v>0.94950790462049084</v>
      </c>
      <c r="BH102" s="163">
        <f t="shared" si="946"/>
        <v>1.0253936200877556</v>
      </c>
      <c r="BI102" s="163">
        <f t="shared" si="946"/>
        <v>0.98365231345279491</v>
      </c>
      <c r="BJ102" s="163">
        <f t="shared" si="946"/>
        <v>0.84656320963251874</v>
      </c>
      <c r="BK102" s="163">
        <f t="shared" si="946"/>
        <v>0.82809422775972064</v>
      </c>
      <c r="BL102" s="163">
        <f t="shared" si="946"/>
        <v>0.96207186173204806</v>
      </c>
      <c r="BM102" s="163">
        <f t="shared" si="946"/>
        <v>0.82998665234235103</v>
      </c>
      <c r="BN102" s="163">
        <f t="shared" si="946"/>
        <v>0.52841798606713108</v>
      </c>
      <c r="BO102" s="163">
        <f t="shared" si="946"/>
        <v>0.91253146023330811</v>
      </c>
      <c r="BP102" s="163">
        <f t="shared" si="946"/>
        <v>0.91566604127579732</v>
      </c>
      <c r="BQ102" s="163">
        <f t="shared" si="946"/>
        <v>1.1799044544867658</v>
      </c>
      <c r="BR102" s="163">
        <f t="shared" ref="BR102:DB102" si="947">+BR77/BR99</f>
        <v>1.2412410812469632</v>
      </c>
      <c r="BS102" s="163">
        <f t="shared" si="947"/>
        <v>1.3866649630034036</v>
      </c>
      <c r="BT102" s="163">
        <f t="shared" si="947"/>
        <v>1.0674618933878193</v>
      </c>
      <c r="BU102" s="163">
        <f t="shared" si="947"/>
        <v>0.74274694540924502</v>
      </c>
      <c r="BV102" s="163">
        <f t="shared" si="947"/>
        <v>0.77693181818181811</v>
      </c>
      <c r="BW102" s="163">
        <f t="shared" si="947"/>
        <v>0.72099486623513265</v>
      </c>
      <c r="BX102" s="163">
        <f t="shared" si="947"/>
        <v>0.93502069404648191</v>
      </c>
      <c r="BY102" s="163">
        <f t="shared" si="947"/>
        <v>0.8489233115050413</v>
      </c>
      <c r="BZ102" s="163">
        <f t="shared" si="947"/>
        <v>0.68269829076243516</v>
      </c>
      <c r="CA102" s="163">
        <f t="shared" si="947"/>
        <v>0.8138814314444347</v>
      </c>
      <c r="CB102" s="163">
        <f t="shared" si="947"/>
        <v>1.2087647491279572</v>
      </c>
      <c r="CC102" s="163">
        <f t="shared" si="947"/>
        <v>1.1563993745811927</v>
      </c>
      <c r="CD102" s="163">
        <f t="shared" si="947"/>
        <v>0.98393855136167119</v>
      </c>
      <c r="CE102" s="163">
        <f t="shared" si="947"/>
        <v>1.1100640337359315</v>
      </c>
      <c r="CF102" s="163">
        <f t="shared" si="947"/>
        <v>1.1208704188481673</v>
      </c>
      <c r="CG102" s="163">
        <f t="shared" si="947"/>
        <v>1.0294547464079578</v>
      </c>
      <c r="CH102" s="163">
        <f t="shared" si="947"/>
        <v>0.8930248862846133</v>
      </c>
      <c r="CI102" s="163">
        <f t="shared" si="947"/>
        <v>1.0520235218770921</v>
      </c>
      <c r="CJ102" s="163">
        <f t="shared" si="947"/>
        <v>0.90947039750210146</v>
      </c>
      <c r="CK102" s="163">
        <f t="shared" ref="CK102:CL102" si="948">+CK77/CK99</f>
        <v>0.87443104352385947</v>
      </c>
      <c r="CL102" s="163">
        <f t="shared" si="948"/>
        <v>0.86405252449662062</v>
      </c>
      <c r="CM102" s="50">
        <f t="shared" si="947"/>
        <v>0.87106988980356037</v>
      </c>
      <c r="CN102" s="50">
        <f t="shared" si="947"/>
        <v>0.87515795751022363</v>
      </c>
      <c r="CO102" s="50">
        <f t="shared" si="947"/>
        <v>0.87433414779025886</v>
      </c>
      <c r="CP102" s="50">
        <f t="shared" si="947"/>
        <v>0.86497457428770819</v>
      </c>
      <c r="CQ102" s="50">
        <f t="shared" si="947"/>
        <v>0.866086969038104</v>
      </c>
      <c r="CR102" s="50">
        <f t="shared" si="947"/>
        <v>0.86581968432842082</v>
      </c>
      <c r="CS102" s="50">
        <f t="shared" si="947"/>
        <v>0.86431154678678657</v>
      </c>
      <c r="CT102" s="50">
        <f t="shared" si="947"/>
        <v>0.86168099079344151</v>
      </c>
      <c r="CU102" s="50">
        <f t="shared" si="947"/>
        <v>0.86113038461520819</v>
      </c>
      <c r="CV102" s="50">
        <f t="shared" si="947"/>
        <v>0.86024920867268861</v>
      </c>
      <c r="CW102" s="50">
        <f t="shared" si="947"/>
        <v>0.85905626659983381</v>
      </c>
      <c r="CX102" s="50">
        <f t="shared" si="947"/>
        <v>0.85730794894705031</v>
      </c>
      <c r="CY102" s="50">
        <f t="shared" si="947"/>
        <v>0.85638983928467893</v>
      </c>
      <c r="CZ102" s="50">
        <f t="shared" si="947"/>
        <v>0.85546223990080206</v>
      </c>
      <c r="DA102" s="50">
        <f t="shared" si="947"/>
        <v>0.85437754070681926</v>
      </c>
      <c r="DB102" s="50">
        <f t="shared" si="947"/>
        <v>0.85271862145358501</v>
      </c>
      <c r="DE102" s="106"/>
      <c r="DF102" s="163">
        <v>0.86405252449662062</v>
      </c>
    </row>
    <row r="103" spans="1:110" s="163" customFormat="1" x14ac:dyDescent="0.2">
      <c r="A103" s="163" t="s">
        <v>508</v>
      </c>
      <c r="E103" s="163">
        <f t="shared" ca="1" si="944"/>
        <v>0.40545784792818373</v>
      </c>
      <c r="F103" s="163">
        <f t="shared" ca="1" si="944"/>
        <v>0.31523932437044883</v>
      </c>
      <c r="G103" s="163">
        <f t="shared" ca="1" si="944"/>
        <v>0.4765276091885578</v>
      </c>
      <c r="H103" s="163">
        <f t="shared" ca="1" si="944"/>
        <v>0.44466122870345964</v>
      </c>
      <c r="I103" s="163">
        <f t="shared" ca="1" si="944"/>
        <v>0.69303394228026638</v>
      </c>
      <c r="J103" s="163">
        <f t="shared" ca="1" si="944"/>
        <v>0.47330595036252227</v>
      </c>
      <c r="K103" s="163">
        <f t="shared" ca="1" si="944"/>
        <v>0.46575249932450685</v>
      </c>
      <c r="L103" s="163">
        <f t="shared" ca="1" si="944"/>
        <v>0.60674616162727568</v>
      </c>
      <c r="M103" s="163">
        <f t="shared" ca="1" si="944"/>
        <v>0.53562065088716748</v>
      </c>
      <c r="N103" s="163">
        <f t="shared" ca="1" si="944"/>
        <v>0.42032378334113524</v>
      </c>
      <c r="O103" s="163">
        <f t="shared" ca="1" si="944"/>
        <v>0.29181367571169031</v>
      </c>
      <c r="P103" s="163">
        <f t="shared" ca="1" si="944"/>
        <v>0.34181667986772973</v>
      </c>
      <c r="Q103" s="163">
        <f t="shared" ca="1" si="944"/>
        <v>0.33104458524947977</v>
      </c>
      <c r="R103" s="163">
        <f t="shared" ca="1" si="944"/>
        <v>0.9562713791889671</v>
      </c>
      <c r="S103" s="163">
        <f t="shared" ca="1" si="944"/>
        <v>1.3347148946182454</v>
      </c>
      <c r="T103" s="163">
        <f t="shared" ca="1" si="944"/>
        <v>1.2062617407639324</v>
      </c>
      <c r="U103" s="163">
        <f t="shared" ca="1" si="944"/>
        <v>1.147320244880726</v>
      </c>
      <c r="V103" s="163">
        <f t="shared" ca="1" si="944"/>
        <v>1.4140526302329741</v>
      </c>
      <c r="W103" s="163">
        <f t="shared" ca="1" si="944"/>
        <v>1.0216942148760328</v>
      </c>
      <c r="X103" s="163">
        <f t="shared" ca="1" si="944"/>
        <v>1.0087286345304396</v>
      </c>
      <c r="Y103" s="163">
        <f t="shared" ca="1" si="944"/>
        <v>1.4090868727904409</v>
      </c>
      <c r="Z103" s="163">
        <f t="shared" ref="Z103:AA104" ca="1" si="949">+Z78/Z$99</f>
        <v>1.2816322575496757</v>
      </c>
      <c r="AA103" s="163">
        <f t="shared" ca="1" si="949"/>
        <v>1.2816322575496757</v>
      </c>
      <c r="AB103" s="94">
        <f t="shared" ca="1" si="944"/>
        <v>1.4126022166917949</v>
      </c>
      <c r="AC103" s="94">
        <f t="shared" ca="1" si="944"/>
        <v>1.5718253724115065</v>
      </c>
      <c r="AD103" s="94">
        <f t="shared" ca="1" si="944"/>
        <v>1.7447361522919476</v>
      </c>
      <c r="AE103" s="94">
        <f t="shared" ca="1" si="944"/>
        <v>1.9276121586857873</v>
      </c>
      <c r="AL103" s="163">
        <f t="shared" ref="AL103:BQ103" si="950">+AL78/AL99</f>
        <v>0.39349236618333155</v>
      </c>
      <c r="AM103" s="163">
        <f t="shared" si="950"/>
        <v>0.34625723374534867</v>
      </c>
      <c r="AN103" s="163">
        <f t="shared" si="950"/>
        <v>0.30655030732598698</v>
      </c>
      <c r="AO103" s="163">
        <f t="shared" si="950"/>
        <v>0.26198299868093211</v>
      </c>
      <c r="AP103" s="163">
        <f t="shared" si="950"/>
        <v>0.22818216851279108</v>
      </c>
      <c r="AQ103" s="163">
        <f t="shared" si="950"/>
        <v>0.32108099530907536</v>
      </c>
      <c r="AR103" s="163">
        <f t="shared" si="950"/>
        <v>0.35050038584947807</v>
      </c>
      <c r="AS103" s="163">
        <f t="shared" si="950"/>
        <v>0.35017672840378905</v>
      </c>
      <c r="AT103" s="163">
        <f t="shared" si="950"/>
        <v>0.30891886561748122</v>
      </c>
      <c r="AU103" s="163">
        <f t="shared" si="950"/>
        <v>0.28419754513748385</v>
      </c>
      <c r="AV103" s="163">
        <f t="shared" si="950"/>
        <v>0.31511125492510045</v>
      </c>
      <c r="AW103" s="163">
        <f t="shared" si="950"/>
        <v>0.2829184799502642</v>
      </c>
      <c r="AX103" s="163">
        <f t="shared" si="950"/>
        <v>0.31724473015398413</v>
      </c>
      <c r="AY103" s="163">
        <f t="shared" si="950"/>
        <v>0.3373323534815359</v>
      </c>
      <c r="AZ103" s="163">
        <f t="shared" si="950"/>
        <v>0.55005267104699329</v>
      </c>
      <c r="BA103" s="163">
        <f t="shared" si="950"/>
        <v>0.85096214524312352</v>
      </c>
      <c r="BB103" s="163">
        <f t="shared" si="950"/>
        <v>0.90814962114718678</v>
      </c>
      <c r="BC103" s="163">
        <f t="shared" si="950"/>
        <v>0.87716153449165657</v>
      </c>
      <c r="BD103" s="163">
        <f t="shared" si="950"/>
        <v>0.89362284279887039</v>
      </c>
      <c r="BE103" s="163">
        <f t="shared" si="950"/>
        <v>1.0357223706252545</v>
      </c>
      <c r="BF103" s="163">
        <f t="shared" si="950"/>
        <v>1.314785430298276</v>
      </c>
      <c r="BG103" s="163">
        <f t="shared" si="950"/>
        <v>1.0547750895274695</v>
      </c>
      <c r="BH103" s="163">
        <f t="shared" si="950"/>
        <v>1.2802357236652466</v>
      </c>
      <c r="BI103" s="163">
        <f t="shared" si="950"/>
        <v>1.1532142284033164</v>
      </c>
      <c r="BJ103" s="163">
        <f t="shared" si="950"/>
        <v>1.0209170809726067</v>
      </c>
      <c r="BK103" s="163">
        <f t="shared" si="950"/>
        <v>0.91945046346454773</v>
      </c>
      <c r="BL103" s="163">
        <f t="shared" si="950"/>
        <v>1.0469605554142876</v>
      </c>
      <c r="BM103" s="163">
        <f t="shared" si="950"/>
        <v>1.0338086401666828</v>
      </c>
      <c r="BN103" s="163">
        <f t="shared" si="950"/>
        <v>0.92365125606924203</v>
      </c>
      <c r="BO103" s="163">
        <f t="shared" si="950"/>
        <v>1.0582830129094614</v>
      </c>
      <c r="BP103" s="163">
        <f t="shared" si="950"/>
        <v>1.0958411507191994</v>
      </c>
      <c r="BQ103" s="163">
        <f t="shared" si="950"/>
        <v>1.3213686249193028</v>
      </c>
      <c r="BR103" s="163">
        <f t="shared" ref="BR103:CJ103" si="951">+BR78/BR99</f>
        <v>1.3286090581285324</v>
      </c>
      <c r="BS103" s="163">
        <f t="shared" si="951"/>
        <v>1.42162877951887</v>
      </c>
      <c r="BT103" s="163">
        <f t="shared" si="951"/>
        <v>1.3281916985620688</v>
      </c>
      <c r="BU103" s="163">
        <f t="shared" si="951"/>
        <v>1.017893590515712</v>
      </c>
      <c r="BV103" s="163">
        <f t="shared" si="951"/>
        <v>0.86199896694214873</v>
      </c>
      <c r="BW103" s="163">
        <f t="shared" si="951"/>
        <v>0.91736806862026055</v>
      </c>
      <c r="BX103" s="163">
        <f t="shared" si="951"/>
        <v>1.0780802292263609</v>
      </c>
      <c r="BY103" s="163">
        <f t="shared" si="951"/>
        <v>1.0607742059264569</v>
      </c>
      <c r="BZ103" s="163">
        <f t="shared" si="951"/>
        <v>0.85843095832533123</v>
      </c>
      <c r="CA103" s="163">
        <f t="shared" si="951"/>
        <v>0.86891256026096231</v>
      </c>
      <c r="CB103" s="163">
        <f t="shared" si="951"/>
        <v>1.3238029938839675</v>
      </c>
      <c r="CC103" s="163">
        <f t="shared" si="951"/>
        <v>1.2787297678650227</v>
      </c>
      <c r="CD103" s="163">
        <f t="shared" si="951"/>
        <v>1.2762802262144597</v>
      </c>
      <c r="CE103" s="163">
        <f t="shared" si="951"/>
        <v>1.2068534456380842</v>
      </c>
      <c r="CF103" s="163">
        <f t="shared" si="951"/>
        <v>1.2262598167539265</v>
      </c>
      <c r="CG103" s="163">
        <f t="shared" si="951"/>
        <v>1.2063791544326972</v>
      </c>
      <c r="CH103" s="163">
        <f t="shared" si="951"/>
        <v>1.2143765888804021</v>
      </c>
      <c r="CI103" s="163">
        <f t="shared" si="951"/>
        <v>1.1349165963145176</v>
      </c>
      <c r="CJ103" s="163">
        <f t="shared" si="951"/>
        <v>1.1393683199231415</v>
      </c>
      <c r="CK103" s="163">
        <f t="shared" ref="CK103:CL103" si="952">+CK78/CK99</f>
        <v>0.99048952774607479</v>
      </c>
      <c r="CL103" s="163">
        <f t="shared" si="952"/>
        <v>1.0945838497696498</v>
      </c>
      <c r="CM103" s="94">
        <f t="shared" ref="CM103:DB103" si="953">+CL103</f>
        <v>1.0945838497696498</v>
      </c>
      <c r="CN103" s="94">
        <f t="shared" si="953"/>
        <v>1.0945838497696498</v>
      </c>
      <c r="CO103" s="94">
        <f t="shared" si="953"/>
        <v>1.0945838497696498</v>
      </c>
      <c r="CP103" s="94">
        <f t="shared" si="953"/>
        <v>1.0945838497696498</v>
      </c>
      <c r="CQ103" s="94">
        <f t="shared" si="953"/>
        <v>1.0945838497696498</v>
      </c>
      <c r="CR103" s="94">
        <f t="shared" si="953"/>
        <v>1.0945838497696498</v>
      </c>
      <c r="CS103" s="94">
        <f t="shared" si="953"/>
        <v>1.0945838497696498</v>
      </c>
      <c r="CT103" s="94">
        <f t="shared" si="953"/>
        <v>1.0945838497696498</v>
      </c>
      <c r="CU103" s="94">
        <f t="shared" si="953"/>
        <v>1.0945838497696498</v>
      </c>
      <c r="CV103" s="94">
        <f t="shared" si="953"/>
        <v>1.0945838497696498</v>
      </c>
      <c r="CW103" s="94">
        <f t="shared" si="953"/>
        <v>1.0945838497696498</v>
      </c>
      <c r="CX103" s="94">
        <f t="shared" si="953"/>
        <v>1.0945838497696498</v>
      </c>
      <c r="CY103" s="94">
        <f t="shared" si="953"/>
        <v>1.0945838497696498</v>
      </c>
      <c r="CZ103" s="94">
        <f t="shared" si="953"/>
        <v>1.0945838497696498</v>
      </c>
      <c r="DA103" s="94">
        <f t="shared" si="953"/>
        <v>1.0945838497696498</v>
      </c>
      <c r="DB103" s="94">
        <f t="shared" si="953"/>
        <v>1.0945838497696498</v>
      </c>
      <c r="DE103" s="164"/>
      <c r="DF103" s="163">
        <v>1.1396342461588831</v>
      </c>
    </row>
    <row r="104" spans="1:110" s="163" customFormat="1" x14ac:dyDescent="0.2">
      <c r="A104" s="163" t="s">
        <v>509</v>
      </c>
      <c r="E104" s="163">
        <f t="shared" ca="1" si="944"/>
        <v>9.2032495640841705E-2</v>
      </c>
      <c r="F104" s="163">
        <f t="shared" ca="1" si="944"/>
        <v>0.17986909444019664</v>
      </c>
      <c r="G104" s="163">
        <f t="shared" ca="1" si="944"/>
        <v>0.20393888036400001</v>
      </c>
      <c r="H104" s="163">
        <f t="shared" ca="1" si="944"/>
        <v>0.21193764480511051</v>
      </c>
      <c r="I104" s="163">
        <f t="shared" ca="1" si="944"/>
        <v>0.27993755661154118</v>
      </c>
      <c r="J104" s="163">
        <f t="shared" ca="1" si="944"/>
        <v>0.12310505728179065</v>
      </c>
      <c r="K104" s="163">
        <f t="shared" ca="1" si="944"/>
        <v>0.14658200486355039</v>
      </c>
      <c r="L104" s="163">
        <f t="shared" ca="1" si="944"/>
        <v>0.38031857155287535</v>
      </c>
      <c r="M104" s="163">
        <f t="shared" ca="1" si="944"/>
        <v>0.30916339040178414</v>
      </c>
      <c r="N104" s="163">
        <f t="shared" ca="1" si="944"/>
        <v>0.26151072499626299</v>
      </c>
      <c r="O104" s="163">
        <f t="shared" ca="1" si="944"/>
        <v>0.19771865374751263</v>
      </c>
      <c r="P104" s="163">
        <f t="shared" ca="1" si="944"/>
        <v>0.20722636216981116</v>
      </c>
      <c r="Q104" s="163">
        <f t="shared" ca="1" si="944"/>
        <v>0.21083548762697368</v>
      </c>
      <c r="R104" s="163">
        <f t="shared" ca="1" si="944"/>
        <v>0.24776122097168693</v>
      </c>
      <c r="S104" s="163">
        <f t="shared" ca="1" si="944"/>
        <v>0.70821606653213032</v>
      </c>
      <c r="T104" s="163">
        <f t="shared" ca="1" si="944"/>
        <v>0.72670911573658437</v>
      </c>
      <c r="U104" s="163">
        <f t="shared" ca="1" si="944"/>
        <v>0.41709183027232422</v>
      </c>
      <c r="V104" s="163">
        <f t="shared" ca="1" si="944"/>
        <v>0.79170012531007838</v>
      </c>
      <c r="W104" s="163">
        <f t="shared" ca="1" si="944"/>
        <v>0.59502582644628088</v>
      </c>
      <c r="X104" s="163">
        <f t="shared" ca="1" si="944"/>
        <v>0.46245438832341074</v>
      </c>
      <c r="Y104" s="163">
        <f t="shared" ca="1" si="944"/>
        <v>0.79166125550135136</v>
      </c>
      <c r="Z104" s="163">
        <f t="shared" ca="1" si="949"/>
        <v>0.86145589895005636</v>
      </c>
      <c r="AA104" s="163">
        <f t="shared" ca="1" si="949"/>
        <v>0.86145589895005636</v>
      </c>
      <c r="AB104" s="94">
        <f t="shared" ca="1" si="944"/>
        <v>0.78537409546988723</v>
      </c>
      <c r="AC104" s="94">
        <f t="shared" ca="1" si="944"/>
        <v>0.983182138733668</v>
      </c>
      <c r="AD104" s="94">
        <f t="shared" ca="1" si="944"/>
        <v>1.0989007589628317</v>
      </c>
      <c r="AE104" s="94">
        <f t="shared" ca="1" si="944"/>
        <v>1.21996250295896</v>
      </c>
      <c r="AL104" s="163">
        <f t="shared" ref="AL104:BQ104" si="954">+AL79/AL99</f>
        <v>0.28620252101848187</v>
      </c>
      <c r="AM104" s="163">
        <f t="shared" si="954"/>
        <v>0.28110434200795859</v>
      </c>
      <c r="AN104" s="163">
        <f t="shared" si="954"/>
        <v>0.2226789966221828</v>
      </c>
      <c r="AO104" s="163">
        <f t="shared" si="954"/>
        <v>0.2142752454931848</v>
      </c>
      <c r="AP104" s="163">
        <f t="shared" si="954"/>
        <v>0.1974882167524678</v>
      </c>
      <c r="AQ104" s="163">
        <f t="shared" si="954"/>
        <v>0.20895936846072216</v>
      </c>
      <c r="AR104" s="163">
        <f t="shared" si="954"/>
        <v>0.25685431136022097</v>
      </c>
      <c r="AS104" s="163">
        <f t="shared" si="954"/>
        <v>0.24561006644987982</v>
      </c>
      <c r="AT104" s="163">
        <f t="shared" si="954"/>
        <v>0.20729144479943204</v>
      </c>
      <c r="AU104" s="163">
        <f t="shared" si="954"/>
        <v>0.20833420043547796</v>
      </c>
      <c r="AV104" s="163">
        <f t="shared" si="954"/>
        <v>0.21530692654700501</v>
      </c>
      <c r="AW104" s="163">
        <f t="shared" si="954"/>
        <v>0.2471297015853279</v>
      </c>
      <c r="AX104" s="163">
        <f t="shared" si="954"/>
        <v>0.220496337270145</v>
      </c>
      <c r="AY104" s="163">
        <f t="shared" si="954"/>
        <v>0.25216975932390223</v>
      </c>
      <c r="AZ104" s="163">
        <f t="shared" si="954"/>
        <v>0.29020854163690901</v>
      </c>
      <c r="BA104" s="163">
        <f t="shared" si="954"/>
        <v>0.4862640829960706</v>
      </c>
      <c r="BB104" s="163">
        <f t="shared" si="954"/>
        <v>0.70691192100661704</v>
      </c>
      <c r="BC104" s="163">
        <f t="shared" si="954"/>
        <v>0.72658386375365547</v>
      </c>
      <c r="BD104" s="163">
        <f t="shared" si="954"/>
        <v>0.70160025101976775</v>
      </c>
      <c r="BE104" s="163">
        <f t="shared" si="954"/>
        <v>0.7596205912980486</v>
      </c>
      <c r="BF104" s="163">
        <f t="shared" si="954"/>
        <v>0.85911836545490206</v>
      </c>
      <c r="BG104" s="163">
        <f t="shared" si="954"/>
        <v>0.86027792820333648</v>
      </c>
      <c r="BH104" s="163">
        <f t="shared" si="954"/>
        <v>0.77127454120359973</v>
      </c>
      <c r="BI104" s="163">
        <f t="shared" si="954"/>
        <v>0.88323081037710616</v>
      </c>
      <c r="BJ104" s="163">
        <f t="shared" si="954"/>
        <v>0.74655611802249688</v>
      </c>
      <c r="BK104" s="163">
        <f t="shared" si="954"/>
        <v>0.79715902251113502</v>
      </c>
      <c r="BL104" s="163">
        <f t="shared" si="954"/>
        <v>0.7422426161800626</v>
      </c>
      <c r="BM104" s="163">
        <f t="shared" si="954"/>
        <v>0.78883028941628397</v>
      </c>
      <c r="BN104" s="163">
        <f t="shared" si="954"/>
        <v>0.41709183027232422</v>
      </c>
      <c r="BO104" s="163">
        <f t="shared" si="954"/>
        <v>0.59251174674871043</v>
      </c>
      <c r="BP104" s="163">
        <f t="shared" si="954"/>
        <v>0.88978267667292055</v>
      </c>
      <c r="BQ104" s="163">
        <f t="shared" si="954"/>
        <v>0.97936733376371854</v>
      </c>
      <c r="BR104" s="163">
        <f t="shared" ref="BR104:CJ104" si="955">+BR79/BR99</f>
        <v>1.054573817865637</v>
      </c>
      <c r="BS104" s="163">
        <f t="shared" si="955"/>
        <v>1.0198945277561593</v>
      </c>
      <c r="BT104" s="163">
        <f t="shared" si="955"/>
        <v>0.95427686168426895</v>
      </c>
      <c r="BU104" s="163">
        <f t="shared" si="955"/>
        <v>0.69879301383537784</v>
      </c>
      <c r="BV104" s="163">
        <f t="shared" si="955"/>
        <v>0.59502582644628088</v>
      </c>
      <c r="BW104" s="163">
        <f t="shared" si="955"/>
        <v>0.61426612671789793</v>
      </c>
      <c r="BX104" s="163">
        <f t="shared" si="955"/>
        <v>0.63863419293218715</v>
      </c>
      <c r="BY104" s="163">
        <f t="shared" si="955"/>
        <v>0.73114394050317821</v>
      </c>
      <c r="BZ104" s="163">
        <f t="shared" si="955"/>
        <v>0.63587478394468988</v>
      </c>
      <c r="CA104" s="163">
        <f t="shared" si="955"/>
        <v>0.68629610384611672</v>
      </c>
      <c r="CB104" s="163">
        <f t="shared" si="955"/>
        <v>0.80071640483651474</v>
      </c>
      <c r="CC104" s="163">
        <f t="shared" si="955"/>
        <v>1.0601420812063826</v>
      </c>
      <c r="CD104" s="163">
        <f t="shared" si="955"/>
        <v>0.96556278894235315</v>
      </c>
      <c r="CE104" s="163">
        <f t="shared" si="955"/>
        <v>0.93942664493265593</v>
      </c>
      <c r="CF104" s="163">
        <f t="shared" si="955"/>
        <v>1.0642359293193715</v>
      </c>
      <c r="CG104" s="163">
        <f t="shared" si="955"/>
        <v>0.93536389313744095</v>
      </c>
      <c r="CH104" s="163">
        <f t="shared" si="955"/>
        <v>0.86145589895005636</v>
      </c>
      <c r="CI104" s="163">
        <f t="shared" si="955"/>
        <v>0.89429885592850267</v>
      </c>
      <c r="CJ104" s="163">
        <f t="shared" si="955"/>
        <v>0.89031223730034825</v>
      </c>
      <c r="CK104" s="163">
        <f t="shared" ref="CK104:CL104" si="956">+CK79/CK99</f>
        <v>0.84342021653968346</v>
      </c>
      <c r="CL104" s="163">
        <f t="shared" si="956"/>
        <v>0.74966675241458336</v>
      </c>
      <c r="CM104" s="94">
        <f t="shared" ref="CM104:DB104" si="957">+CL104</f>
        <v>0.74966675241458336</v>
      </c>
      <c r="CN104" s="94">
        <f t="shared" si="957"/>
        <v>0.74966675241458336</v>
      </c>
      <c r="CO104" s="94">
        <f t="shared" si="957"/>
        <v>0.74966675241458336</v>
      </c>
      <c r="CP104" s="94">
        <f t="shared" si="957"/>
        <v>0.74966675241458336</v>
      </c>
      <c r="CQ104" s="94">
        <f t="shared" si="957"/>
        <v>0.74966675241458336</v>
      </c>
      <c r="CR104" s="94">
        <f t="shared" si="957"/>
        <v>0.74966675241458336</v>
      </c>
      <c r="CS104" s="94">
        <f t="shared" si="957"/>
        <v>0.74966675241458336</v>
      </c>
      <c r="CT104" s="94">
        <f t="shared" si="957"/>
        <v>0.74966675241458336</v>
      </c>
      <c r="CU104" s="94">
        <f t="shared" si="957"/>
        <v>0.74966675241458336</v>
      </c>
      <c r="CV104" s="94">
        <f t="shared" si="957"/>
        <v>0.74966675241458336</v>
      </c>
      <c r="CW104" s="94">
        <f t="shared" si="957"/>
        <v>0.74966675241458336</v>
      </c>
      <c r="CX104" s="94">
        <f t="shared" si="957"/>
        <v>0.74966675241458336</v>
      </c>
      <c r="CY104" s="94">
        <f t="shared" si="957"/>
        <v>0.74966675241458336</v>
      </c>
      <c r="CZ104" s="94">
        <f t="shared" si="957"/>
        <v>0.74966675241458336</v>
      </c>
      <c r="DA104" s="94">
        <f t="shared" si="957"/>
        <v>0.74966675241458336</v>
      </c>
      <c r="DB104" s="94">
        <f t="shared" si="957"/>
        <v>0.74966675241458336</v>
      </c>
      <c r="DE104" s="164"/>
      <c r="DF104" s="163">
        <v>0.74966675241458336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6.1875</v>
      </c>
      <c r="C107" s="162">
        <f t="shared" si="958"/>
        <v>5.5575000000000001</v>
      </c>
      <c r="D107" s="162">
        <f t="shared" si="958"/>
        <v>12.06</v>
      </c>
      <c r="E107" s="162">
        <f t="shared" ca="1" si="958"/>
        <v>151.70399999999998</v>
      </c>
      <c r="F107" s="162">
        <f t="shared" ca="1" si="958"/>
        <v>121.5438</v>
      </c>
      <c r="G107" s="162">
        <f t="shared" ca="1" si="958"/>
        <v>199.74359999999999</v>
      </c>
      <c r="H107" s="162">
        <f t="shared" ca="1" si="958"/>
        <v>203.47599999999997</v>
      </c>
      <c r="I107" s="162">
        <f t="shared" ca="1" si="958"/>
        <v>343.07979999999998</v>
      </c>
      <c r="J107" s="162">
        <f t="shared" ca="1" si="958"/>
        <v>250.43199999999999</v>
      </c>
      <c r="K107" s="162">
        <f t="shared" ca="1" si="958"/>
        <v>237.18799999999999</v>
      </c>
      <c r="L107" s="162">
        <f t="shared" ca="1" si="958"/>
        <v>347.95599999999996</v>
      </c>
      <c r="M107" s="162">
        <f t="shared" ca="1" si="958"/>
        <v>327.48799999999994</v>
      </c>
      <c r="N107" s="162">
        <f t="shared" ca="1" si="958"/>
        <v>350.36399999999998</v>
      </c>
      <c r="O107" s="162">
        <f t="shared" ca="1" si="958"/>
        <v>294.97999999999996</v>
      </c>
      <c r="P107" s="162">
        <f t="shared" ca="1" si="958"/>
        <v>346.75200000000001</v>
      </c>
      <c r="Q107" s="162">
        <f t="shared" ca="1" si="958"/>
        <v>339.52799999999996</v>
      </c>
      <c r="R107" s="162">
        <f t="shared" ca="1" si="958"/>
        <v>1059.52</v>
      </c>
      <c r="S107" s="162">
        <f t="shared" ca="1" si="958"/>
        <v>1474.8999999999999</v>
      </c>
      <c r="T107" s="162">
        <f t="shared" ca="1" si="958"/>
        <v>1598.912</v>
      </c>
      <c r="U107" s="162">
        <f t="shared" ca="1" si="958"/>
        <v>1358.7139999999999</v>
      </c>
      <c r="V107" s="162">
        <f t="shared" ca="1" si="958"/>
        <v>1105.8739999999998</v>
      </c>
      <c r="W107" s="162">
        <f t="shared" ca="1" si="958"/>
        <v>1384.6</v>
      </c>
      <c r="X107" s="162">
        <f t="shared" ca="1" si="958"/>
        <v>2100.98</v>
      </c>
      <c r="Y107" s="162">
        <f t="shared" ca="1" si="958"/>
        <v>2538.9349999999999</v>
      </c>
      <c r="Z107" s="162">
        <f t="shared" ca="1" si="958"/>
        <v>2248.4699999999998</v>
      </c>
      <c r="AA107" s="162">
        <f t="shared" ref="AA107" ca="1" si="959">+AA78*AA65</f>
        <v>2248.4699999999998</v>
      </c>
      <c r="AB107" s="21">
        <f t="shared" ca="1" si="958"/>
        <v>2413.5957334817094</v>
      </c>
      <c r="AC107" s="21">
        <f t="shared" ca="1" si="958"/>
        <v>2695.9123631143825</v>
      </c>
      <c r="AD107" s="21">
        <f t="shared" ca="1" si="958"/>
        <v>3007.7441950710886</v>
      </c>
      <c r="AE107" s="21">
        <f t="shared" ca="1" si="958"/>
        <v>3340.8878541752106</v>
      </c>
      <c r="AL107" s="162">
        <f t="shared" ref="AL107:BQ107" si="960">+AL78*AL65</f>
        <v>328.09</v>
      </c>
      <c r="AM107" s="162">
        <f t="shared" si="960"/>
        <v>294.97999999999996</v>
      </c>
      <c r="AN107" s="162">
        <f t="shared" si="960"/>
        <v>276.79959999999994</v>
      </c>
      <c r="AO107" s="162">
        <f t="shared" si="960"/>
        <v>250.25139999999999</v>
      </c>
      <c r="AP107" s="162">
        <f t="shared" si="960"/>
        <v>230.92719999999997</v>
      </c>
      <c r="AQ107" s="162">
        <f t="shared" si="960"/>
        <v>323.75559999999996</v>
      </c>
      <c r="AR107" s="162">
        <f t="shared" si="960"/>
        <v>345.18680000000001</v>
      </c>
      <c r="AS107" s="162">
        <f t="shared" si="960"/>
        <v>346.75200000000001</v>
      </c>
      <c r="AT107" s="162">
        <f t="shared" si="960"/>
        <v>313.2808</v>
      </c>
      <c r="AU107" s="162">
        <f t="shared" si="960"/>
        <v>294.97999999999996</v>
      </c>
      <c r="AV107" s="162">
        <f t="shared" si="960"/>
        <v>331.09999999999997</v>
      </c>
      <c r="AW107" s="162">
        <f t="shared" si="960"/>
        <v>291.24759999999998</v>
      </c>
      <c r="AX107" s="162">
        <f t="shared" si="960"/>
        <v>339.52799999999996</v>
      </c>
      <c r="AY107" s="162">
        <f t="shared" si="960"/>
        <v>367.21999999999997</v>
      </c>
      <c r="AZ107" s="162">
        <f t="shared" si="960"/>
        <v>616.14699999999993</v>
      </c>
      <c r="BA107" s="162">
        <f t="shared" si="960"/>
        <v>1011.3599999999999</v>
      </c>
      <c r="BB107" s="162">
        <f t="shared" si="960"/>
        <v>1059.52</v>
      </c>
      <c r="BC107" s="162">
        <f t="shared" si="960"/>
        <v>1019.788</v>
      </c>
      <c r="BD107" s="162">
        <f t="shared" si="960"/>
        <v>996.79160000000002</v>
      </c>
      <c r="BE107" s="162">
        <f t="shared" si="960"/>
        <v>1143.8</v>
      </c>
      <c r="BF107" s="162">
        <f t="shared" si="960"/>
        <v>1474.8999999999999</v>
      </c>
      <c r="BG107" s="162">
        <f t="shared" si="960"/>
        <v>1207.6119999999999</v>
      </c>
      <c r="BH107" s="162">
        <f t="shared" si="960"/>
        <v>1598.912</v>
      </c>
      <c r="BI107" s="162">
        <f t="shared" si="960"/>
        <v>1509.1537999999998</v>
      </c>
      <c r="BJ107" s="162">
        <f t="shared" si="960"/>
        <v>1353.2357999999999</v>
      </c>
      <c r="BK107" s="162">
        <f t="shared" si="960"/>
        <v>1222.06</v>
      </c>
      <c r="BL107" s="162">
        <f t="shared" si="960"/>
        <v>1358.7139999999999</v>
      </c>
      <c r="BM107" s="162">
        <f t="shared" si="960"/>
        <v>1270.2199999999998</v>
      </c>
      <c r="BN107" s="162">
        <f t="shared" si="960"/>
        <v>1093.8339999999998</v>
      </c>
      <c r="BO107" s="162">
        <f t="shared" si="960"/>
        <v>1105.8739999999998</v>
      </c>
      <c r="BP107" s="162">
        <f t="shared" si="960"/>
        <v>981.25999999999988</v>
      </c>
      <c r="BQ107" s="162">
        <f t="shared" si="960"/>
        <v>1023.4</v>
      </c>
      <c r="BR107" s="162">
        <f t="shared" ref="BR107:CJ107" si="961">+BR78*BR65</f>
        <v>1039.0519999999999</v>
      </c>
      <c r="BS107" s="162">
        <f t="shared" si="961"/>
        <v>1223.866</v>
      </c>
      <c r="BT107" s="162">
        <f t="shared" si="961"/>
        <v>1384.6</v>
      </c>
      <c r="BU107" s="162">
        <f t="shared" si="961"/>
        <v>1233.7989999999998</v>
      </c>
      <c r="BV107" s="162">
        <f t="shared" si="961"/>
        <v>1168.181</v>
      </c>
      <c r="BW107" s="162">
        <f t="shared" si="961"/>
        <v>1438.4789999999998</v>
      </c>
      <c r="BX107" s="162">
        <f t="shared" si="961"/>
        <v>1896.3</v>
      </c>
      <c r="BY107" s="162">
        <f t="shared" si="961"/>
        <v>2100.98</v>
      </c>
      <c r="BZ107" s="162">
        <f t="shared" si="961"/>
        <v>1787.9399999999998</v>
      </c>
      <c r="CA107" s="162">
        <f t="shared" si="961"/>
        <v>1805.9999999999998</v>
      </c>
      <c r="CB107" s="162">
        <f t="shared" si="961"/>
        <v>2538.9349999999999</v>
      </c>
      <c r="CC107" s="162">
        <f t="shared" si="961"/>
        <v>2347.1979999999999</v>
      </c>
      <c r="CD107" s="162">
        <f t="shared" si="961"/>
        <v>2299.64</v>
      </c>
      <c r="CE107" s="162">
        <f t="shared" si="961"/>
        <v>2169.3069999999998</v>
      </c>
      <c r="CF107" s="162">
        <f t="shared" si="961"/>
        <v>2248.4699999999998</v>
      </c>
      <c r="CG107" s="162">
        <f t="shared" si="961"/>
        <v>2161.1799999999998</v>
      </c>
      <c r="CH107" s="162">
        <f t="shared" si="961"/>
        <v>2130.4779999999996</v>
      </c>
      <c r="CI107" s="162">
        <f t="shared" si="961"/>
        <v>1949.2759999999998</v>
      </c>
      <c r="CJ107" s="162">
        <f t="shared" si="961"/>
        <v>1897.5039999999999</v>
      </c>
      <c r="CK107" s="162">
        <f t="shared" ref="CK107:CL107" si="962">+CK78*CK65</f>
        <v>1605.5339999999999</v>
      </c>
      <c r="CL107" s="162">
        <f t="shared" si="962"/>
        <v>1872.2199999999998</v>
      </c>
      <c r="CM107" s="21">
        <f t="shared" ref="CM107:DB107" si="963">+CM78*CM65</f>
        <v>1959.3048078156621</v>
      </c>
      <c r="CN107" s="21">
        <f t="shared" si="963"/>
        <v>2010.9842820214224</v>
      </c>
      <c r="CO107" s="21">
        <f t="shared" si="963"/>
        <v>2209.580490871404</v>
      </c>
      <c r="CP107" s="21">
        <f t="shared" si="963"/>
        <v>2413.5957334817094</v>
      </c>
      <c r="CQ107" s="21">
        <f t="shared" si="963"/>
        <v>2462.159828437676</v>
      </c>
      <c r="CR107" s="21">
        <f t="shared" si="963"/>
        <v>2519.4038962708851</v>
      </c>
      <c r="CS107" s="21">
        <f t="shared" si="963"/>
        <v>2596.446850198321</v>
      </c>
      <c r="CT107" s="21">
        <f t="shared" si="963"/>
        <v>2695.9123631143825</v>
      </c>
      <c r="CU107" s="21">
        <f t="shared" si="963"/>
        <v>2765.9886654987813</v>
      </c>
      <c r="CV107" s="21">
        <f t="shared" si="963"/>
        <v>2842.017213996126</v>
      </c>
      <c r="CW107" s="21">
        <f t="shared" si="963"/>
        <v>2923.3441677892188</v>
      </c>
      <c r="CX107" s="21">
        <f t="shared" si="963"/>
        <v>3007.7441950710886</v>
      </c>
      <c r="CY107" s="21">
        <f t="shared" si="963"/>
        <v>3087.2337156298995</v>
      </c>
      <c r="CZ107" s="21">
        <f t="shared" si="963"/>
        <v>3169.736976922195</v>
      </c>
      <c r="DA107" s="21">
        <f t="shared" si="963"/>
        <v>3254.3464392372657</v>
      </c>
      <c r="DB107" s="21">
        <f t="shared" si="963"/>
        <v>3340.8878541752106</v>
      </c>
      <c r="DE107" s="22"/>
      <c r="DF107" s="162">
        <v>1949.2759999999998</v>
      </c>
    </row>
    <row r="108" spans="1:110" s="162" customFormat="1" x14ac:dyDescent="0.2">
      <c r="A108" s="49" t="s">
        <v>341</v>
      </c>
      <c r="B108" s="162">
        <f t="shared" ref="B108:AE108" si="964">+B79*B65</f>
        <v>3.9487499999999995</v>
      </c>
      <c r="C108" s="162">
        <f t="shared" si="964"/>
        <v>3.0262500000000001</v>
      </c>
      <c r="D108" s="162">
        <f t="shared" si="964"/>
        <v>3.6112500000000001</v>
      </c>
      <c r="E108" s="162">
        <f t="shared" ca="1" si="964"/>
        <v>34.434399999999997</v>
      </c>
      <c r="F108" s="162">
        <f t="shared" ca="1" si="964"/>
        <v>69.350399999999993</v>
      </c>
      <c r="G108" s="162">
        <f t="shared" ca="1" si="964"/>
        <v>85.483999999999995</v>
      </c>
      <c r="H108" s="162">
        <f t="shared" ca="1" si="964"/>
        <v>96.982199999999992</v>
      </c>
      <c r="I108" s="162">
        <f t="shared" ca="1" si="964"/>
        <v>138.5804</v>
      </c>
      <c r="J108" s="162">
        <f t="shared" ca="1" si="964"/>
        <v>65.136399999999995</v>
      </c>
      <c r="K108" s="162">
        <f t="shared" ca="1" si="964"/>
        <v>74.647999999999996</v>
      </c>
      <c r="L108" s="162">
        <f t="shared" ca="1" si="964"/>
        <v>218.10459999999998</v>
      </c>
      <c r="M108" s="162">
        <f t="shared" ca="1" si="964"/>
        <v>189.02799999999999</v>
      </c>
      <c r="N108" s="162">
        <f t="shared" ca="1" si="964"/>
        <v>217.98419999999999</v>
      </c>
      <c r="O108" s="162">
        <f t="shared" ca="1" si="964"/>
        <v>199.864</v>
      </c>
      <c r="P108" s="162">
        <f t="shared" ca="1" si="964"/>
        <v>210.2184</v>
      </c>
      <c r="Q108" s="162">
        <f t="shared" ca="1" si="964"/>
        <v>216.23839999999998</v>
      </c>
      <c r="R108" s="162">
        <f t="shared" ca="1" si="964"/>
        <v>274.512</v>
      </c>
      <c r="S108" s="162">
        <f t="shared" ca="1" si="964"/>
        <v>782.59999999999991</v>
      </c>
      <c r="T108" s="162">
        <f t="shared" ca="1" si="964"/>
        <v>963.26019999999983</v>
      </c>
      <c r="U108" s="162">
        <f t="shared" ca="1" si="964"/>
        <v>493.94099999999997</v>
      </c>
      <c r="V108" s="162">
        <f t="shared" ca="1" si="964"/>
        <v>619.15699999999993</v>
      </c>
      <c r="W108" s="162">
        <f t="shared" ca="1" si="964"/>
        <v>806.37899999999991</v>
      </c>
      <c r="X108" s="162">
        <f t="shared" ca="1" si="964"/>
        <v>963.19999999999993</v>
      </c>
      <c r="Y108" s="162">
        <f t="shared" ca="1" si="964"/>
        <v>1426.4389999999999</v>
      </c>
      <c r="Z108" s="162">
        <f t="shared" ca="1" si="964"/>
        <v>1511.3209999999999</v>
      </c>
      <c r="AA108" s="162">
        <f t="shared" ref="AA108" ca="1" si="965">+AA79*AA65</f>
        <v>1511.3209999999999</v>
      </c>
      <c r="AB108" s="21">
        <f t="shared" ca="1" si="964"/>
        <v>1341.9032928126562</v>
      </c>
      <c r="AC108" s="21">
        <f t="shared" ca="1" si="964"/>
        <v>1686.3023905377011</v>
      </c>
      <c r="AD108" s="21">
        <f t="shared" ca="1" si="964"/>
        <v>1894.3909509686184</v>
      </c>
      <c r="AE108" s="21">
        <f t="shared" ca="1" si="964"/>
        <v>2114.4076573285161</v>
      </c>
      <c r="AL108" s="162">
        <f t="shared" ref="AL108:BQ108" si="966">+AL79*AL65</f>
        <v>238.63279999999997</v>
      </c>
      <c r="AM108" s="162">
        <f t="shared" si="966"/>
        <v>239.47559999999999</v>
      </c>
      <c r="AN108" s="162">
        <f t="shared" si="966"/>
        <v>201.06799999999998</v>
      </c>
      <c r="AO108" s="162">
        <f t="shared" si="966"/>
        <v>204.67999999999998</v>
      </c>
      <c r="AP108" s="162">
        <f t="shared" si="966"/>
        <v>199.864</v>
      </c>
      <c r="AQ108" s="162">
        <f t="shared" si="966"/>
        <v>210.7</v>
      </c>
      <c r="AR108" s="162">
        <f t="shared" si="966"/>
        <v>252.96039999999999</v>
      </c>
      <c r="AS108" s="162">
        <f t="shared" si="966"/>
        <v>243.20799999999997</v>
      </c>
      <c r="AT108" s="162">
        <f t="shared" si="966"/>
        <v>210.2184</v>
      </c>
      <c r="AU108" s="162">
        <f t="shared" si="966"/>
        <v>216.23839999999998</v>
      </c>
      <c r="AV108" s="162">
        <f t="shared" si="966"/>
        <v>226.23159999999999</v>
      </c>
      <c r="AW108" s="162">
        <f t="shared" si="966"/>
        <v>254.40519999999998</v>
      </c>
      <c r="AX108" s="162">
        <f t="shared" si="966"/>
        <v>235.98400000000001</v>
      </c>
      <c r="AY108" s="162">
        <f t="shared" si="966"/>
        <v>274.512</v>
      </c>
      <c r="AZ108" s="162">
        <f t="shared" si="966"/>
        <v>325.08</v>
      </c>
      <c r="BA108" s="162">
        <f t="shared" si="966"/>
        <v>577.91999999999996</v>
      </c>
      <c r="BB108" s="162">
        <f t="shared" si="966"/>
        <v>824.7399999999999</v>
      </c>
      <c r="BC108" s="162">
        <f t="shared" si="966"/>
        <v>844.7263999999999</v>
      </c>
      <c r="BD108" s="162">
        <f t="shared" si="966"/>
        <v>782.59999999999991</v>
      </c>
      <c r="BE108" s="162">
        <f t="shared" si="966"/>
        <v>838.88699999999994</v>
      </c>
      <c r="BF108" s="162">
        <f t="shared" si="966"/>
        <v>963.7417999999999</v>
      </c>
      <c r="BG108" s="162">
        <f t="shared" si="966"/>
        <v>984.93219999999997</v>
      </c>
      <c r="BH108" s="162">
        <f t="shared" si="966"/>
        <v>963.26019999999983</v>
      </c>
      <c r="BI108" s="162">
        <f t="shared" si="966"/>
        <v>1155.8399999999999</v>
      </c>
      <c r="BJ108" s="162">
        <f t="shared" si="966"/>
        <v>989.56759999999986</v>
      </c>
      <c r="BK108" s="162">
        <f t="shared" si="966"/>
        <v>1059.52</v>
      </c>
      <c r="BL108" s="162">
        <f t="shared" si="966"/>
        <v>963.26019999999983</v>
      </c>
      <c r="BM108" s="162">
        <f t="shared" si="966"/>
        <v>969.21999999999991</v>
      </c>
      <c r="BN108" s="162">
        <f t="shared" si="966"/>
        <v>493.94099999999997</v>
      </c>
      <c r="BO108" s="162">
        <f t="shared" si="966"/>
        <v>619.15699999999993</v>
      </c>
      <c r="BP108" s="162">
        <f t="shared" si="966"/>
        <v>796.74699999999996</v>
      </c>
      <c r="BQ108" s="162">
        <f t="shared" si="966"/>
        <v>758.52</v>
      </c>
      <c r="BR108" s="162">
        <f t="shared" ref="BR108:CJ108" si="967">+BR79*BR65</f>
        <v>824.7399999999999</v>
      </c>
      <c r="BS108" s="162">
        <f t="shared" si="967"/>
        <v>878.01699999999994</v>
      </c>
      <c r="BT108" s="162">
        <f t="shared" si="967"/>
        <v>994.80499999999995</v>
      </c>
      <c r="BU108" s="162">
        <f t="shared" si="967"/>
        <v>847.0139999999999</v>
      </c>
      <c r="BV108" s="162">
        <f t="shared" si="967"/>
        <v>806.37899999999991</v>
      </c>
      <c r="BW108" s="162">
        <f t="shared" si="967"/>
        <v>963.19999999999993</v>
      </c>
      <c r="BX108" s="162">
        <f t="shared" si="967"/>
        <v>1123.3319999999999</v>
      </c>
      <c r="BY108" s="162">
        <f t="shared" si="967"/>
        <v>1448.1109999999999</v>
      </c>
      <c r="BZ108" s="162">
        <f t="shared" si="967"/>
        <v>1324.3999999999999</v>
      </c>
      <c r="CA108" s="162">
        <f t="shared" si="967"/>
        <v>1426.4389999999999</v>
      </c>
      <c r="CB108" s="162">
        <f t="shared" si="967"/>
        <v>1535.7019999999998</v>
      </c>
      <c r="CC108" s="162">
        <f t="shared" si="967"/>
        <v>1945.9649999999999</v>
      </c>
      <c r="CD108" s="162">
        <f t="shared" si="967"/>
        <v>1739.78</v>
      </c>
      <c r="CE108" s="162">
        <f t="shared" si="967"/>
        <v>1688.61</v>
      </c>
      <c r="CF108" s="162">
        <f t="shared" si="967"/>
        <v>1951.3829999999998</v>
      </c>
      <c r="CG108" s="162">
        <f t="shared" si="967"/>
        <v>1675.6669999999999</v>
      </c>
      <c r="CH108" s="162">
        <f t="shared" si="967"/>
        <v>1511.3209999999999</v>
      </c>
      <c r="CI108" s="162">
        <f t="shared" si="967"/>
        <v>1536.0029999999999</v>
      </c>
      <c r="CJ108" s="162">
        <f t="shared" si="967"/>
        <v>1482.7259999999999</v>
      </c>
      <c r="CK108" s="162">
        <f t="shared" ref="CK108:CL108" si="968">+CK79*CK65</f>
        <v>1367.1419999999998</v>
      </c>
      <c r="CL108" s="162">
        <f t="shared" si="968"/>
        <v>1282.26</v>
      </c>
      <c r="CM108" s="21">
        <f t="shared" ref="CM108:DB108" si="969">+CM79*CM65</f>
        <v>1341.9032928126562</v>
      </c>
      <c r="CN108" s="21">
        <f t="shared" si="969"/>
        <v>1377.2979166256046</v>
      </c>
      <c r="CO108" s="21">
        <f t="shared" si="969"/>
        <v>1513.3139696321834</v>
      </c>
      <c r="CP108" s="21">
        <f t="shared" si="969"/>
        <v>1653.0414509054795</v>
      </c>
      <c r="CQ108" s="21">
        <f t="shared" si="969"/>
        <v>1686.3023905377011</v>
      </c>
      <c r="CR108" s="21">
        <f t="shared" si="969"/>
        <v>1725.5081347450111</v>
      </c>
      <c r="CS108" s="21">
        <f t="shared" si="969"/>
        <v>1778.2738877564061</v>
      </c>
      <c r="CT108" s="21">
        <f t="shared" si="969"/>
        <v>1846.3965702358955</v>
      </c>
      <c r="CU108" s="21">
        <f t="shared" si="969"/>
        <v>1894.3909509686184</v>
      </c>
      <c r="CV108" s="21">
        <f t="shared" si="969"/>
        <v>1946.461950421784</v>
      </c>
      <c r="CW108" s="21">
        <f t="shared" si="969"/>
        <v>2002.1617612189823</v>
      </c>
      <c r="CX108" s="21">
        <f t="shared" si="969"/>
        <v>2059.9662815117103</v>
      </c>
      <c r="CY108" s="21">
        <f t="shared" si="969"/>
        <v>2114.4076573285161</v>
      </c>
      <c r="CZ108" s="21">
        <f t="shared" si="969"/>
        <v>2170.9131063807963</v>
      </c>
      <c r="DA108" s="21">
        <f t="shared" si="969"/>
        <v>2228.8610661014068</v>
      </c>
      <c r="DB108" s="21">
        <f t="shared" si="969"/>
        <v>2288.1321959463662</v>
      </c>
      <c r="DE108" s="22"/>
      <c r="DF108" s="162">
        <v>1282.26</v>
      </c>
    </row>
    <row r="109" spans="1:110" s="162" customFormat="1" x14ac:dyDescent="0.2">
      <c r="A109" s="49" t="s">
        <v>80</v>
      </c>
      <c r="B109" s="162">
        <f>+B168</f>
        <v>161.5224</v>
      </c>
      <c r="C109" s="162">
        <f t="shared" ref="C109:W109" si="970">+C168</f>
        <v>149.51560000000001</v>
      </c>
      <c r="D109" s="162">
        <f t="shared" si="970"/>
        <v>104.03219999999999</v>
      </c>
      <c r="E109" s="162">
        <f t="shared" si="970"/>
        <v>63.409199999999991</v>
      </c>
      <c r="F109" s="162">
        <f t="shared" si="970"/>
        <v>87.633800000000008</v>
      </c>
      <c r="G109" s="162">
        <f t="shared" si="970"/>
        <v>63.197500000000005</v>
      </c>
      <c r="H109" s="162">
        <f t="shared" si="970"/>
        <v>171.68290000000002</v>
      </c>
      <c r="I109" s="162">
        <f t="shared" si="970"/>
        <v>260.30399999999997</v>
      </c>
      <c r="J109" s="162">
        <f t="shared" si="970"/>
        <v>306.0129</v>
      </c>
      <c r="K109" s="162">
        <f t="shared" si="970"/>
        <v>233.71669999999997</v>
      </c>
      <c r="L109" s="162">
        <f t="shared" si="970"/>
        <v>368.702</v>
      </c>
      <c r="M109" s="162">
        <f t="shared" si="970"/>
        <v>213.209</v>
      </c>
      <c r="N109" s="162">
        <f t="shared" si="970"/>
        <v>360.39329999999995</v>
      </c>
      <c r="O109" s="162">
        <f t="shared" si="970"/>
        <v>359.50990000000002</v>
      </c>
      <c r="P109" s="162">
        <f t="shared" si="970"/>
        <v>317.03090000000003</v>
      </c>
      <c r="Q109" s="162">
        <f t="shared" si="970"/>
        <v>291.43959999999998</v>
      </c>
      <c r="R109" s="162">
        <f t="shared" si="970"/>
        <v>150.61000000000001</v>
      </c>
      <c r="S109" s="162">
        <f t="shared" si="970"/>
        <v>5.3999999999999773</v>
      </c>
      <c r="T109" s="162">
        <f t="shared" si="970"/>
        <v>-214.57</v>
      </c>
      <c r="U109" s="162">
        <f t="shared" si="970"/>
        <v>-316.14000000000004</v>
      </c>
      <c r="V109" s="162">
        <f t="shared" si="970"/>
        <v>-199.18</v>
      </c>
      <c r="W109" s="162">
        <f t="shared" si="970"/>
        <v>-326.45</v>
      </c>
      <c r="X109" s="162">
        <f t="shared" ref="X109:Y109" si="971">+X168</f>
        <v>-497.26</v>
      </c>
      <c r="Y109" s="162">
        <f t="shared" si="971"/>
        <v>-587.46</v>
      </c>
      <c r="Z109" s="162">
        <f t="shared" ref="Z109:AA109" si="972">+Z168</f>
        <v>-591.06999999999994</v>
      </c>
      <c r="AA109" s="162">
        <f t="shared" si="972"/>
        <v>-146.07</v>
      </c>
      <c r="AB109" s="21">
        <f t="shared" ref="AA109:AD109" si="973">+AB168</f>
        <v>-268.8358419803568</v>
      </c>
      <c r="AC109" s="21">
        <f t="shared" si="973"/>
        <v>-420.65193183861589</v>
      </c>
      <c r="AD109" s="21">
        <f t="shared" si="973"/>
        <v>-586.36595289550792</v>
      </c>
      <c r="AE109" s="21">
        <f t="shared" ref="AE109" si="974">+AE168</f>
        <v>-764.76126696350093</v>
      </c>
      <c r="AL109" s="162">
        <f t="shared" ref="AL109:AM109" si="975">+AL168</f>
        <v>298.05</v>
      </c>
      <c r="AM109" s="162">
        <f t="shared" si="975"/>
        <v>280.45377042076518</v>
      </c>
      <c r="AN109" s="162">
        <f t="shared" ref="AN109:AO109" si="976">+AN168</f>
        <v>290.86</v>
      </c>
      <c r="AO109" s="162">
        <f t="shared" si="976"/>
        <v>288.76182008203193</v>
      </c>
      <c r="AP109" s="162">
        <f t="shared" ref="AP109:CD109" si="977">+AP168</f>
        <v>326.8</v>
      </c>
      <c r="AQ109" s="162">
        <f t="shared" si="977"/>
        <v>307.35644203352103</v>
      </c>
      <c r="AR109" s="162">
        <f t="shared" si="977"/>
        <v>306.90000000000003</v>
      </c>
      <c r="AS109" s="162">
        <f t="shared" si="977"/>
        <v>312.5488872951712</v>
      </c>
      <c r="AT109" s="162">
        <f t="shared" si="977"/>
        <v>271.75</v>
      </c>
      <c r="AU109" s="162">
        <f t="shared" si="977"/>
        <v>258.69788750481575</v>
      </c>
      <c r="AV109" s="162">
        <f t="shared" si="977"/>
        <v>290.08000000000004</v>
      </c>
      <c r="AW109" s="162">
        <f t="shared" si="977"/>
        <v>282.59850702021663</v>
      </c>
      <c r="AX109" s="162">
        <f t="shared" si="977"/>
        <v>244.32</v>
      </c>
      <c r="AY109" s="162">
        <f t="shared" si="977"/>
        <v>213.03272680822079</v>
      </c>
      <c r="AZ109" s="162">
        <f t="shared" si="977"/>
        <v>219.58999999999997</v>
      </c>
      <c r="BA109" s="162">
        <f t="shared" si="977"/>
        <v>187.44111066574339</v>
      </c>
      <c r="BB109" s="162">
        <f t="shared" si="977"/>
        <v>96.73</v>
      </c>
      <c r="BC109" s="162">
        <f t="shared" si="977"/>
        <v>62.025375979665355</v>
      </c>
      <c r="BD109" s="162">
        <f t="shared" si="977"/>
        <v>94.070000000000007</v>
      </c>
      <c r="BE109" s="162">
        <f t="shared" si="977"/>
        <v>85.131405315029866</v>
      </c>
      <c r="BF109" s="162">
        <f t="shared" si="977"/>
        <v>-52.010000000000005</v>
      </c>
      <c r="BG109" s="162">
        <f t="shared" si="977"/>
        <v>-84.383020983041192</v>
      </c>
      <c r="BH109" s="162">
        <f t="shared" si="977"/>
        <v>-121.04999999999998</v>
      </c>
      <c r="BI109" s="162">
        <f t="shared" si="977"/>
        <v>-168.82025807425291</v>
      </c>
      <c r="BJ109" s="162">
        <f t="shared" si="977"/>
        <v>-260.02</v>
      </c>
      <c r="BK109" s="162">
        <f t="shared" si="977"/>
        <v>-288.55496161859855</v>
      </c>
      <c r="BL109" s="162">
        <f t="shared" si="977"/>
        <v>-227.12</v>
      </c>
      <c r="BM109" s="162">
        <f t="shared" si="977"/>
        <v>-274.53841773628938</v>
      </c>
      <c r="BN109" s="162">
        <f t="shared" si="977"/>
        <v>-319.72000000000003</v>
      </c>
      <c r="BO109" s="162">
        <f t="shared" si="977"/>
        <v>-370.3689058158775</v>
      </c>
      <c r="BP109" s="162">
        <f t="shared" si="977"/>
        <v>-148.62</v>
      </c>
      <c r="BQ109" s="162">
        <f t="shared" si="977"/>
        <v>-134.97430793777423</v>
      </c>
      <c r="BR109" s="162">
        <f t="shared" si="977"/>
        <v>-199.44</v>
      </c>
      <c r="BS109" s="162">
        <f t="shared" si="977"/>
        <v>-265.3971807618409</v>
      </c>
      <c r="BT109" s="162">
        <f t="shared" si="977"/>
        <v>-161.39999999999998</v>
      </c>
      <c r="BU109" s="162">
        <f t="shared" si="977"/>
        <v>-166.16494939759039</v>
      </c>
      <c r="BV109" s="162">
        <f t="shared" si="977"/>
        <v>-326.45</v>
      </c>
      <c r="BW109" s="162">
        <f t="shared" si="977"/>
        <v>-389.30063612042977</v>
      </c>
      <c r="BX109" s="162">
        <f t="shared" si="977"/>
        <v>-175.41</v>
      </c>
      <c r="BY109" s="162">
        <f t="shared" si="977"/>
        <v>-284.81627966571682</v>
      </c>
      <c r="BZ109" s="162">
        <f t="shared" si="977"/>
        <v>-497.26</v>
      </c>
      <c r="CA109" s="162">
        <f t="shared" si="977"/>
        <v>-595.42086588621169</v>
      </c>
      <c r="CB109" s="162">
        <f t="shared" si="977"/>
        <v>-590.05999999999995</v>
      </c>
      <c r="CC109" s="162">
        <f t="shared" si="977"/>
        <v>-610.15724196931228</v>
      </c>
      <c r="CD109" s="162">
        <f t="shared" si="977"/>
        <v>-587.46</v>
      </c>
      <c r="CE109" s="162">
        <f t="shared" ref="CE109:CF109" si="978">+CE168</f>
        <v>-656.56110672376406</v>
      </c>
      <c r="CF109" s="162">
        <f t="shared" si="978"/>
        <v>-659.59999999999991</v>
      </c>
      <c r="CG109" s="162">
        <f t="shared" ref="CG109:CH109" si="979">+CG168</f>
        <v>-657.1689404472105</v>
      </c>
      <c r="CH109" s="162">
        <f t="shared" si="979"/>
        <v>-591.06999999999994</v>
      </c>
      <c r="CI109" s="162">
        <f t="shared" ref="CI109:CJ109" si="980">+CI168</f>
        <v>-713.30181049069381</v>
      </c>
      <c r="CJ109" s="162">
        <f t="shared" si="980"/>
        <v>-467.76</v>
      </c>
      <c r="CK109" s="162">
        <f t="shared" ref="CK109:CL109" si="981">+CK168</f>
        <v>-436.90783783783786</v>
      </c>
      <c r="CL109" s="162">
        <f t="shared" si="981"/>
        <v>-146.07</v>
      </c>
      <c r="CM109" s="21">
        <f t="shared" ref="CM109:DB109" si="982">+CM168</f>
        <v>-498.14850777625441</v>
      </c>
      <c r="CN109" s="21">
        <f t="shared" si="982"/>
        <v>-582.24150387669488</v>
      </c>
      <c r="CO109" s="21">
        <f t="shared" si="982"/>
        <v>-547.15494481952214</v>
      </c>
      <c r="CP109" s="21">
        <f t="shared" si="982"/>
        <v>-268.8358419803568</v>
      </c>
      <c r="CQ109" s="21">
        <f t="shared" si="982"/>
        <v>-652.35114361776709</v>
      </c>
      <c r="CR109" s="21">
        <f t="shared" si="982"/>
        <v>-734.36309083723836</v>
      </c>
      <c r="CS109" s="21">
        <f t="shared" si="982"/>
        <v>-698.4715492330098</v>
      </c>
      <c r="CT109" s="21">
        <f t="shared" si="982"/>
        <v>-420.65193183861589</v>
      </c>
      <c r="CU109" s="21">
        <f t="shared" si="982"/>
        <v>-812.68111922760249</v>
      </c>
      <c r="CV109" s="21">
        <f t="shared" si="982"/>
        <v>-896.48652901643231</v>
      </c>
      <c r="CW109" s="21">
        <f t="shared" si="982"/>
        <v>-862.67984812548525</v>
      </c>
      <c r="CX109" s="21">
        <f t="shared" si="982"/>
        <v>-586.36595289550792</v>
      </c>
      <c r="CY109" s="21">
        <f t="shared" si="982"/>
        <v>-983.75944154723641</v>
      </c>
      <c r="CZ109" s="21">
        <f t="shared" si="982"/>
        <v>-1070.6105181554319</v>
      </c>
      <c r="DA109" s="21">
        <f t="shared" si="982"/>
        <v>-1039.5137631481114</v>
      </c>
      <c r="DB109" s="21">
        <f t="shared" si="982"/>
        <v>-764.76126696350093</v>
      </c>
      <c r="DE109" s="22"/>
      <c r="DF109" s="162">
        <v>-146.07</v>
      </c>
    </row>
    <row r="110" spans="1:110" s="162" customFormat="1" x14ac:dyDescent="0.2">
      <c r="A110" s="49" t="s">
        <v>342</v>
      </c>
      <c r="B110" s="162">
        <f>+B107+B109</f>
        <v>167.7099</v>
      </c>
      <c r="C110" s="162">
        <f t="shared" ref="C110:W110" si="983">+C107+C109</f>
        <v>155.07310000000001</v>
      </c>
      <c r="D110" s="162">
        <f t="shared" si="983"/>
        <v>116.09219999999999</v>
      </c>
      <c r="E110" s="162">
        <f t="shared" ca="1" si="983"/>
        <v>215.11319999999998</v>
      </c>
      <c r="F110" s="162">
        <f t="shared" ca="1" si="983"/>
        <v>209.17760000000001</v>
      </c>
      <c r="G110" s="162">
        <f t="shared" ca="1" si="983"/>
        <v>262.94110000000001</v>
      </c>
      <c r="H110" s="162">
        <f t="shared" ca="1" si="983"/>
        <v>375.15890000000002</v>
      </c>
      <c r="I110" s="162">
        <f t="shared" ca="1" si="983"/>
        <v>603.38379999999995</v>
      </c>
      <c r="J110" s="162">
        <f t="shared" ca="1" si="983"/>
        <v>556.44489999999996</v>
      </c>
      <c r="K110" s="162">
        <f t="shared" ca="1" si="983"/>
        <v>470.90469999999993</v>
      </c>
      <c r="L110" s="162">
        <f t="shared" ca="1" si="983"/>
        <v>716.6579999999999</v>
      </c>
      <c r="M110" s="162">
        <f t="shared" ca="1" si="983"/>
        <v>540.69699999999989</v>
      </c>
      <c r="N110" s="162">
        <f t="shared" ca="1" si="983"/>
        <v>710.75729999999999</v>
      </c>
      <c r="O110" s="162">
        <f t="shared" ca="1" si="983"/>
        <v>654.48990000000003</v>
      </c>
      <c r="P110" s="162">
        <f t="shared" ca="1" si="983"/>
        <v>663.78290000000004</v>
      </c>
      <c r="Q110" s="162">
        <f t="shared" ca="1" si="983"/>
        <v>630.96759999999995</v>
      </c>
      <c r="R110" s="162">
        <f t="shared" ca="1" si="983"/>
        <v>1210.1300000000001</v>
      </c>
      <c r="S110" s="162">
        <f t="shared" ca="1" si="983"/>
        <v>1480.2999999999997</v>
      </c>
      <c r="T110" s="162">
        <f t="shared" ca="1" si="983"/>
        <v>1384.3420000000001</v>
      </c>
      <c r="U110" s="162">
        <f t="shared" ca="1" si="983"/>
        <v>1042.5739999999998</v>
      </c>
      <c r="V110" s="162">
        <f t="shared" ca="1" si="983"/>
        <v>906.69399999999973</v>
      </c>
      <c r="W110" s="162">
        <f t="shared" ca="1" si="983"/>
        <v>1058.1499999999999</v>
      </c>
      <c r="X110" s="162">
        <f t="shared" ref="X110:Y110" ca="1" si="984">+X107+X109</f>
        <v>1603.72</v>
      </c>
      <c r="Y110" s="162">
        <f t="shared" ca="1" si="984"/>
        <v>1951.4749999999999</v>
      </c>
      <c r="Z110" s="162">
        <f t="shared" ref="Z110:AA110" ca="1" si="985">+Z107+Z109</f>
        <v>1657.3999999999999</v>
      </c>
      <c r="AA110" s="162">
        <f t="shared" ca="1" si="985"/>
        <v>1657.3999999999999</v>
      </c>
      <c r="AB110" s="21">
        <f t="shared" ref="AA110:AD110" ca="1" si="986">+AB107+AB109</f>
        <v>2144.7598915013527</v>
      </c>
      <c r="AC110" s="21">
        <f t="shared" ca="1" si="986"/>
        <v>2275.2604312757667</v>
      </c>
      <c r="AD110" s="21">
        <f t="shared" ca="1" si="986"/>
        <v>2421.3782421755805</v>
      </c>
      <c r="AE110" s="21">
        <f t="shared" ref="AE110" ca="1" si="987">+AE107+AE109</f>
        <v>2576.1265872117096</v>
      </c>
      <c r="AL110" s="162">
        <f t="shared" ref="AL110" si="988">+AL107+AL109</f>
        <v>626.14</v>
      </c>
      <c r="AM110" s="162">
        <f t="shared" ref="AM110:AO110" si="989">+AM107+AM109</f>
        <v>575.43377042076509</v>
      </c>
      <c r="AN110" s="162">
        <f t="shared" si="989"/>
        <v>567.65959999999995</v>
      </c>
      <c r="AO110" s="162">
        <f t="shared" si="989"/>
        <v>539.01322008203192</v>
      </c>
      <c r="AP110" s="162">
        <f t="shared" ref="AP110:CD110" si="990">+AP107+AP109</f>
        <v>557.72720000000004</v>
      </c>
      <c r="AQ110" s="162">
        <f t="shared" si="990"/>
        <v>631.11204203352099</v>
      </c>
      <c r="AR110" s="162">
        <f t="shared" si="990"/>
        <v>652.08680000000004</v>
      </c>
      <c r="AS110" s="162">
        <f t="shared" si="990"/>
        <v>659.30088729517115</v>
      </c>
      <c r="AT110" s="162">
        <f t="shared" si="990"/>
        <v>585.0308</v>
      </c>
      <c r="AU110" s="162">
        <f t="shared" si="990"/>
        <v>553.67788750481577</v>
      </c>
      <c r="AV110" s="162">
        <f t="shared" si="990"/>
        <v>621.18000000000006</v>
      </c>
      <c r="AW110" s="162">
        <f t="shared" si="990"/>
        <v>573.84610702021655</v>
      </c>
      <c r="AX110" s="162">
        <f t="shared" si="990"/>
        <v>583.84799999999996</v>
      </c>
      <c r="AY110" s="162">
        <f t="shared" si="990"/>
        <v>580.25272680822081</v>
      </c>
      <c r="AZ110" s="162">
        <f t="shared" si="990"/>
        <v>835.73699999999985</v>
      </c>
      <c r="BA110" s="162">
        <f t="shared" si="990"/>
        <v>1198.8011106657432</v>
      </c>
      <c r="BB110" s="162">
        <f t="shared" si="990"/>
        <v>1156.25</v>
      </c>
      <c r="BC110" s="162">
        <f t="shared" si="990"/>
        <v>1081.8133759796654</v>
      </c>
      <c r="BD110" s="162">
        <f t="shared" si="990"/>
        <v>1090.8616</v>
      </c>
      <c r="BE110" s="162">
        <f t="shared" si="990"/>
        <v>1228.9314053150299</v>
      </c>
      <c r="BF110" s="162">
        <f t="shared" si="990"/>
        <v>1422.8899999999999</v>
      </c>
      <c r="BG110" s="162">
        <f t="shared" si="990"/>
        <v>1123.2289790169586</v>
      </c>
      <c r="BH110" s="162">
        <f t="shared" si="990"/>
        <v>1477.8620000000001</v>
      </c>
      <c r="BI110" s="162">
        <f t="shared" si="990"/>
        <v>1340.3335419257469</v>
      </c>
      <c r="BJ110" s="162">
        <f t="shared" si="990"/>
        <v>1093.2157999999999</v>
      </c>
      <c r="BK110" s="162">
        <f t="shared" si="990"/>
        <v>933.50503838140139</v>
      </c>
      <c r="BL110" s="162">
        <f t="shared" si="990"/>
        <v>1131.5940000000001</v>
      </c>
      <c r="BM110" s="162">
        <f t="shared" si="990"/>
        <v>995.68158226371042</v>
      </c>
      <c r="BN110" s="162">
        <f t="shared" si="990"/>
        <v>774.11399999999981</v>
      </c>
      <c r="BO110" s="162">
        <f t="shared" si="990"/>
        <v>735.5050941841223</v>
      </c>
      <c r="BP110" s="162">
        <f t="shared" si="990"/>
        <v>832.63999999999987</v>
      </c>
      <c r="BQ110" s="162">
        <f t="shared" si="990"/>
        <v>888.42569206222572</v>
      </c>
      <c r="BR110" s="162">
        <f t="shared" si="990"/>
        <v>839.61199999999985</v>
      </c>
      <c r="BS110" s="162">
        <f t="shared" si="990"/>
        <v>958.46881923815909</v>
      </c>
      <c r="BT110" s="162">
        <f t="shared" si="990"/>
        <v>1223.1999999999998</v>
      </c>
      <c r="BU110" s="162">
        <f t="shared" si="990"/>
        <v>1067.6340506024094</v>
      </c>
      <c r="BV110" s="162">
        <f t="shared" si="990"/>
        <v>841.73099999999999</v>
      </c>
      <c r="BW110" s="162">
        <f t="shared" si="990"/>
        <v>1049.17836387957</v>
      </c>
      <c r="BX110" s="162">
        <f t="shared" si="990"/>
        <v>1720.8899999999999</v>
      </c>
      <c r="BY110" s="162">
        <f t="shared" si="990"/>
        <v>1816.1637203342832</v>
      </c>
      <c r="BZ110" s="162">
        <f t="shared" si="990"/>
        <v>1290.6799999999998</v>
      </c>
      <c r="CA110" s="162">
        <f t="shared" si="990"/>
        <v>1210.5791341137881</v>
      </c>
      <c r="CB110" s="162">
        <f t="shared" si="990"/>
        <v>1948.875</v>
      </c>
      <c r="CC110" s="162">
        <f t="shared" si="990"/>
        <v>1737.0407580306876</v>
      </c>
      <c r="CD110" s="162">
        <f t="shared" si="990"/>
        <v>1712.1799999999998</v>
      </c>
      <c r="CE110" s="162">
        <f t="shared" ref="CE110:CF110" si="991">+CE107+CE109</f>
        <v>1512.7458932762356</v>
      </c>
      <c r="CF110" s="162">
        <f t="shared" si="991"/>
        <v>1588.87</v>
      </c>
      <c r="CG110" s="162">
        <f t="shared" ref="CG110:CH110" si="992">+CG107+CG109</f>
        <v>1504.0110595527894</v>
      </c>
      <c r="CH110" s="162">
        <f t="shared" si="992"/>
        <v>1539.4079999999997</v>
      </c>
      <c r="CI110" s="162">
        <f t="shared" ref="CI110:CJ110" si="993">+CI107+CI109</f>
        <v>1235.9741895093061</v>
      </c>
      <c r="CJ110" s="162">
        <f t="shared" si="993"/>
        <v>1429.7439999999999</v>
      </c>
      <c r="CK110" s="162">
        <f t="shared" ref="CK110:CL110" si="994">+CK107+CK109</f>
        <v>1168.626162162162</v>
      </c>
      <c r="CL110" s="162">
        <f t="shared" si="994"/>
        <v>1726.1499999999999</v>
      </c>
      <c r="CM110" s="21">
        <f t="shared" ref="CM110:DB110" si="995">+CM107+CM109</f>
        <v>1461.1563000394076</v>
      </c>
      <c r="CN110" s="21">
        <f t="shared" si="995"/>
        <v>1428.7427781447275</v>
      </c>
      <c r="CO110" s="21">
        <f t="shared" si="995"/>
        <v>1662.4255460518818</v>
      </c>
      <c r="CP110" s="21">
        <f t="shared" si="995"/>
        <v>2144.7598915013527</v>
      </c>
      <c r="CQ110" s="21">
        <f t="shared" si="995"/>
        <v>1809.8086848199089</v>
      </c>
      <c r="CR110" s="21">
        <f t="shared" si="995"/>
        <v>1785.0408054336467</v>
      </c>
      <c r="CS110" s="21">
        <f t="shared" si="995"/>
        <v>1897.9753009653114</v>
      </c>
      <c r="CT110" s="21">
        <f t="shared" si="995"/>
        <v>2275.2604312757667</v>
      </c>
      <c r="CU110" s="21">
        <f t="shared" si="995"/>
        <v>1953.3075462711788</v>
      </c>
      <c r="CV110" s="21">
        <f t="shared" si="995"/>
        <v>1945.5306849796937</v>
      </c>
      <c r="CW110" s="21">
        <f t="shared" si="995"/>
        <v>2060.6643196637333</v>
      </c>
      <c r="CX110" s="21">
        <f t="shared" si="995"/>
        <v>2421.3782421755805</v>
      </c>
      <c r="CY110" s="21">
        <f t="shared" si="995"/>
        <v>2103.4742740826632</v>
      </c>
      <c r="CZ110" s="21">
        <f t="shared" si="995"/>
        <v>2099.1264587667629</v>
      </c>
      <c r="DA110" s="21">
        <f t="shared" si="995"/>
        <v>2214.8326760891541</v>
      </c>
      <c r="DB110" s="21">
        <f t="shared" si="995"/>
        <v>2576.1265872117096</v>
      </c>
      <c r="DE110" s="22"/>
      <c r="DF110" s="162">
        <v>1803.2059999999999</v>
      </c>
    </row>
    <row r="111" spans="1:110" s="162" customFormat="1" x14ac:dyDescent="0.2">
      <c r="A111" s="49" t="s">
        <v>345</v>
      </c>
      <c r="B111" s="162">
        <f>+B108+B109</f>
        <v>165.47114999999999</v>
      </c>
      <c r="C111" s="162">
        <f t="shared" ref="C111:W111" si="996">+C108+C109</f>
        <v>152.54185000000001</v>
      </c>
      <c r="D111" s="162">
        <f t="shared" si="996"/>
        <v>107.64344999999999</v>
      </c>
      <c r="E111" s="162">
        <f t="shared" ca="1" si="996"/>
        <v>97.843599999999981</v>
      </c>
      <c r="F111" s="162">
        <f t="shared" ca="1" si="996"/>
        <v>156.98419999999999</v>
      </c>
      <c r="G111" s="162">
        <f t="shared" ca="1" si="996"/>
        <v>148.6815</v>
      </c>
      <c r="H111" s="162">
        <f t="shared" ca="1" si="996"/>
        <v>268.6651</v>
      </c>
      <c r="I111" s="162">
        <f t="shared" ca="1" si="996"/>
        <v>398.88439999999997</v>
      </c>
      <c r="J111" s="162">
        <f t="shared" ca="1" si="996"/>
        <v>371.14929999999998</v>
      </c>
      <c r="K111" s="162">
        <f t="shared" ca="1" si="996"/>
        <v>308.36469999999997</v>
      </c>
      <c r="L111" s="162">
        <f t="shared" ca="1" si="996"/>
        <v>586.8066</v>
      </c>
      <c r="M111" s="162">
        <f t="shared" ca="1" si="996"/>
        <v>402.23699999999997</v>
      </c>
      <c r="N111" s="162">
        <f t="shared" ca="1" si="996"/>
        <v>578.37749999999994</v>
      </c>
      <c r="O111" s="162">
        <f t="shared" ca="1" si="996"/>
        <v>559.37390000000005</v>
      </c>
      <c r="P111" s="162">
        <f t="shared" ca="1" si="996"/>
        <v>527.24930000000006</v>
      </c>
      <c r="Q111" s="162">
        <f t="shared" ca="1" si="996"/>
        <v>507.678</v>
      </c>
      <c r="R111" s="162">
        <f t="shared" ca="1" si="996"/>
        <v>425.12200000000001</v>
      </c>
      <c r="S111" s="162">
        <f t="shared" ca="1" si="996"/>
        <v>787.99999999999989</v>
      </c>
      <c r="T111" s="162">
        <f t="shared" ca="1" si="996"/>
        <v>748.69019999999978</v>
      </c>
      <c r="U111" s="162">
        <f t="shared" ca="1" si="996"/>
        <v>177.80099999999993</v>
      </c>
      <c r="V111" s="162">
        <f t="shared" ca="1" si="996"/>
        <v>419.97699999999992</v>
      </c>
      <c r="W111" s="162">
        <f t="shared" ca="1" si="996"/>
        <v>479.92899999999992</v>
      </c>
      <c r="X111" s="162">
        <f t="shared" ref="X111:Y111" ca="1" si="997">+X108+X109</f>
        <v>465.93999999999994</v>
      </c>
      <c r="Y111" s="162">
        <f t="shared" ca="1" si="997"/>
        <v>838.97899999999981</v>
      </c>
      <c r="Z111" s="162">
        <f t="shared" ref="Z111:AA111" ca="1" si="998">+Z108+Z109</f>
        <v>920.25099999999998</v>
      </c>
      <c r="AA111" s="162">
        <f t="shared" ca="1" si="998"/>
        <v>920.25099999999998</v>
      </c>
      <c r="AB111" s="21">
        <f t="shared" ref="AA111:AD111" ca="1" si="999">+AB108+AB109</f>
        <v>1073.0674508322995</v>
      </c>
      <c r="AC111" s="21">
        <f t="shared" ca="1" si="999"/>
        <v>1265.6504586990852</v>
      </c>
      <c r="AD111" s="21">
        <f t="shared" ca="1" si="999"/>
        <v>1308.0249980731105</v>
      </c>
      <c r="AE111" s="21">
        <f t="shared" ref="AE111" ca="1" si="1000">+AE108+AE109</f>
        <v>1349.6463903650151</v>
      </c>
      <c r="AL111" s="162">
        <f t="shared" ref="AL111:AM111" si="1001">+AL108+AL109</f>
        <v>536.68280000000004</v>
      </c>
      <c r="AM111" s="162">
        <f t="shared" si="1001"/>
        <v>519.92937042076517</v>
      </c>
      <c r="AN111" s="162">
        <f t="shared" ref="AN111:AO111" si="1002">+AN108+AN109</f>
        <v>491.928</v>
      </c>
      <c r="AO111" s="162">
        <f t="shared" si="1002"/>
        <v>493.44182008203188</v>
      </c>
      <c r="AP111" s="162">
        <f t="shared" ref="AP111:CD111" si="1003">+AP108+AP109</f>
        <v>526.66399999999999</v>
      </c>
      <c r="AQ111" s="162">
        <f t="shared" si="1003"/>
        <v>518.05644203352108</v>
      </c>
      <c r="AR111" s="162">
        <f t="shared" si="1003"/>
        <v>559.86040000000003</v>
      </c>
      <c r="AS111" s="162">
        <f t="shared" si="1003"/>
        <v>555.75688729517117</v>
      </c>
      <c r="AT111" s="162">
        <f t="shared" si="1003"/>
        <v>481.96839999999997</v>
      </c>
      <c r="AU111" s="162">
        <f t="shared" si="1003"/>
        <v>474.93628750481571</v>
      </c>
      <c r="AV111" s="162">
        <f t="shared" si="1003"/>
        <v>516.3116</v>
      </c>
      <c r="AW111" s="162">
        <f t="shared" si="1003"/>
        <v>537.00370702021655</v>
      </c>
      <c r="AX111" s="162">
        <f t="shared" si="1003"/>
        <v>480.30399999999997</v>
      </c>
      <c r="AY111" s="162">
        <f t="shared" si="1003"/>
        <v>487.54472680822079</v>
      </c>
      <c r="AZ111" s="162">
        <f t="shared" si="1003"/>
        <v>544.66999999999996</v>
      </c>
      <c r="BA111" s="162">
        <f t="shared" si="1003"/>
        <v>765.36111066574335</v>
      </c>
      <c r="BB111" s="162">
        <f t="shared" si="1003"/>
        <v>921.46999999999991</v>
      </c>
      <c r="BC111" s="162">
        <f t="shared" si="1003"/>
        <v>906.75177597966524</v>
      </c>
      <c r="BD111" s="162">
        <f t="shared" si="1003"/>
        <v>876.67</v>
      </c>
      <c r="BE111" s="162">
        <f t="shared" si="1003"/>
        <v>924.01840531502978</v>
      </c>
      <c r="BF111" s="162">
        <f t="shared" si="1003"/>
        <v>911.73179999999991</v>
      </c>
      <c r="BG111" s="162">
        <f t="shared" si="1003"/>
        <v>900.54917901695876</v>
      </c>
      <c r="BH111" s="162">
        <f t="shared" si="1003"/>
        <v>842.21019999999987</v>
      </c>
      <c r="BI111" s="162">
        <f t="shared" si="1003"/>
        <v>987.01974192574698</v>
      </c>
      <c r="BJ111" s="162">
        <f t="shared" si="1003"/>
        <v>729.54759999999987</v>
      </c>
      <c r="BK111" s="162">
        <f t="shared" si="1003"/>
        <v>770.96503838140143</v>
      </c>
      <c r="BL111" s="162">
        <f t="shared" si="1003"/>
        <v>736.14019999999982</v>
      </c>
      <c r="BM111" s="162">
        <f t="shared" si="1003"/>
        <v>694.68158226371054</v>
      </c>
      <c r="BN111" s="162">
        <f t="shared" si="1003"/>
        <v>174.22099999999995</v>
      </c>
      <c r="BO111" s="162">
        <f t="shared" si="1003"/>
        <v>248.78809418412243</v>
      </c>
      <c r="BP111" s="162">
        <f t="shared" si="1003"/>
        <v>648.12699999999995</v>
      </c>
      <c r="BQ111" s="162">
        <f t="shared" si="1003"/>
        <v>623.54569206222573</v>
      </c>
      <c r="BR111" s="162">
        <f t="shared" si="1003"/>
        <v>625.29999999999995</v>
      </c>
      <c r="BS111" s="162">
        <f t="shared" si="1003"/>
        <v>612.61981923815904</v>
      </c>
      <c r="BT111" s="162">
        <f t="shared" si="1003"/>
        <v>833.40499999999997</v>
      </c>
      <c r="BU111" s="162">
        <f t="shared" si="1003"/>
        <v>680.84905060240953</v>
      </c>
      <c r="BV111" s="162">
        <f t="shared" si="1003"/>
        <v>479.92899999999992</v>
      </c>
      <c r="BW111" s="162">
        <f t="shared" si="1003"/>
        <v>573.89936387957016</v>
      </c>
      <c r="BX111" s="162">
        <f t="shared" si="1003"/>
        <v>947.92199999999991</v>
      </c>
      <c r="BY111" s="162">
        <f t="shared" si="1003"/>
        <v>1163.2947203342831</v>
      </c>
      <c r="BZ111" s="162">
        <f t="shared" si="1003"/>
        <v>827.13999999999987</v>
      </c>
      <c r="CA111" s="162">
        <f t="shared" si="1003"/>
        <v>831.01813411378816</v>
      </c>
      <c r="CB111" s="162">
        <f t="shared" si="1003"/>
        <v>945.64199999999983</v>
      </c>
      <c r="CC111" s="162">
        <f t="shared" si="1003"/>
        <v>1335.8077580306876</v>
      </c>
      <c r="CD111" s="162">
        <f t="shared" si="1003"/>
        <v>1152.32</v>
      </c>
      <c r="CE111" s="162">
        <f t="shared" ref="CE111:CF111" si="1004">+CE108+CE109</f>
        <v>1032.048893276236</v>
      </c>
      <c r="CF111" s="162">
        <f t="shared" si="1004"/>
        <v>1291.7829999999999</v>
      </c>
      <c r="CG111" s="162">
        <f t="shared" ref="CG111:CH111" si="1005">+CG108+CG109</f>
        <v>1018.4980595527894</v>
      </c>
      <c r="CH111" s="162">
        <f t="shared" si="1005"/>
        <v>920.25099999999998</v>
      </c>
      <c r="CI111" s="162">
        <f t="shared" ref="CI111:CJ111" si="1006">+CI108+CI109</f>
        <v>822.70118950930612</v>
      </c>
      <c r="CJ111" s="162">
        <f t="shared" si="1006"/>
        <v>1014.9659999999999</v>
      </c>
      <c r="CK111" s="162">
        <f t="shared" ref="CK111:CL111" si="1007">+CK108+CK109</f>
        <v>930.23416216216197</v>
      </c>
      <c r="CL111" s="162">
        <f t="shared" si="1007"/>
        <v>1136.19</v>
      </c>
      <c r="CM111" s="21">
        <f t="shared" ref="CM111:DB111" si="1008">+CM108+CM109</f>
        <v>843.75478503640181</v>
      </c>
      <c r="CN111" s="21">
        <f t="shared" si="1008"/>
        <v>795.05641274890968</v>
      </c>
      <c r="CO111" s="21">
        <f t="shared" si="1008"/>
        <v>966.1590248126613</v>
      </c>
      <c r="CP111" s="21">
        <f t="shared" si="1008"/>
        <v>1384.2056089251228</v>
      </c>
      <c r="CQ111" s="21">
        <f t="shared" si="1008"/>
        <v>1033.951246919934</v>
      </c>
      <c r="CR111" s="21">
        <f t="shared" si="1008"/>
        <v>991.14504390777279</v>
      </c>
      <c r="CS111" s="21">
        <f t="shared" si="1008"/>
        <v>1079.8023385233964</v>
      </c>
      <c r="CT111" s="21">
        <f t="shared" si="1008"/>
        <v>1425.7446383972797</v>
      </c>
      <c r="CU111" s="21">
        <f t="shared" si="1008"/>
        <v>1081.7098317410159</v>
      </c>
      <c r="CV111" s="21">
        <f t="shared" si="1008"/>
        <v>1049.9754214053517</v>
      </c>
      <c r="CW111" s="21">
        <f t="shared" si="1008"/>
        <v>1139.481913093497</v>
      </c>
      <c r="CX111" s="21">
        <f t="shared" si="1008"/>
        <v>1473.6003286162024</v>
      </c>
      <c r="CY111" s="21">
        <f t="shared" si="1008"/>
        <v>1130.6482157812798</v>
      </c>
      <c r="CZ111" s="21">
        <f t="shared" si="1008"/>
        <v>1100.3025882253644</v>
      </c>
      <c r="DA111" s="21">
        <f t="shared" si="1008"/>
        <v>1189.3473029532954</v>
      </c>
      <c r="DB111" s="21">
        <f t="shared" si="1008"/>
        <v>1523.3709289828653</v>
      </c>
      <c r="DE111" s="22"/>
      <c r="DF111" s="162">
        <v>1136.19</v>
      </c>
    </row>
    <row r="112" spans="1:110" s="162" customFormat="1" x14ac:dyDescent="0.2">
      <c r="A112" s="49" t="s">
        <v>13</v>
      </c>
      <c r="B112" s="162">
        <f t="shared" ref="B112:AE112" si="1009">+B28</f>
        <v>22.214699999999965</v>
      </c>
      <c r="C112" s="162">
        <f t="shared" si="1009"/>
        <v>37.86609999999996</v>
      </c>
      <c r="D112" s="162">
        <f t="shared" si="1009"/>
        <v>66.389600000000002</v>
      </c>
      <c r="E112" s="162">
        <f t="shared" si="1009"/>
        <v>54.762599999999964</v>
      </c>
      <c r="F112" s="162">
        <f t="shared" si="1009"/>
        <v>29.065900000000028</v>
      </c>
      <c r="G112" s="162">
        <f t="shared" si="1009"/>
        <v>47.055299999999988</v>
      </c>
      <c r="H112" s="162">
        <f t="shared" si="1009"/>
        <v>61.821800000000025</v>
      </c>
      <c r="I112" s="162">
        <f t="shared" si="1009"/>
        <v>81.530799999999999</v>
      </c>
      <c r="J112" s="162">
        <f t="shared" si="1009"/>
        <v>66.366199999999992</v>
      </c>
      <c r="K112" s="162">
        <f t="shared" si="1009"/>
        <v>112.98810000000003</v>
      </c>
      <c r="L112" s="162">
        <f t="shared" si="1009"/>
        <v>110.41159999999991</v>
      </c>
      <c r="M112" s="162">
        <f t="shared" si="1009"/>
        <v>98.906799999999976</v>
      </c>
      <c r="N112" s="162">
        <f t="shared" si="1009"/>
        <v>104.96010000000001</v>
      </c>
      <c r="O112" s="162">
        <f t="shared" si="1009"/>
        <v>123.64479999999992</v>
      </c>
      <c r="P112" s="162">
        <f t="shared" si="1009"/>
        <v>89.494599999999878</v>
      </c>
      <c r="Q112" s="162">
        <f t="shared" si="1009"/>
        <v>107.23919999999998</v>
      </c>
      <c r="R112" s="162">
        <f t="shared" si="1009"/>
        <v>213.94</v>
      </c>
      <c r="S112" s="162">
        <f t="shared" si="1009"/>
        <v>207.32999999999993</v>
      </c>
      <c r="T112" s="162">
        <f t="shared" si="1009"/>
        <v>295.85000000000014</v>
      </c>
      <c r="U112" s="162">
        <f t="shared" si="1009"/>
        <v>266.93999999999994</v>
      </c>
      <c r="V112" s="162">
        <f t="shared" si="1009"/>
        <v>107.55000000000001</v>
      </c>
      <c r="W112" s="162">
        <f t="shared" si="1009"/>
        <v>165.71000000000004</v>
      </c>
      <c r="X112" s="162">
        <f t="shared" si="1009"/>
        <v>534.13000000000034</v>
      </c>
      <c r="Y112" s="162">
        <f t="shared" si="1009"/>
        <v>339.91999999999996</v>
      </c>
      <c r="Z112" s="162">
        <f t="shared" si="1009"/>
        <v>111.40999999999985</v>
      </c>
      <c r="AA112" s="162">
        <f t="shared" ref="AA112" si="1010">+AA28</f>
        <v>95.920000000000073</v>
      </c>
      <c r="AB112" s="21">
        <f t="shared" si="1009"/>
        <v>96.164992577112685</v>
      </c>
      <c r="AC112" s="21">
        <f t="shared" si="1009"/>
        <v>95.99569402707192</v>
      </c>
      <c r="AD112" s="21">
        <f t="shared" si="1009"/>
        <v>96.28878807939293</v>
      </c>
      <c r="AE112" s="21">
        <f t="shared" si="1009"/>
        <v>96.75994757322519</v>
      </c>
      <c r="AL112" s="162">
        <f t="shared" ref="AL112:BQ112" si="1011">+SUM(AI28:AL28)</f>
        <v>105.23</v>
      </c>
      <c r="AM112" s="162">
        <f t="shared" si="1011"/>
        <v>109.57000000000002</v>
      </c>
      <c r="AN112" s="162">
        <f t="shared" si="1011"/>
        <v>112.34999999999997</v>
      </c>
      <c r="AO112" s="162">
        <f t="shared" si="1011"/>
        <v>112.08000000000001</v>
      </c>
      <c r="AP112" s="162">
        <f t="shared" si="1011"/>
        <v>124.82000000000002</v>
      </c>
      <c r="AQ112" s="162">
        <f t="shared" si="1011"/>
        <v>117.67000000000003</v>
      </c>
      <c r="AR112" s="162">
        <f t="shared" si="1011"/>
        <v>115.55000000000005</v>
      </c>
      <c r="AS112" s="162">
        <f t="shared" si="1011"/>
        <v>111.74000000000004</v>
      </c>
      <c r="AT112" s="162">
        <f t="shared" si="1011"/>
        <v>89.279999999999959</v>
      </c>
      <c r="AU112" s="162">
        <f t="shared" si="1011"/>
        <v>87.439999999999927</v>
      </c>
      <c r="AV112" s="162">
        <f t="shared" si="1011"/>
        <v>85.339999999999961</v>
      </c>
      <c r="AW112" s="162">
        <f t="shared" si="1011"/>
        <v>86.189999999999927</v>
      </c>
      <c r="AX112" s="162">
        <f t="shared" si="1011"/>
        <v>107.03999999999995</v>
      </c>
      <c r="AY112" s="162">
        <f t="shared" si="1011"/>
        <v>127.33999999999996</v>
      </c>
      <c r="AZ112" s="162">
        <f t="shared" si="1011"/>
        <v>151.67999999999998</v>
      </c>
      <c r="BA112" s="162">
        <f t="shared" si="1011"/>
        <v>189.82000000000005</v>
      </c>
      <c r="BB112" s="162">
        <f t="shared" si="1011"/>
        <v>213.69000000000017</v>
      </c>
      <c r="BC112" s="162">
        <f t="shared" si="1011"/>
        <v>209.80000000000013</v>
      </c>
      <c r="BD112" s="162">
        <f t="shared" si="1011"/>
        <v>208.03000000000009</v>
      </c>
      <c r="BE112" s="162">
        <f t="shared" si="1011"/>
        <v>197.03000000000009</v>
      </c>
      <c r="BF112" s="162">
        <f t="shared" si="1011"/>
        <v>207.18999999999997</v>
      </c>
      <c r="BG112" s="162">
        <f t="shared" si="1011"/>
        <v>214.68999999999997</v>
      </c>
      <c r="BH112" s="162">
        <f t="shared" si="1011"/>
        <v>248.75999999999993</v>
      </c>
      <c r="BI112" s="162">
        <f t="shared" si="1011"/>
        <v>284.18999999999994</v>
      </c>
      <c r="BJ112" s="162">
        <f t="shared" si="1011"/>
        <v>295.85000000000002</v>
      </c>
      <c r="BK112" s="162">
        <f t="shared" si="1011"/>
        <v>310.75</v>
      </c>
      <c r="BL112" s="162">
        <f t="shared" si="1011"/>
        <v>300.77000000000004</v>
      </c>
      <c r="BM112" s="162">
        <f t="shared" si="1011"/>
        <v>285.37</v>
      </c>
      <c r="BN112" s="162">
        <f t="shared" si="1011"/>
        <v>266.93999999999994</v>
      </c>
      <c r="BO112" s="162">
        <f t="shared" si="1011"/>
        <v>236.14999999999995</v>
      </c>
      <c r="BP112" s="162">
        <f t="shared" si="1011"/>
        <v>192.02999999999992</v>
      </c>
      <c r="BQ112" s="162">
        <f t="shared" si="1011"/>
        <v>137.99999999999994</v>
      </c>
      <c r="BR112" s="162">
        <f t="shared" ref="BR112:CW112" si="1012">+SUM(BO28:BR28)</f>
        <v>107.54999999999997</v>
      </c>
      <c r="BS112" s="162">
        <f t="shared" si="1012"/>
        <v>107.42999999999995</v>
      </c>
      <c r="BT112" s="162">
        <f t="shared" si="1012"/>
        <v>119.34999999999997</v>
      </c>
      <c r="BU112" s="162">
        <f t="shared" si="1012"/>
        <v>120.80000000000001</v>
      </c>
      <c r="BV112" s="162">
        <f t="shared" si="1012"/>
        <v>165.71000000000004</v>
      </c>
      <c r="BW112" s="162">
        <f t="shared" si="1012"/>
        <v>222.16000000000005</v>
      </c>
      <c r="BX112" s="162">
        <f t="shared" si="1012"/>
        <v>321.85000000000002</v>
      </c>
      <c r="BY112" s="162">
        <f t="shared" si="1012"/>
        <v>456.44000000000005</v>
      </c>
      <c r="BZ112" s="162">
        <f t="shared" si="1012"/>
        <v>534.12999999999988</v>
      </c>
      <c r="CA112" s="162">
        <f t="shared" si="1012"/>
        <v>541.42000000000007</v>
      </c>
      <c r="CB112" s="162">
        <f t="shared" si="1012"/>
        <v>491.18999999999994</v>
      </c>
      <c r="CC112" s="162">
        <f t="shared" si="1012"/>
        <v>429.02</v>
      </c>
      <c r="CD112" s="162">
        <f t="shared" si="1012"/>
        <v>339.91999999999996</v>
      </c>
      <c r="CE112" s="162">
        <f t="shared" si="1012"/>
        <v>292.62999999999988</v>
      </c>
      <c r="CF112" s="162">
        <f t="shared" si="1012"/>
        <v>233.95999999999995</v>
      </c>
      <c r="CG112" s="162">
        <f t="shared" si="1012"/>
        <v>153.92999999999989</v>
      </c>
      <c r="CH112" s="162">
        <f t="shared" si="1012"/>
        <v>111.40999999999997</v>
      </c>
      <c r="CI112" s="162">
        <f t="shared" si="1012"/>
        <v>84.90999999999994</v>
      </c>
      <c r="CJ112" s="162">
        <f t="shared" si="1012"/>
        <v>80.469999999999914</v>
      </c>
      <c r="CK112" s="162">
        <f t="shared" si="1012"/>
        <v>97.539999999999964</v>
      </c>
      <c r="CL112" s="162">
        <f t="shared" si="1012"/>
        <v>95.910000000000053</v>
      </c>
      <c r="CM112" s="21">
        <f t="shared" si="1012"/>
        <v>96.429294584573128</v>
      </c>
      <c r="CN112" s="21">
        <f t="shared" si="1012"/>
        <v>90.298521112778786</v>
      </c>
      <c r="CO112" s="21">
        <f t="shared" si="1012"/>
        <v>87.155680173051422</v>
      </c>
      <c r="CP112" s="21">
        <f t="shared" si="1012"/>
        <v>96.164992577112315</v>
      </c>
      <c r="CQ112" s="21">
        <f t="shared" si="1012"/>
        <v>95.327563089295055</v>
      </c>
      <c r="CR112" s="21">
        <f t="shared" si="1012"/>
        <v>94.254324892318436</v>
      </c>
      <c r="CS112" s="21">
        <f t="shared" si="1012"/>
        <v>94.423819977108252</v>
      </c>
      <c r="CT112" s="21">
        <f t="shared" si="1012"/>
        <v>95.995694027071892</v>
      </c>
      <c r="CU112" s="21">
        <f t="shared" si="1012"/>
        <v>95.774058160040227</v>
      </c>
      <c r="CV112" s="21">
        <f t="shared" si="1012"/>
        <v>95.710105397793086</v>
      </c>
      <c r="CW112" s="21">
        <f t="shared" si="1012"/>
        <v>95.927938572245893</v>
      </c>
      <c r="CX112" s="21">
        <f t="shared" ref="CX112:DB112" si="1013">+SUM(CU28:CX28)</f>
        <v>96.288788079392873</v>
      </c>
      <c r="CY112" s="21">
        <f t="shared" si="1013"/>
        <v>96.321654902366816</v>
      </c>
      <c r="CZ112" s="21">
        <f t="shared" si="1013"/>
        <v>96.410485877187298</v>
      </c>
      <c r="DA112" s="21">
        <f t="shared" si="1013"/>
        <v>96.5574268914404</v>
      </c>
      <c r="DB112" s="21">
        <f t="shared" si="1013"/>
        <v>96.75994757322502</v>
      </c>
      <c r="DE112" s="22"/>
      <c r="DF112" s="162">
        <v>95.909999999999854</v>
      </c>
    </row>
    <row r="113" spans="1:110" s="162" customFormat="1" x14ac:dyDescent="0.2">
      <c r="A113" s="49" t="s">
        <v>343</v>
      </c>
      <c r="B113" s="162">
        <f>+B110/B112</f>
        <v>7.5495010060905736</v>
      </c>
      <c r="C113" s="162">
        <f t="shared" ref="C113:W113" si="1014">+C110/C112</f>
        <v>4.0953016022246853</v>
      </c>
      <c r="D113" s="162">
        <f t="shared" si="1014"/>
        <v>1.7486503910251001</v>
      </c>
      <c r="E113" s="162">
        <f t="shared" ca="1" si="1014"/>
        <v>3.9281042171116805</v>
      </c>
      <c r="F113" s="162">
        <f t="shared" ca="1" si="1014"/>
        <v>7.1966668845623154</v>
      </c>
      <c r="G113" s="162">
        <f t="shared" ca="1" si="1014"/>
        <v>5.5879167702681753</v>
      </c>
      <c r="H113" s="162">
        <f t="shared" ca="1" si="1014"/>
        <v>6.0683917323662504</v>
      </c>
      <c r="I113" s="162">
        <f t="shared" ca="1" si="1014"/>
        <v>7.4006853851550574</v>
      </c>
      <c r="J113" s="162">
        <f t="shared" ca="1" si="1014"/>
        <v>8.3844622714574584</v>
      </c>
      <c r="K113" s="162">
        <f t="shared" ca="1" si="1014"/>
        <v>4.1677371333795312</v>
      </c>
      <c r="L113" s="162">
        <f t="shared" ca="1" si="1014"/>
        <v>6.4907853884917932</v>
      </c>
      <c r="M113" s="162">
        <f t="shared" ca="1" si="1014"/>
        <v>5.4667323176970646</v>
      </c>
      <c r="N113" s="162">
        <f t="shared" ca="1" si="1014"/>
        <v>6.7716903852035193</v>
      </c>
      <c r="O113" s="162">
        <f t="shared" ca="1" si="1014"/>
        <v>5.2933071184554503</v>
      </c>
      <c r="P113" s="162">
        <f t="shared" ca="1" si="1014"/>
        <v>7.4170162222078311</v>
      </c>
      <c r="Q113" s="162">
        <f t="shared" ca="1" si="1014"/>
        <v>5.8837402740788818</v>
      </c>
      <c r="R113" s="162">
        <f t="shared" ca="1" si="1014"/>
        <v>5.6563989903711329</v>
      </c>
      <c r="S113" s="162">
        <f t="shared" ca="1" si="1014"/>
        <v>7.1398253991221736</v>
      </c>
      <c r="T113" s="162">
        <f t="shared" ca="1" si="1014"/>
        <v>4.6792022984620569</v>
      </c>
      <c r="U113" s="162">
        <f t="shared" ca="1" si="1014"/>
        <v>3.9056492095602011</v>
      </c>
      <c r="V113" s="162">
        <f t="shared" ca="1" si="1014"/>
        <v>8.430441655044163</v>
      </c>
      <c r="W113" s="162">
        <f t="shared" ca="1" si="1014"/>
        <v>6.3855530746484801</v>
      </c>
      <c r="X113" s="162">
        <f t="shared" ref="X113:Y113" ca="1" si="1015">+X110/X112</f>
        <v>3.0024900305169133</v>
      </c>
      <c r="Y113" s="162">
        <f t="shared" ca="1" si="1015"/>
        <v>5.7409831725111795</v>
      </c>
      <c r="Z113" s="162">
        <f t="shared" ref="Z113:AA113" ca="1" si="1016">+Z110/Z112</f>
        <v>14.876581994434988</v>
      </c>
      <c r="AA113" s="162">
        <f t="shared" ca="1" si="1016"/>
        <v>14.876581994434988</v>
      </c>
      <c r="AB113" s="21">
        <f t="shared" ref="AA113:AD113" ca="1" si="1017">+AB110/AB112</f>
        <v>22.302917454930544</v>
      </c>
      <c r="AC113" s="21">
        <f t="shared" ca="1" si="1017"/>
        <v>23.701692605442453</v>
      </c>
      <c r="AD113" s="21">
        <f t="shared" ca="1" si="1017"/>
        <v>25.147042459181055</v>
      </c>
      <c r="AE113" s="21">
        <f t="shared" ref="AE113" ca="1" si="1018">+AE110/AE112</f>
        <v>26.623893995624275</v>
      </c>
      <c r="AL113" s="162">
        <f t="shared" ref="AL113" si="1019">+AL110/AL112</f>
        <v>5.9502043143590226</v>
      </c>
      <c r="AM113" s="162">
        <f t="shared" ref="AM113:AO113" si="1020">+AM110/AM112</f>
        <v>5.251745645895455</v>
      </c>
      <c r="AN113" s="162">
        <f t="shared" si="1020"/>
        <v>5.0525999109924351</v>
      </c>
      <c r="AO113" s="162">
        <f t="shared" si="1020"/>
        <v>4.8091829057997133</v>
      </c>
      <c r="AP113" s="162">
        <f t="shared" ref="AP113:CD113" si="1021">+AP110/AP112</f>
        <v>4.4682518827111037</v>
      </c>
      <c r="AQ113" s="162">
        <f t="shared" si="1021"/>
        <v>5.3634064930187888</v>
      </c>
      <c r="AR113" s="162">
        <f t="shared" si="1021"/>
        <v>5.643330160103849</v>
      </c>
      <c r="AS113" s="162">
        <f t="shared" si="1021"/>
        <v>5.9003122184998293</v>
      </c>
      <c r="AT113" s="162">
        <f t="shared" si="1021"/>
        <v>6.5527643369175657</v>
      </c>
      <c r="AU113" s="162">
        <f t="shared" si="1021"/>
        <v>6.3320892898537995</v>
      </c>
      <c r="AV113" s="162">
        <f t="shared" si="1021"/>
        <v>7.2788844621513986</v>
      </c>
      <c r="AW113" s="162">
        <f t="shared" si="1021"/>
        <v>6.6579197937140853</v>
      </c>
      <c r="AX113" s="162">
        <f t="shared" si="1021"/>
        <v>5.4544843049327376</v>
      </c>
      <c r="AY113" s="162">
        <f t="shared" si="1021"/>
        <v>4.5567200157705434</v>
      </c>
      <c r="AZ113" s="162">
        <f t="shared" si="1021"/>
        <v>5.5098694620253159</v>
      </c>
      <c r="BA113" s="162">
        <f t="shared" si="1021"/>
        <v>6.3154625996509477</v>
      </c>
      <c r="BB113" s="162">
        <f t="shared" si="1021"/>
        <v>5.4108755674107307</v>
      </c>
      <c r="BC113" s="162">
        <f t="shared" si="1021"/>
        <v>5.1564031266904893</v>
      </c>
      <c r="BD113" s="162">
        <f t="shared" si="1021"/>
        <v>5.2437706100081698</v>
      </c>
      <c r="BE113" s="162">
        <f t="shared" si="1021"/>
        <v>6.2372806441406352</v>
      </c>
      <c r="BF113" s="162">
        <f t="shared" si="1021"/>
        <v>6.86756117573242</v>
      </c>
      <c r="BG113" s="162">
        <f t="shared" si="1021"/>
        <v>5.2318644511479748</v>
      </c>
      <c r="BH113" s="162">
        <f t="shared" si="1021"/>
        <v>5.9409149380929431</v>
      </c>
      <c r="BI113" s="162">
        <f t="shared" si="1021"/>
        <v>4.716329012019238</v>
      </c>
      <c r="BJ113" s="162">
        <f t="shared" si="1021"/>
        <v>3.6951691735676859</v>
      </c>
      <c r="BK113" s="162">
        <f t="shared" si="1021"/>
        <v>3.0040387397631583</v>
      </c>
      <c r="BL113" s="162">
        <f t="shared" si="1021"/>
        <v>3.762323370016956</v>
      </c>
      <c r="BM113" s="162">
        <f t="shared" si="1021"/>
        <v>3.489089891241933</v>
      </c>
      <c r="BN113" s="162">
        <f t="shared" si="1021"/>
        <v>2.8999550460777703</v>
      </c>
      <c r="BO113" s="162">
        <f t="shared" si="1021"/>
        <v>3.1145674113238302</v>
      </c>
      <c r="BP113" s="162">
        <f t="shared" si="1021"/>
        <v>4.3359891683591121</v>
      </c>
      <c r="BQ113" s="162">
        <f t="shared" si="1021"/>
        <v>6.4378673337842471</v>
      </c>
      <c r="BR113" s="162">
        <f t="shared" si="1021"/>
        <v>7.8067131566713162</v>
      </c>
      <c r="BS113" s="162">
        <f t="shared" si="1021"/>
        <v>8.9217985594169189</v>
      </c>
      <c r="BT113" s="162">
        <f t="shared" si="1021"/>
        <v>10.248847926267283</v>
      </c>
      <c r="BU113" s="162">
        <f t="shared" si="1021"/>
        <v>8.8380302202186201</v>
      </c>
      <c r="BV113" s="162">
        <f t="shared" si="1021"/>
        <v>5.079542574376922</v>
      </c>
      <c r="BW113" s="162">
        <f t="shared" si="1021"/>
        <v>4.7226249724503502</v>
      </c>
      <c r="BX113" s="162">
        <f t="shared" si="1021"/>
        <v>5.3468696597793999</v>
      </c>
      <c r="BY113" s="162">
        <f t="shared" si="1021"/>
        <v>3.9789758135445688</v>
      </c>
      <c r="BZ113" s="162">
        <f t="shared" si="1021"/>
        <v>2.41641547937768</v>
      </c>
      <c r="CA113" s="162">
        <f t="shared" si="1021"/>
        <v>2.2359335342502824</v>
      </c>
      <c r="CB113" s="162">
        <f t="shared" si="1021"/>
        <v>3.9676601722347771</v>
      </c>
      <c r="CC113" s="162">
        <f t="shared" si="1021"/>
        <v>4.0488572980995938</v>
      </c>
      <c r="CD113" s="162">
        <f t="shared" si="1021"/>
        <v>5.0370087079312782</v>
      </c>
      <c r="CE113" s="162">
        <f t="shared" ref="CE113:CF113" si="1022">+CE110/CE112</f>
        <v>5.1694832835875895</v>
      </c>
      <c r="CF113" s="162">
        <f t="shared" si="1022"/>
        <v>6.7912036245512066</v>
      </c>
      <c r="CG113" s="162">
        <f t="shared" ref="CG113:CH113" si="1023">+CG110/CG112</f>
        <v>9.770746830070749</v>
      </c>
      <c r="CH113" s="162">
        <f t="shared" si="1023"/>
        <v>13.81750291715286</v>
      </c>
      <c r="CI113" s="162">
        <f t="shared" ref="CI113:CJ113" si="1024">+CI110/CI112</f>
        <v>14.556285355191461</v>
      </c>
      <c r="CJ113" s="162">
        <f t="shared" si="1024"/>
        <v>17.767416428482683</v>
      </c>
      <c r="CK113" s="162">
        <f t="shared" ref="CK113:CL113" si="1025">+CK110/CK112</f>
        <v>11.98099407588848</v>
      </c>
      <c r="CL113" s="162">
        <f t="shared" si="1025"/>
        <v>17.997601918465218</v>
      </c>
      <c r="CM113" s="21">
        <f t="shared" ref="CM113:DB113" si="1026">+CM110/CM112</f>
        <v>15.152618364929584</v>
      </c>
      <c r="CN113" s="21">
        <f t="shared" si="1026"/>
        <v>15.822438291766618</v>
      </c>
      <c r="CO113" s="21">
        <f t="shared" si="1026"/>
        <v>19.0742077022526</v>
      </c>
      <c r="CP113" s="21">
        <f t="shared" si="1026"/>
        <v>22.302917454930629</v>
      </c>
      <c r="CQ113" s="21">
        <f t="shared" si="1026"/>
        <v>18.985156298652345</v>
      </c>
      <c r="CR113" s="21">
        <f t="shared" si="1026"/>
        <v>18.938555949267897</v>
      </c>
      <c r="CS113" s="21">
        <f t="shared" si="1026"/>
        <v>20.100598571689318</v>
      </c>
      <c r="CT113" s="21">
        <f t="shared" si="1026"/>
        <v>23.70169260544246</v>
      </c>
      <c r="CU113" s="21">
        <f t="shared" si="1026"/>
        <v>20.394954372792323</v>
      </c>
      <c r="CV113" s="21">
        <f t="shared" si="1026"/>
        <v>20.327327787317998</v>
      </c>
      <c r="CW113" s="21">
        <f t="shared" si="1026"/>
        <v>21.481378108753916</v>
      </c>
      <c r="CX113" s="21">
        <f t="shared" si="1026"/>
        <v>25.147042459181069</v>
      </c>
      <c r="CY113" s="21">
        <f t="shared" si="1026"/>
        <v>21.838020497205729</v>
      </c>
      <c r="CZ113" s="21">
        <f t="shared" si="1026"/>
        <v>21.772802404924498</v>
      </c>
      <c r="DA113" s="21">
        <f t="shared" si="1026"/>
        <v>22.937983616519652</v>
      </c>
      <c r="DB113" s="21">
        <f t="shared" si="1026"/>
        <v>26.623893995624321</v>
      </c>
      <c r="DE113" s="22"/>
      <c r="DF113" s="162">
        <v>18.80102179126267</v>
      </c>
    </row>
    <row r="114" spans="1:110" s="162" customFormat="1" x14ac:dyDescent="0.2">
      <c r="A114" s="49" t="s">
        <v>344</v>
      </c>
      <c r="B114" s="162">
        <f>+B111/B112</f>
        <v>7.4487231427838436</v>
      </c>
      <c r="C114" s="162">
        <f t="shared" ref="C114:W114" si="1027">+C111/C112</f>
        <v>4.0284542110225283</v>
      </c>
      <c r="D114" s="162">
        <f t="shared" si="1027"/>
        <v>1.6213902478701481</v>
      </c>
      <c r="E114" s="162">
        <f t="shared" ca="1" si="1027"/>
        <v>1.7866865342405227</v>
      </c>
      <c r="F114" s="162">
        <f t="shared" ca="1" si="1027"/>
        <v>5.4009750257174156</v>
      </c>
      <c r="G114" s="162">
        <f t="shared" ca="1" si="1027"/>
        <v>3.1597184589196123</v>
      </c>
      <c r="H114" s="162">
        <f t="shared" ca="1" si="1027"/>
        <v>4.3457987311919082</v>
      </c>
      <c r="I114" s="162">
        <f t="shared" ca="1" si="1027"/>
        <v>4.8924381951360711</v>
      </c>
      <c r="J114" s="162">
        <f t="shared" ca="1" si="1027"/>
        <v>5.5924446480286658</v>
      </c>
      <c r="K114" s="162">
        <f t="shared" ca="1" si="1027"/>
        <v>2.7291785595120186</v>
      </c>
      <c r="L114" s="162">
        <f t="shared" ca="1" si="1027"/>
        <v>5.3147187433204524</v>
      </c>
      <c r="M114" s="162">
        <f t="shared" ca="1" si="1027"/>
        <v>4.0668285699264368</v>
      </c>
      <c r="N114" s="162">
        <f t="shared" ca="1" si="1027"/>
        <v>5.5104511142805679</v>
      </c>
      <c r="O114" s="162">
        <f t="shared" ca="1" si="1027"/>
        <v>4.5240390214550104</v>
      </c>
      <c r="P114" s="162">
        <f t="shared" ca="1" si="1027"/>
        <v>5.8914090906043581</v>
      </c>
      <c r="Q114" s="162">
        <f t="shared" ca="1" si="1027"/>
        <v>4.734071123245978</v>
      </c>
      <c r="R114" s="162">
        <f t="shared" ca="1" si="1027"/>
        <v>1.9871085351033</v>
      </c>
      <c r="S114" s="162">
        <f t="shared" ca="1" si="1027"/>
        <v>3.8007041913857145</v>
      </c>
      <c r="T114" s="162">
        <f t="shared" ca="1" si="1027"/>
        <v>2.5306412033124874</v>
      </c>
      <c r="U114" s="162">
        <f t="shared" ca="1" si="1027"/>
        <v>0.66607102719712286</v>
      </c>
      <c r="V114" s="162">
        <f t="shared" ca="1" si="1027"/>
        <v>3.9049465364946525</v>
      </c>
      <c r="W114" s="162">
        <f t="shared" ca="1" si="1027"/>
        <v>2.8961981775390733</v>
      </c>
      <c r="X114" s="162">
        <f t="shared" ref="X114:Y114" ca="1" si="1028">+X111/X112</f>
        <v>0.87233445041469238</v>
      </c>
      <c r="Y114" s="162">
        <f t="shared" ca="1" si="1028"/>
        <v>2.4681660390680156</v>
      </c>
      <c r="Z114" s="162">
        <f t="shared" ref="Z114:AA114" ca="1" si="1029">+Z111/Z112</f>
        <v>8.2600394937617914</v>
      </c>
      <c r="AA114" s="162">
        <f t="shared" ca="1" si="1029"/>
        <v>8.2600394937617914</v>
      </c>
      <c r="AB114" s="21">
        <f t="shared" ref="AA114:AD114" ca="1" si="1030">+AB111/AB112</f>
        <v>11.158607951556064</v>
      </c>
      <c r="AC114" s="21">
        <f t="shared" ca="1" si="1030"/>
        <v>13.184450318596133</v>
      </c>
      <c r="AD114" s="21">
        <f t="shared" ca="1" si="1030"/>
        <v>13.584395693033393</v>
      </c>
      <c r="AE114" s="21">
        <f t="shared" ref="AE114" ca="1" si="1031">+AE111/AE112</f>
        <v>13.948399355463074</v>
      </c>
      <c r="AL114" s="162">
        <f t="shared" ref="AL114:AM114" si="1032">+AL111/AL112</f>
        <v>5.1000931293357405</v>
      </c>
      <c r="AM114" s="162">
        <f t="shared" si="1032"/>
        <v>4.7451799801110255</v>
      </c>
      <c r="AN114" s="162">
        <f t="shared" ref="AN114:AO114" si="1033">+AN111/AN112</f>
        <v>4.3785313751668902</v>
      </c>
      <c r="AO114" s="162">
        <f t="shared" si="1033"/>
        <v>4.4025858322807983</v>
      </c>
      <c r="AP114" s="162">
        <f t="shared" ref="AP114:CD114" si="1034">+AP111/AP112</f>
        <v>4.2193879186027869</v>
      </c>
      <c r="AQ114" s="162">
        <f t="shared" si="1034"/>
        <v>4.4026212461419307</v>
      </c>
      <c r="AR114" s="162">
        <f t="shared" si="1034"/>
        <v>4.8451787105149267</v>
      </c>
      <c r="AS114" s="162">
        <f t="shared" si="1034"/>
        <v>4.9736610640341059</v>
      </c>
      <c r="AT114" s="162">
        <f t="shared" si="1034"/>
        <v>5.3983915770609343</v>
      </c>
      <c r="AU114" s="162">
        <f t="shared" si="1034"/>
        <v>5.4315677893963414</v>
      </c>
      <c r="AV114" s="162">
        <f t="shared" si="1034"/>
        <v>6.0500539020389059</v>
      </c>
      <c r="AW114" s="162">
        <f t="shared" si="1034"/>
        <v>6.2304641724123098</v>
      </c>
      <c r="AX114" s="162">
        <f t="shared" si="1034"/>
        <v>4.4871449925261606</v>
      </c>
      <c r="AY114" s="162">
        <f t="shared" si="1034"/>
        <v>3.8286848343664279</v>
      </c>
      <c r="AZ114" s="162">
        <f t="shared" si="1034"/>
        <v>3.5909150843881861</v>
      </c>
      <c r="BA114" s="162">
        <f t="shared" si="1034"/>
        <v>4.0320361956893009</v>
      </c>
      <c r="BB114" s="162">
        <f t="shared" si="1034"/>
        <v>4.3121811970611592</v>
      </c>
      <c r="BC114" s="162">
        <f t="shared" si="1034"/>
        <v>4.3219817730203278</v>
      </c>
      <c r="BD114" s="162">
        <f t="shared" si="1034"/>
        <v>4.214151805028119</v>
      </c>
      <c r="BE114" s="162">
        <f t="shared" si="1034"/>
        <v>4.6897345851648451</v>
      </c>
      <c r="BF114" s="162">
        <f t="shared" si="1034"/>
        <v>4.4004623775278731</v>
      </c>
      <c r="BG114" s="162">
        <f t="shared" si="1034"/>
        <v>4.1946489310958075</v>
      </c>
      <c r="BH114" s="162">
        <f t="shared" si="1034"/>
        <v>3.3856335423701562</v>
      </c>
      <c r="BI114" s="162">
        <f t="shared" si="1034"/>
        <v>3.4730980749700806</v>
      </c>
      <c r="BJ114" s="162">
        <f t="shared" si="1034"/>
        <v>2.465937468311644</v>
      </c>
      <c r="BK114" s="162">
        <f t="shared" si="1034"/>
        <v>2.480981619891879</v>
      </c>
      <c r="BL114" s="162">
        <f t="shared" si="1034"/>
        <v>2.4475187019982036</v>
      </c>
      <c r="BM114" s="162">
        <f t="shared" si="1034"/>
        <v>2.4343188921880734</v>
      </c>
      <c r="BN114" s="162">
        <f t="shared" si="1034"/>
        <v>0.65265977373192474</v>
      </c>
      <c r="BO114" s="162">
        <f t="shared" si="1034"/>
        <v>1.0535172313534722</v>
      </c>
      <c r="BP114" s="162">
        <f t="shared" si="1034"/>
        <v>3.3751340936312046</v>
      </c>
      <c r="BQ114" s="162">
        <f t="shared" si="1034"/>
        <v>4.5184470439291742</v>
      </c>
      <c r="BR114" s="162">
        <f t="shared" si="1034"/>
        <v>5.8140399814039991</v>
      </c>
      <c r="BS114" s="162">
        <f t="shared" si="1034"/>
        <v>5.7025022734632724</v>
      </c>
      <c r="BT114" s="162">
        <f t="shared" si="1034"/>
        <v>6.9828655215752011</v>
      </c>
      <c r="BU114" s="162">
        <f t="shared" si="1034"/>
        <v>5.6361676374371648</v>
      </c>
      <c r="BV114" s="162">
        <f t="shared" si="1034"/>
        <v>2.8961981775390733</v>
      </c>
      <c r="BW114" s="162">
        <f t="shared" si="1034"/>
        <v>2.5832704531849568</v>
      </c>
      <c r="BX114" s="162">
        <f t="shared" si="1034"/>
        <v>2.9452291440111851</v>
      </c>
      <c r="BY114" s="162">
        <f t="shared" si="1034"/>
        <v>2.5486257127646197</v>
      </c>
      <c r="BZ114" s="162">
        <f t="shared" si="1034"/>
        <v>1.5485743171138113</v>
      </c>
      <c r="CA114" s="162">
        <f t="shared" si="1034"/>
        <v>1.5348862881197372</v>
      </c>
      <c r="CB114" s="162">
        <f t="shared" si="1034"/>
        <v>1.925206132046662</v>
      </c>
      <c r="CC114" s="162">
        <f t="shared" si="1034"/>
        <v>3.1136258403586958</v>
      </c>
      <c r="CD114" s="162">
        <f t="shared" si="1034"/>
        <v>3.3899741115556603</v>
      </c>
      <c r="CE114" s="162">
        <f t="shared" ref="CE114:CF114" si="1035">+CE111/CE112</f>
        <v>3.5268048158980156</v>
      </c>
      <c r="CF114" s="162">
        <f t="shared" si="1035"/>
        <v>5.5213839972644907</v>
      </c>
      <c r="CG114" s="162">
        <f t="shared" ref="CG114:CH114" si="1036">+CG111/CG112</f>
        <v>6.616631323022089</v>
      </c>
      <c r="CH114" s="162">
        <f t="shared" si="1036"/>
        <v>8.2600394937617825</v>
      </c>
      <c r="CI114" s="162">
        <f t="shared" ref="CI114:CJ114" si="1037">+CI111/CI112</f>
        <v>9.6890965670628511</v>
      </c>
      <c r="CJ114" s="162">
        <f t="shared" si="1037"/>
        <v>12.612973779048104</v>
      </c>
      <c r="CK114" s="162">
        <f t="shared" ref="CK114:CL114" si="1038">+CK111/CK112</f>
        <v>9.53695060654257</v>
      </c>
      <c r="CL114" s="162">
        <f t="shared" si="1038"/>
        <v>11.84641851736002</v>
      </c>
      <c r="CM114" s="21">
        <f t="shared" ref="CM114:DB114" si="1039">+CM111/CM112</f>
        <v>8.749984003008425</v>
      </c>
      <c r="CN114" s="21">
        <f t="shared" si="1039"/>
        <v>8.8047556366501283</v>
      </c>
      <c r="CO114" s="21">
        <f t="shared" si="1039"/>
        <v>11.08543955935299</v>
      </c>
      <c r="CP114" s="21">
        <f t="shared" si="1039"/>
        <v>14.394069731926228</v>
      </c>
      <c r="CQ114" s="21">
        <f t="shared" si="1039"/>
        <v>10.846298944528909</v>
      </c>
      <c r="CR114" s="21">
        <f t="shared" si="1039"/>
        <v>10.515645250656815</v>
      </c>
      <c r="CS114" s="21">
        <f t="shared" si="1039"/>
        <v>11.435698521677894</v>
      </c>
      <c r="CT114" s="21">
        <f t="shared" si="1039"/>
        <v>14.852172827618739</v>
      </c>
      <c r="CU114" s="21">
        <f t="shared" si="1039"/>
        <v>11.294392787799163</v>
      </c>
      <c r="CV114" s="21">
        <f t="shared" si="1039"/>
        <v>10.970371592857553</v>
      </c>
      <c r="CW114" s="21">
        <f t="shared" si="1039"/>
        <v>11.878519751941951</v>
      </c>
      <c r="CX114" s="21">
        <f t="shared" si="1039"/>
        <v>15.303965892697461</v>
      </c>
      <c r="CY114" s="21">
        <f t="shared" si="1039"/>
        <v>11.738255711317699</v>
      </c>
      <c r="CZ114" s="21">
        <f t="shared" si="1039"/>
        <v>11.41268585272962</v>
      </c>
      <c r="DA114" s="21">
        <f t="shared" si="1039"/>
        <v>12.317512399025293</v>
      </c>
      <c r="DB114" s="21">
        <f t="shared" si="1039"/>
        <v>15.743817221790286</v>
      </c>
      <c r="DE114" s="22"/>
      <c r="DF114" s="162">
        <v>11.846418517360043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11.25</v>
      </c>
      <c r="C117" s="23">
        <f>'Annual Raw'!D41</f>
        <v>11.25</v>
      </c>
      <c r="D117" s="23">
        <f>'Annual Raw'!E41</f>
        <v>11.25</v>
      </c>
      <c r="E117" s="23">
        <f>'Annual Raw'!F41</f>
        <v>11.25</v>
      </c>
      <c r="F117" s="23">
        <f>'Annual Raw'!G41</f>
        <v>11.25</v>
      </c>
      <c r="G117" s="23">
        <f>'Annual Raw'!H41</f>
        <v>11.25</v>
      </c>
      <c r="H117" s="23">
        <f>'Annual Raw'!I41</f>
        <v>11.25</v>
      </c>
      <c r="I117" s="23">
        <f>'Annual Raw'!J41</f>
        <v>11.25</v>
      </c>
      <c r="J117" s="23">
        <f>'Annual Raw'!K41</f>
        <v>11.25</v>
      </c>
      <c r="K117" s="23">
        <f>'Annual Raw'!L41</f>
        <v>11.25</v>
      </c>
      <c r="L117" s="23">
        <f>'Annual Raw'!M41</f>
        <v>11.25</v>
      </c>
      <c r="M117" s="23">
        <f>'Annual Raw'!N41</f>
        <v>11.25</v>
      </c>
      <c r="N117" s="23">
        <f>'Annual Raw'!O41</f>
        <v>11.25</v>
      </c>
      <c r="O117" s="23">
        <f>'Annual Raw'!P41</f>
        <v>12.6136</v>
      </c>
      <c r="P117" s="23">
        <f>'Annual Raw'!Q41</f>
        <v>12.6136</v>
      </c>
      <c r="Q117" s="23">
        <f>'Annual Raw'!R41</f>
        <v>12.6136</v>
      </c>
      <c r="R117" s="23">
        <f>'Annual Raw'!S41</f>
        <v>12.61</v>
      </c>
      <c r="S117" s="23">
        <f>'Annual Raw'!T41</f>
        <v>12.61</v>
      </c>
      <c r="T117" s="23">
        <f>'Annual Raw'!U41</f>
        <v>12.61</v>
      </c>
      <c r="U117" s="23">
        <f>'Annual Raw'!V41</f>
        <v>12.04</v>
      </c>
      <c r="V117" s="23">
        <f>'Annual Raw'!W41</f>
        <v>12.04</v>
      </c>
      <c r="W117" s="23">
        <f>'Annual Raw'!X41</f>
        <v>12.04</v>
      </c>
      <c r="X117" s="23">
        <f>'Annual Raw'!Y41</f>
        <v>12.04</v>
      </c>
      <c r="Y117" s="23">
        <f>'Annual Raw'!Z41</f>
        <v>12.04</v>
      </c>
      <c r="Z117" s="23">
        <f>'Annual Raw'!AA41</f>
        <v>12.04</v>
      </c>
      <c r="AA117" s="23">
        <f>'Annual Raw'!AB41</f>
        <v>12.04</v>
      </c>
      <c r="AB117" s="24">
        <f>+CP117</f>
        <v>12.04</v>
      </c>
      <c r="AC117" s="24">
        <f>+CT117</f>
        <v>12.04</v>
      </c>
      <c r="AD117" s="24">
        <f>+CX117</f>
        <v>12.04</v>
      </c>
      <c r="AE117" s="24">
        <f>+DB117</f>
        <v>12.04</v>
      </c>
      <c r="AJ117" s="23">
        <f>+'QTR Raw'!D56</f>
        <v>11.25</v>
      </c>
      <c r="AK117" s="23">
        <f t="shared" ref="AK117:CE117" si="1040">+AJ117</f>
        <v>11.25</v>
      </c>
      <c r="AL117" s="23">
        <f>+'QTR Raw'!F56</f>
        <v>11.25</v>
      </c>
      <c r="AM117" s="23">
        <f t="shared" si="1040"/>
        <v>11.25</v>
      </c>
      <c r="AN117" s="23">
        <f>+'QTR Raw'!H56</f>
        <v>12.61</v>
      </c>
      <c r="AO117" s="23">
        <f t="shared" si="1040"/>
        <v>12.61</v>
      </c>
      <c r="AP117" s="23">
        <f>+'QTR Raw'!J56</f>
        <v>12.61</v>
      </c>
      <c r="AQ117" s="23">
        <f t="shared" si="1040"/>
        <v>12.61</v>
      </c>
      <c r="AR117" s="23">
        <f>+'QTR Raw'!L56</f>
        <v>12.61</v>
      </c>
      <c r="AS117" s="23">
        <f t="shared" si="1040"/>
        <v>12.61</v>
      </c>
      <c r="AT117" s="23">
        <f>+'QTR Raw'!N56</f>
        <v>12.61</v>
      </c>
      <c r="AU117" s="23">
        <f t="shared" si="1040"/>
        <v>12.61</v>
      </c>
      <c r="AV117" s="23">
        <f>+'QTR Raw'!P56</f>
        <v>12.61</v>
      </c>
      <c r="AW117" s="23">
        <f t="shared" si="1040"/>
        <v>12.61</v>
      </c>
      <c r="AX117" s="23">
        <f>+'QTR Raw'!R56</f>
        <v>12.61</v>
      </c>
      <c r="AY117" s="23">
        <f t="shared" si="1040"/>
        <v>12.61</v>
      </c>
      <c r="AZ117" s="23">
        <f>+'QTR Raw'!T56</f>
        <v>12.61</v>
      </c>
      <c r="BA117" s="23">
        <f t="shared" si="1040"/>
        <v>12.61</v>
      </c>
      <c r="BB117" s="23">
        <f>+'QTR Raw'!V56</f>
        <v>12.61</v>
      </c>
      <c r="BC117" s="23">
        <f t="shared" si="1040"/>
        <v>12.61</v>
      </c>
      <c r="BD117" s="23">
        <f>+'QTR Raw'!X56</f>
        <v>12.61</v>
      </c>
      <c r="BE117" s="23">
        <f t="shared" si="1040"/>
        <v>12.61</v>
      </c>
      <c r="BF117" s="23">
        <f>+'QTR Raw'!Z56</f>
        <v>12.61</v>
      </c>
      <c r="BG117" s="23">
        <f t="shared" si="1040"/>
        <v>12.61</v>
      </c>
      <c r="BH117" s="23">
        <f>+'QTR Raw'!AB56</f>
        <v>12.61</v>
      </c>
      <c r="BI117" s="23">
        <f t="shared" si="1040"/>
        <v>12.61</v>
      </c>
      <c r="BJ117" s="23">
        <f>+'QTR Raw'!AD56</f>
        <v>12.61</v>
      </c>
      <c r="BK117" s="23">
        <f t="shared" si="1040"/>
        <v>12.61</v>
      </c>
      <c r="BL117" s="23">
        <f>+'QTR Raw'!AF56</f>
        <v>12.61</v>
      </c>
      <c r="BM117" s="23">
        <f t="shared" si="1040"/>
        <v>12.61</v>
      </c>
      <c r="BN117" s="23">
        <f>+'QTR Raw'!AH56</f>
        <v>12.04</v>
      </c>
      <c r="BO117" s="23">
        <f t="shared" si="1040"/>
        <v>12.04</v>
      </c>
      <c r="BP117" s="23">
        <f>+'QTR Raw'!AJ56</f>
        <v>12.04</v>
      </c>
      <c r="BQ117" s="23">
        <f t="shared" si="1040"/>
        <v>12.04</v>
      </c>
      <c r="BR117" s="23">
        <f>+'QTR Raw'!AL56</f>
        <v>12.04</v>
      </c>
      <c r="BS117" s="23">
        <f t="shared" si="1040"/>
        <v>12.04</v>
      </c>
      <c r="BT117" s="23">
        <f>+'QTR Raw'!AN56</f>
        <v>12.04</v>
      </c>
      <c r="BU117" s="23">
        <f t="shared" si="1040"/>
        <v>12.04</v>
      </c>
      <c r="BV117" s="23">
        <f>+'QTR Raw'!AP56</f>
        <v>12.04</v>
      </c>
      <c r="BW117" s="23">
        <f t="shared" si="1040"/>
        <v>12.04</v>
      </c>
      <c r="BX117" s="23">
        <f>+'QTR Raw'!AR56</f>
        <v>12.04</v>
      </c>
      <c r="BY117" s="23">
        <f t="shared" si="1040"/>
        <v>12.04</v>
      </c>
      <c r="BZ117" s="23">
        <f>+'QTR Raw'!AT56</f>
        <v>12.04</v>
      </c>
      <c r="CA117" s="23">
        <f t="shared" si="1040"/>
        <v>12.04</v>
      </c>
      <c r="CB117" s="23">
        <f>+'QTR Raw'!AV56</f>
        <v>12.04</v>
      </c>
      <c r="CC117" s="23">
        <f t="shared" si="1040"/>
        <v>12.04</v>
      </c>
      <c r="CD117" s="23">
        <f>+'QTR Raw'!AX56</f>
        <v>12.04</v>
      </c>
      <c r="CE117" s="23">
        <f t="shared" si="1040"/>
        <v>12.04</v>
      </c>
      <c r="CF117" s="23">
        <f>+'QTR Raw'!AZ56</f>
        <v>12.04</v>
      </c>
      <c r="CG117" s="23">
        <f t="shared" ref="CG117:CG118" si="1041">+CF117</f>
        <v>12.04</v>
      </c>
      <c r="CH117" s="23">
        <f>Z117</f>
        <v>12.04</v>
      </c>
      <c r="CI117" s="23">
        <f>CH117</f>
        <v>12.04</v>
      </c>
      <c r="CJ117" s="23">
        <f>+'QTR Raw'!BD56</f>
        <v>12.04</v>
      </c>
      <c r="CK117" s="24">
        <f t="shared" ref="CK117:DB117" si="1042">CJ117</f>
        <v>12.04</v>
      </c>
      <c r="CL117" s="23">
        <f>+'QTR Raw'!BF56</f>
        <v>12.04</v>
      </c>
      <c r="CM117" s="24">
        <f t="shared" si="1042"/>
        <v>12.04</v>
      </c>
      <c r="CN117" s="24">
        <f t="shared" si="1042"/>
        <v>12.04</v>
      </c>
      <c r="CO117" s="24">
        <f t="shared" si="1042"/>
        <v>12.04</v>
      </c>
      <c r="CP117" s="24">
        <f t="shared" si="1042"/>
        <v>12.04</v>
      </c>
      <c r="CQ117" s="24">
        <f t="shared" si="1042"/>
        <v>12.04</v>
      </c>
      <c r="CR117" s="24">
        <f t="shared" si="1042"/>
        <v>12.04</v>
      </c>
      <c r="CS117" s="24">
        <f t="shared" si="1042"/>
        <v>12.04</v>
      </c>
      <c r="CT117" s="24">
        <f t="shared" si="1042"/>
        <v>12.04</v>
      </c>
      <c r="CU117" s="24">
        <f t="shared" si="1042"/>
        <v>12.04</v>
      </c>
      <c r="CV117" s="24">
        <f t="shared" si="1042"/>
        <v>12.04</v>
      </c>
      <c r="CW117" s="24">
        <f t="shared" si="1042"/>
        <v>12.04</v>
      </c>
      <c r="CX117" s="24">
        <f t="shared" si="1042"/>
        <v>12.04</v>
      </c>
      <c r="CY117" s="24">
        <f t="shared" si="1042"/>
        <v>12.04</v>
      </c>
      <c r="CZ117" s="24">
        <f t="shared" si="1042"/>
        <v>12.04</v>
      </c>
      <c r="DA117" s="24">
        <f t="shared" si="1042"/>
        <v>12.04</v>
      </c>
      <c r="DB117" s="24">
        <f t="shared" si="1042"/>
        <v>12.04</v>
      </c>
      <c r="DE117" s="123"/>
      <c r="DF117" s="23">
        <v>12.04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1.3635999999999999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1.36</v>
      </c>
      <c r="AM118" s="23">
        <f t="shared" si="1047"/>
        <v>1.36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62.854199999999999</v>
      </c>
      <c r="C119" s="23">
        <f>'Annual Raw'!D43</f>
        <v>42.080800000000004</v>
      </c>
      <c r="D119" s="23">
        <f>'Annual Raw'!E43</f>
        <v>56.679699999999997</v>
      </c>
      <c r="E119" s="23">
        <f>'Annual Raw'!F43</f>
        <v>74.057000000000002</v>
      </c>
      <c r="F119" s="23">
        <f>'Annual Raw'!G43</f>
        <v>78.332400000000007</v>
      </c>
      <c r="G119" s="23">
        <f>'Annual Raw'!H43</f>
        <v>93.038399999999996</v>
      </c>
      <c r="H119" s="23">
        <f>'Annual Raw'!I43</f>
        <v>129.83340000000001</v>
      </c>
      <c r="I119" s="23">
        <f>'Annual Raw'!J43</f>
        <v>170.85890000000001</v>
      </c>
      <c r="J119" s="23">
        <f>'Annual Raw'!K43</f>
        <v>181.27950000000001</v>
      </c>
      <c r="K119" s="23">
        <f>'Annual Raw'!L43</f>
        <v>213.33799999999999</v>
      </c>
      <c r="L119" s="23">
        <f>'Annual Raw'!M43</f>
        <v>271.80279999999999</v>
      </c>
      <c r="M119" s="23">
        <f>'Annual Raw'!N43</f>
        <v>299.36070000000001</v>
      </c>
      <c r="N119" s="23">
        <f>'Annual Raw'!O43</f>
        <v>350.64109999999999</v>
      </c>
      <c r="O119" s="23">
        <f>'Annual Raw'!P43</f>
        <v>371.51530000000002</v>
      </c>
      <c r="P119" s="23">
        <f>'Annual Raw'!Q43</f>
        <v>401.29849999999999</v>
      </c>
      <c r="Q119" s="23">
        <f>'Annual Raw'!R43</f>
        <v>429.7527</v>
      </c>
      <c r="R119" s="23">
        <f>'Annual Raw'!S43</f>
        <v>592.34</v>
      </c>
      <c r="S119" s="23">
        <f>'Annual Raw'!T43</f>
        <v>712.86</v>
      </c>
      <c r="T119" s="23">
        <f>'Annual Raw'!U43</f>
        <v>880.59</v>
      </c>
      <c r="U119" s="23">
        <f>'Annual Raw'!V43</f>
        <v>1007.21</v>
      </c>
      <c r="V119" s="23">
        <f>'Annual Raw'!W43</f>
        <v>1130.69</v>
      </c>
      <c r="W119" s="23">
        <f>'Annual Raw'!X43</f>
        <v>1243.22</v>
      </c>
      <c r="X119" s="23">
        <f>'Annual Raw'!Y43</f>
        <v>1623.32</v>
      </c>
      <c r="Y119" s="23">
        <f>'Annual Raw'!Z43</f>
        <v>1899.27</v>
      </c>
      <c r="Z119" s="23">
        <f>'Annual Raw'!AA43</f>
        <v>1976.36</v>
      </c>
      <c r="AA119" s="23">
        <f>'Annual Raw'!AB43</f>
        <v>2029.93</v>
      </c>
      <c r="AB119" s="24">
        <f t="shared" si="1043"/>
        <v>2136.3245774985025</v>
      </c>
      <c r="AC119" s="24">
        <f t="shared" si="1044"/>
        <v>2255.1640554059227</v>
      </c>
      <c r="AD119" s="24">
        <f t="shared" si="1045"/>
        <v>2387.7495039211703</v>
      </c>
      <c r="AE119" s="24">
        <f t="shared" si="1046"/>
        <v>2535.0203773255139</v>
      </c>
      <c r="AJ119" s="23">
        <f>+'QTR Raw'!D58</f>
        <v>321.22000000000003</v>
      </c>
      <c r="AK119" s="23">
        <f>+AJ119+AK48</f>
        <v>323.24</v>
      </c>
      <c r="AL119" s="23">
        <f>+'QTR Raw'!F58</f>
        <v>350.64</v>
      </c>
      <c r="AM119" s="23">
        <f>+AL119+AM48</f>
        <v>357.43</v>
      </c>
      <c r="AN119" s="23">
        <f>+'QTR Raw'!H58</f>
        <v>363.1</v>
      </c>
      <c r="AO119" s="23">
        <f>+AN119+AO48</f>
        <v>365.20000000000005</v>
      </c>
      <c r="AP119" s="23">
        <f>+'QTR Raw'!J58</f>
        <v>371.52</v>
      </c>
      <c r="AQ119" s="23">
        <f>+AP119+AQ48</f>
        <v>376.55</v>
      </c>
      <c r="AR119" s="23">
        <f>+'QTR Raw'!L58</f>
        <v>383.42</v>
      </c>
      <c r="AS119" s="23">
        <f>+AR119+AS48</f>
        <v>386.07</v>
      </c>
      <c r="AT119" s="23">
        <f>+'QTR Raw'!N58</f>
        <v>401.3</v>
      </c>
      <c r="AU119" s="23">
        <f>+AT119+AU48</f>
        <v>406.69</v>
      </c>
      <c r="AV119" s="23">
        <f>+'QTR Raw'!P58</f>
        <v>392.96</v>
      </c>
      <c r="AW119" s="23">
        <f>+AV119+AW48</f>
        <v>397.09</v>
      </c>
      <c r="AX119" s="23">
        <f>+'QTR Raw'!R58</f>
        <v>429.75</v>
      </c>
      <c r="AY119" s="23">
        <f>+AX119+AY48</f>
        <v>453.87</v>
      </c>
      <c r="AZ119" s="23">
        <f>+'QTR Raw'!T58</f>
        <v>463.18</v>
      </c>
      <c r="BA119" s="23">
        <f>+AZ119+BA48</f>
        <v>497.67000000000007</v>
      </c>
      <c r="BB119" s="23">
        <f>+'QTR Raw'!V58</f>
        <v>592.34</v>
      </c>
      <c r="BC119" s="23">
        <f>+BB119+BC48</f>
        <v>614.09</v>
      </c>
      <c r="BD119" s="23">
        <f>+'QTR Raw'!X58</f>
        <v>611.21</v>
      </c>
      <c r="BE119" s="23">
        <f>+BD119+BE48</f>
        <v>642.13000000000011</v>
      </c>
      <c r="BF119" s="23">
        <f>+'QTR Raw'!Z58</f>
        <v>712.86</v>
      </c>
      <c r="BG119" s="23">
        <f>+BF119+BG48</f>
        <v>739.31999999999994</v>
      </c>
      <c r="BH119" s="23">
        <f>+'QTR Raw'!AB58</f>
        <v>763.86</v>
      </c>
      <c r="BI119" s="23">
        <f>+BH119+BI48</f>
        <v>814.09</v>
      </c>
      <c r="BJ119" s="23">
        <f>+'QTR Raw'!AD58</f>
        <v>880.59</v>
      </c>
      <c r="BK119" s="23">
        <f>+BJ119+BK48</f>
        <v>919.6</v>
      </c>
      <c r="BL119" s="23">
        <f>+'QTR Raw'!AF58</f>
        <v>937.09</v>
      </c>
      <c r="BM119" s="23">
        <f>+BL119+BM48</f>
        <v>982.95</v>
      </c>
      <c r="BN119" s="23">
        <f>+'QTR Raw'!AH58</f>
        <v>1007.21</v>
      </c>
      <c r="BO119" s="23">
        <f>+BN119+BO48</f>
        <v>1026.51</v>
      </c>
      <c r="BP119" s="23">
        <f>+'QTR Raw'!AJ58</f>
        <v>1029.8900000000001</v>
      </c>
      <c r="BQ119" s="23">
        <f>+BP119+BQ48</f>
        <v>1034.5400000000002</v>
      </c>
      <c r="BR119" s="23">
        <f>+'QTR Raw'!AL58</f>
        <v>1130.69</v>
      </c>
      <c r="BS119" s="23">
        <f>+BR119+BS48</f>
        <v>1150.55</v>
      </c>
      <c r="BT119" s="23">
        <f>+'QTR Raw'!AN58</f>
        <v>1198.94</v>
      </c>
      <c r="BU119" s="23">
        <f>+BT119+BU48</f>
        <v>1204.98</v>
      </c>
      <c r="BV119" s="23">
        <f>+'QTR Raw'!AP58</f>
        <v>1243.22</v>
      </c>
      <c r="BW119" s="23">
        <f>+BV119+BW48</f>
        <v>1303.52</v>
      </c>
      <c r="BX119" s="23">
        <f>+'QTR Raw'!AR58</f>
        <v>1392.65</v>
      </c>
      <c r="BY119" s="23">
        <f>+BX119+BY48</f>
        <v>1504.22</v>
      </c>
      <c r="BZ119" s="23">
        <f>+'QTR Raw'!AT58</f>
        <v>1623.32</v>
      </c>
      <c r="CA119" s="23">
        <f>+BZ119+CA48</f>
        <v>1695.07</v>
      </c>
      <c r="CB119" s="23">
        <f>+'QTR Raw'!AV58</f>
        <v>1759.14</v>
      </c>
      <c r="CC119" s="23">
        <f>+CB119+CC48</f>
        <v>1828.1200000000001</v>
      </c>
      <c r="CD119" s="23">
        <f>+'QTR Raw'!AX58</f>
        <v>1899.27</v>
      </c>
      <c r="CE119" s="23">
        <f>+CD119+CE48</f>
        <v>1936.27</v>
      </c>
      <c r="CF119" s="23">
        <f>+'QTR Raw'!AZ58</f>
        <v>1952.74</v>
      </c>
      <c r="CG119" s="23">
        <f>+CF119+CG48</f>
        <v>1969.37</v>
      </c>
      <c r="CH119" s="23">
        <f t="shared" si="1048"/>
        <v>1976.36</v>
      </c>
      <c r="CI119" s="23">
        <f>CH119+CI48</f>
        <v>1991.79</v>
      </c>
      <c r="CJ119" s="23">
        <f>+'QTR Raw'!BD58</f>
        <v>2004.04</v>
      </c>
      <c r="CK119" s="24">
        <f t="shared" ref="CK119:DB119" si="1050">CJ119+CK48</f>
        <v>2022.6799999999998</v>
      </c>
      <c r="CL119" s="23">
        <f>+'QTR Raw'!BF58</f>
        <v>2029.93</v>
      </c>
      <c r="CM119" s="24">
        <f t="shared" si="1050"/>
        <v>2049.1988165862062</v>
      </c>
      <c r="CN119" s="24">
        <f t="shared" si="1050"/>
        <v>2073.8869179878584</v>
      </c>
      <c r="CO119" s="24">
        <f t="shared" si="1050"/>
        <v>2101.2813085596872</v>
      </c>
      <c r="CP119" s="24">
        <f t="shared" si="1050"/>
        <v>2136.3245774985025</v>
      </c>
      <c r="CQ119" s="24">
        <f t="shared" si="1050"/>
        <v>2157.7341653384692</v>
      </c>
      <c r="CR119" s="24">
        <f t="shared" si="1050"/>
        <v>2184.9456629853676</v>
      </c>
      <c r="CS119" s="24">
        <f t="shared" si="1050"/>
        <v>2215.7362115875726</v>
      </c>
      <c r="CT119" s="24">
        <f t="shared" si="1050"/>
        <v>2255.1640554059227</v>
      </c>
      <c r="CU119" s="24">
        <f t="shared" si="1050"/>
        <v>2279.6627018158142</v>
      </c>
      <c r="CV119" s="24">
        <f t="shared" si="1050"/>
        <v>2310.2256411242083</v>
      </c>
      <c r="CW119" s="24">
        <f t="shared" si="1050"/>
        <v>2344.6011922883686</v>
      </c>
      <c r="CX119" s="24">
        <f t="shared" si="1050"/>
        <v>2387.7495039211703</v>
      </c>
      <c r="CY119" s="24">
        <f t="shared" si="1050"/>
        <v>2415.7521563408891</v>
      </c>
      <c r="CZ119" s="24">
        <f t="shared" si="1050"/>
        <v>2449.9519514431822</v>
      </c>
      <c r="DA119" s="24">
        <f t="shared" si="1050"/>
        <v>2488.057202602462</v>
      </c>
      <c r="DB119" s="24">
        <f t="shared" si="1050"/>
        <v>2535.0203773255139</v>
      </c>
      <c r="DE119" s="123"/>
      <c r="DF119" s="23">
        <v>2029.93</v>
      </c>
    </row>
    <row r="120" spans="1:110" s="22" customFormat="1" x14ac:dyDescent="0.2">
      <c r="A120" s="22" t="s">
        <v>44</v>
      </c>
      <c r="B120" s="22">
        <f>B117+B118+B119</f>
        <v>74.104199999999992</v>
      </c>
      <c r="C120" s="22">
        <f t="shared" ref="C120:V120" si="1051">C117+C118+C119</f>
        <v>53.330800000000004</v>
      </c>
      <c r="D120" s="22">
        <f t="shared" si="1051"/>
        <v>67.929699999999997</v>
      </c>
      <c r="E120" s="22">
        <f t="shared" si="1051"/>
        <v>85.307000000000002</v>
      </c>
      <c r="F120" s="22">
        <f t="shared" si="1051"/>
        <v>89.582400000000007</v>
      </c>
      <c r="G120" s="22">
        <f t="shared" si="1051"/>
        <v>104.2884</v>
      </c>
      <c r="H120" s="22">
        <f t="shared" si="1051"/>
        <v>141.08340000000001</v>
      </c>
      <c r="I120" s="22">
        <f t="shared" si="1051"/>
        <v>182.10890000000001</v>
      </c>
      <c r="J120" s="22">
        <f t="shared" si="1051"/>
        <v>192.52950000000001</v>
      </c>
      <c r="K120" s="22">
        <f t="shared" si="1051"/>
        <v>224.58799999999999</v>
      </c>
      <c r="L120" s="22">
        <f t="shared" si="1051"/>
        <v>283.05279999999999</v>
      </c>
      <c r="M120" s="22">
        <f>M117+M118+M119</f>
        <v>310.61070000000001</v>
      </c>
      <c r="N120" s="22">
        <f t="shared" si="1051"/>
        <v>363.25470000000001</v>
      </c>
      <c r="O120" s="22">
        <f t="shared" si="1051"/>
        <v>384.12890000000004</v>
      </c>
      <c r="P120" s="22">
        <f t="shared" si="1051"/>
        <v>413.91210000000001</v>
      </c>
      <c r="Q120" s="22">
        <f t="shared" si="1051"/>
        <v>442.36630000000002</v>
      </c>
      <c r="R120" s="22">
        <f t="shared" si="1051"/>
        <v>604.95000000000005</v>
      </c>
      <c r="S120" s="22">
        <f t="shared" si="1051"/>
        <v>725.47</v>
      </c>
      <c r="T120" s="22">
        <f t="shared" si="1051"/>
        <v>893.2</v>
      </c>
      <c r="U120" s="22">
        <f t="shared" si="1051"/>
        <v>1019.25</v>
      </c>
      <c r="V120" s="22">
        <f t="shared" si="1051"/>
        <v>1142.73</v>
      </c>
      <c r="W120" s="22">
        <f t="shared" ref="W120" si="1052">W117+W118+W119</f>
        <v>1255.26</v>
      </c>
      <c r="X120" s="22">
        <f t="shared" ref="X120:Y120" si="1053">X117+X118+X119</f>
        <v>1635.36</v>
      </c>
      <c r="Y120" s="22">
        <f t="shared" si="1053"/>
        <v>1911.31</v>
      </c>
      <c r="Z120" s="22">
        <f t="shared" ref="Z120:AA120" si="1054">Z117+Z118+Z119</f>
        <v>1988.3999999999999</v>
      </c>
      <c r="AA120" s="22">
        <f t="shared" si="1054"/>
        <v>2041.97</v>
      </c>
      <c r="AB120" s="21">
        <f t="shared" ref="AA120:AD120" si="1055">AB117+AB118+AB119</f>
        <v>2148.3645774985025</v>
      </c>
      <c r="AC120" s="21">
        <f t="shared" si="1055"/>
        <v>2267.2040554059226</v>
      </c>
      <c r="AD120" s="21">
        <f t="shared" si="1055"/>
        <v>2399.7895039211703</v>
      </c>
      <c r="AE120" s="21">
        <f t="shared" ref="AE120" si="1056">AE117+AE118+AE119</f>
        <v>2547.0603773255139</v>
      </c>
      <c r="AJ120" s="22">
        <f t="shared" ref="AJ120" si="1057">AJ117+AJ118+AJ119</f>
        <v>332.47</v>
      </c>
      <c r="AK120" s="22">
        <f t="shared" ref="AK120" si="1058">AK117+AK118+AK119</f>
        <v>334.49</v>
      </c>
      <c r="AL120" s="22">
        <f t="shared" ref="AL120:AM120" si="1059">AL117+AL118+AL119</f>
        <v>363.25</v>
      </c>
      <c r="AM120" s="22">
        <f t="shared" si="1059"/>
        <v>370.04</v>
      </c>
      <c r="AN120" s="22">
        <f t="shared" ref="AN120:AO120" si="1060">AN117+AN118+AN119</f>
        <v>375.71000000000004</v>
      </c>
      <c r="AO120" s="22">
        <f t="shared" si="1060"/>
        <v>377.81000000000006</v>
      </c>
      <c r="AP120" s="22">
        <f t="shared" ref="AP120:CE120" si="1061">AP117+AP118+AP119</f>
        <v>384.13</v>
      </c>
      <c r="AQ120" s="22">
        <f t="shared" si="1061"/>
        <v>389.16</v>
      </c>
      <c r="AR120" s="22">
        <f t="shared" si="1061"/>
        <v>396.03000000000003</v>
      </c>
      <c r="AS120" s="22">
        <f t="shared" si="1061"/>
        <v>398.68</v>
      </c>
      <c r="AT120" s="22">
        <f t="shared" si="1061"/>
        <v>413.91</v>
      </c>
      <c r="AU120" s="22">
        <f t="shared" si="1061"/>
        <v>419.3</v>
      </c>
      <c r="AV120" s="22">
        <f t="shared" si="1061"/>
        <v>405.57</v>
      </c>
      <c r="AW120" s="22">
        <f t="shared" si="1061"/>
        <v>409.7</v>
      </c>
      <c r="AX120" s="22">
        <f t="shared" si="1061"/>
        <v>442.36</v>
      </c>
      <c r="AY120" s="22">
        <f t="shared" si="1061"/>
        <v>466.48</v>
      </c>
      <c r="AZ120" s="22">
        <f t="shared" si="1061"/>
        <v>475.79</v>
      </c>
      <c r="BA120" s="22">
        <f t="shared" si="1061"/>
        <v>510.28000000000009</v>
      </c>
      <c r="BB120" s="22">
        <f t="shared" si="1061"/>
        <v>604.95000000000005</v>
      </c>
      <c r="BC120" s="22">
        <f t="shared" si="1061"/>
        <v>626.70000000000005</v>
      </c>
      <c r="BD120" s="22">
        <f t="shared" si="1061"/>
        <v>623.82000000000005</v>
      </c>
      <c r="BE120" s="22">
        <f t="shared" si="1061"/>
        <v>654.74000000000012</v>
      </c>
      <c r="BF120" s="22">
        <f t="shared" si="1061"/>
        <v>725.47</v>
      </c>
      <c r="BG120" s="22">
        <f t="shared" si="1061"/>
        <v>751.93</v>
      </c>
      <c r="BH120" s="22">
        <f t="shared" si="1061"/>
        <v>776.47</v>
      </c>
      <c r="BI120" s="22">
        <f t="shared" si="1061"/>
        <v>826.7</v>
      </c>
      <c r="BJ120" s="22">
        <f t="shared" si="1061"/>
        <v>893.2</v>
      </c>
      <c r="BK120" s="22">
        <f t="shared" si="1061"/>
        <v>932.21</v>
      </c>
      <c r="BL120" s="22">
        <f t="shared" si="1061"/>
        <v>949.7</v>
      </c>
      <c r="BM120" s="22">
        <f t="shared" si="1061"/>
        <v>995.56000000000006</v>
      </c>
      <c r="BN120" s="22">
        <f t="shared" si="1061"/>
        <v>1019.25</v>
      </c>
      <c r="BO120" s="22">
        <f t="shared" si="1061"/>
        <v>1038.55</v>
      </c>
      <c r="BP120" s="22">
        <f t="shared" si="1061"/>
        <v>1041.93</v>
      </c>
      <c r="BQ120" s="22">
        <f t="shared" si="1061"/>
        <v>1046.5800000000002</v>
      </c>
      <c r="BR120" s="22">
        <f t="shared" si="1061"/>
        <v>1142.73</v>
      </c>
      <c r="BS120" s="22">
        <f t="shared" si="1061"/>
        <v>1162.5899999999999</v>
      </c>
      <c r="BT120" s="22">
        <f t="shared" si="1061"/>
        <v>1210.98</v>
      </c>
      <c r="BU120" s="22">
        <f t="shared" si="1061"/>
        <v>1217.02</v>
      </c>
      <c r="BV120" s="22">
        <f t="shared" si="1061"/>
        <v>1255.26</v>
      </c>
      <c r="BW120" s="22">
        <f t="shared" si="1061"/>
        <v>1315.56</v>
      </c>
      <c r="BX120" s="22">
        <f t="shared" si="1061"/>
        <v>1404.69</v>
      </c>
      <c r="BY120" s="22">
        <f t="shared" si="1061"/>
        <v>1516.26</v>
      </c>
      <c r="BZ120" s="22">
        <f t="shared" si="1061"/>
        <v>1635.36</v>
      </c>
      <c r="CA120" s="22">
        <f t="shared" si="1061"/>
        <v>1707.11</v>
      </c>
      <c r="CB120" s="22">
        <f t="shared" si="1061"/>
        <v>1771.18</v>
      </c>
      <c r="CC120" s="22">
        <f t="shared" si="1061"/>
        <v>1840.16</v>
      </c>
      <c r="CD120" s="22">
        <f t="shared" si="1061"/>
        <v>1911.31</v>
      </c>
      <c r="CE120" s="22">
        <f t="shared" si="1061"/>
        <v>1948.31</v>
      </c>
      <c r="CF120" s="22">
        <f t="shared" ref="CF120:CG120" si="1062">CF117+CF118+CF119</f>
        <v>1964.78</v>
      </c>
      <c r="CG120" s="22">
        <f t="shared" si="1062"/>
        <v>1981.4099999999999</v>
      </c>
      <c r="CH120" s="22">
        <f t="shared" ref="CH120:CI120" si="1063">CH117+CH118+CH119</f>
        <v>1988.3999999999999</v>
      </c>
      <c r="CI120" s="22">
        <f t="shared" si="1063"/>
        <v>2003.83</v>
      </c>
      <c r="CJ120" s="22">
        <f t="shared" ref="CJ120:DB120" si="1064">CJ117+CJ118+CJ119</f>
        <v>2016.08</v>
      </c>
      <c r="CK120" s="21">
        <f t="shared" si="1064"/>
        <v>2034.7199999999998</v>
      </c>
      <c r="CL120" s="22">
        <f t="shared" ref="CL120" si="1065">CL117+CL118+CL119</f>
        <v>2041.97</v>
      </c>
      <c r="CM120" s="21">
        <f t="shared" si="1064"/>
        <v>2061.2388165862062</v>
      </c>
      <c r="CN120" s="21">
        <f t="shared" si="1064"/>
        <v>2085.9269179878584</v>
      </c>
      <c r="CO120" s="21">
        <f t="shared" si="1064"/>
        <v>2113.3213085596872</v>
      </c>
      <c r="CP120" s="21">
        <f t="shared" si="1064"/>
        <v>2148.3645774985025</v>
      </c>
      <c r="CQ120" s="21">
        <f t="shared" si="1064"/>
        <v>2169.7741653384692</v>
      </c>
      <c r="CR120" s="21">
        <f t="shared" si="1064"/>
        <v>2196.9856629853675</v>
      </c>
      <c r="CS120" s="21">
        <f t="shared" si="1064"/>
        <v>2227.7762115875726</v>
      </c>
      <c r="CT120" s="21">
        <f t="shared" si="1064"/>
        <v>2267.2040554059226</v>
      </c>
      <c r="CU120" s="21">
        <f t="shared" si="1064"/>
        <v>2291.7027018158142</v>
      </c>
      <c r="CV120" s="21">
        <f t="shared" si="1064"/>
        <v>2322.2656411242083</v>
      </c>
      <c r="CW120" s="21">
        <f t="shared" si="1064"/>
        <v>2356.6411922883685</v>
      </c>
      <c r="CX120" s="21">
        <f t="shared" si="1064"/>
        <v>2399.7895039211703</v>
      </c>
      <c r="CY120" s="21">
        <f t="shared" si="1064"/>
        <v>2427.7921563408891</v>
      </c>
      <c r="CZ120" s="21">
        <f t="shared" si="1064"/>
        <v>2461.9919514431822</v>
      </c>
      <c r="DA120" s="21">
        <f t="shared" si="1064"/>
        <v>2500.0972026024619</v>
      </c>
      <c r="DB120" s="21">
        <f t="shared" si="1064"/>
        <v>2547.0603773255139</v>
      </c>
      <c r="DE120" s="126"/>
      <c r="DF120" s="22">
        <v>2041.97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174.50470000000001</v>
      </c>
      <c r="C124" s="23">
        <f>'Annual Raw'!D47</f>
        <v>175.12</v>
      </c>
      <c r="D124" s="23">
        <f>'Annual Raw'!E47</f>
        <v>150.0667</v>
      </c>
      <c r="E124" s="23">
        <f>'Annual Raw'!F47</f>
        <v>104.7525</v>
      </c>
      <c r="F124" s="23">
        <f>'Annual Raw'!G47</f>
        <v>134.04310000000001</v>
      </c>
      <c r="G124" s="23">
        <f>'Annual Raw'!H47</f>
        <v>104.69</v>
      </c>
      <c r="H124" s="23">
        <f>'Annual Raw'!I47</f>
        <v>217.88040000000001</v>
      </c>
      <c r="I124" s="23">
        <f>'Annual Raw'!J47</f>
        <v>311.10070000000002</v>
      </c>
      <c r="J124" s="23">
        <f>'Annual Raw'!K47</f>
        <v>336.97710000000001</v>
      </c>
      <c r="K124" s="23">
        <f>'Annual Raw'!L47</f>
        <v>288.82749999999999</v>
      </c>
      <c r="L124" s="23">
        <f>'Annual Raw'!M47</f>
        <v>97.499799999999993</v>
      </c>
      <c r="M124" s="23">
        <f>'Annual Raw'!N47</f>
        <v>45.000799999999998</v>
      </c>
      <c r="N124" s="23">
        <f>'Annual Raw'!O47</f>
        <v>152.97999999999999</v>
      </c>
      <c r="O124" s="23">
        <f>'Annual Raw'!P47</f>
        <v>158.625</v>
      </c>
      <c r="P124" s="23">
        <f>'Annual Raw'!Q47</f>
        <v>130.33000000000001</v>
      </c>
      <c r="Q124" s="23">
        <f>'Annual Raw'!R47</f>
        <v>135.69499999999999</v>
      </c>
      <c r="R124" s="23">
        <f>'Annual Raw'!S47</f>
        <v>103.9</v>
      </c>
      <c r="S124" s="23">
        <f>'Annual Raw'!T47</f>
        <v>81.17</v>
      </c>
      <c r="T124" s="23">
        <f>'Annual Raw'!U47</f>
        <v>42.61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6.5461</v>
      </c>
      <c r="F125" s="23">
        <f>'Annual Raw'!G48</f>
        <v>13.1602</v>
      </c>
      <c r="G125" s="23">
        <f>'Annual Raw'!H48</f>
        <v>20.397400000000001</v>
      </c>
      <c r="H125" s="23">
        <f>'Annual Raw'!I48</f>
        <v>25.904299999999999</v>
      </c>
      <c r="I125" s="23">
        <f>'Annual Raw'!J48</f>
        <v>29.659700000000001</v>
      </c>
      <c r="J125" s="23">
        <f>'Annual Raw'!K48</f>
        <v>33.4452</v>
      </c>
      <c r="K125" s="23">
        <f>'Annual Raw'!L48</f>
        <v>36.571399999999997</v>
      </c>
      <c r="L125" s="23">
        <f>'Annual Raw'!M48</f>
        <v>40.049700000000001</v>
      </c>
      <c r="M125" s="23">
        <f>'Annual Raw'!N48</f>
        <v>44.055599999999998</v>
      </c>
      <c r="N125" s="23">
        <f>'Annual Raw'!O48</f>
        <v>41.703200000000002</v>
      </c>
      <c r="O125" s="23">
        <f>'Annual Raw'!P48</f>
        <v>34.481200000000001</v>
      </c>
      <c r="P125" s="23">
        <f>'Annual Raw'!Q48</f>
        <v>27.244800000000001</v>
      </c>
      <c r="Q125" s="23">
        <f>'Annual Raw'!R48</f>
        <v>21.745799999999999</v>
      </c>
      <c r="R125" s="23">
        <f>'Annual Raw'!S48</f>
        <v>12.94</v>
      </c>
      <c r="S125" s="23">
        <f>'Annual Raw'!T48</f>
        <v>10.63</v>
      </c>
      <c r="T125" s="23">
        <f>'Annual Raw'!U48</f>
        <v>8.8699999999999992</v>
      </c>
      <c r="U125" s="23">
        <f>'Annual Raw'!V48</f>
        <v>6.63</v>
      </c>
      <c r="V125" s="23">
        <f>'Annual Raw'!W48</f>
        <v>3.49</v>
      </c>
      <c r="W125" s="23">
        <f>'Annual Raw'!X48</f>
        <v>0.54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59.05</v>
      </c>
      <c r="AK125" s="23">
        <f t="shared" si="1090"/>
        <v>59.05</v>
      </c>
      <c r="AL125" s="23">
        <f>+'QTR Raw'!F63</f>
        <v>194.69</v>
      </c>
      <c r="AM125" s="23">
        <f t="shared" si="1090"/>
        <v>194.69</v>
      </c>
      <c r="AN125" s="23">
        <f>+'QTR Raw'!H63</f>
        <v>183.27</v>
      </c>
      <c r="AO125" s="23">
        <f t="shared" si="1090"/>
        <v>183.27</v>
      </c>
      <c r="AP125" s="23">
        <f>+'QTR Raw'!J63</f>
        <v>193.11</v>
      </c>
      <c r="AQ125" s="23">
        <f t="shared" si="1090"/>
        <v>193.11</v>
      </c>
      <c r="AR125" s="23">
        <f>+'QTR Raw'!L63</f>
        <v>174.71</v>
      </c>
      <c r="AS125" s="23">
        <f t="shared" si="1090"/>
        <v>174.71</v>
      </c>
      <c r="AT125" s="23">
        <f>+'QTR Raw'!N63</f>
        <v>157.58000000000001</v>
      </c>
      <c r="AU125" s="23">
        <f t="shared" si="1090"/>
        <v>157.58000000000001</v>
      </c>
      <c r="AV125" s="23">
        <f>+'QTR Raw'!P63</f>
        <v>161.19999999999999</v>
      </c>
      <c r="AW125" s="23">
        <f t="shared" si="1090"/>
        <v>161.19999999999999</v>
      </c>
      <c r="AX125" s="23">
        <f>+'QTR Raw'!R63</f>
        <v>157.44</v>
      </c>
      <c r="AY125" s="23">
        <f t="shared" si="1090"/>
        <v>157.44</v>
      </c>
      <c r="AZ125" s="23">
        <f>+'QTR Raw'!T63</f>
        <v>154.91999999999999</v>
      </c>
      <c r="BA125" s="23">
        <f t="shared" si="1090"/>
        <v>154.91999999999999</v>
      </c>
      <c r="BB125" s="23">
        <f>+'QTR Raw'!V63</f>
        <v>116.84</v>
      </c>
      <c r="BC125" s="23">
        <f t="shared" si="1090"/>
        <v>116.84</v>
      </c>
      <c r="BD125" s="23">
        <f>+'QTR Raw'!X63</f>
        <v>117.87</v>
      </c>
      <c r="BE125" s="23">
        <f t="shared" si="1090"/>
        <v>117.87</v>
      </c>
      <c r="BF125" s="23">
        <f>+'QTR Raw'!Z63</f>
        <v>91.8</v>
      </c>
      <c r="BG125" s="23">
        <f t="shared" si="1090"/>
        <v>91.8</v>
      </c>
      <c r="BH125" s="23">
        <f>+'QTR Raw'!AB63</f>
        <v>62.43</v>
      </c>
      <c r="BI125" s="23">
        <f t="shared" si="1090"/>
        <v>62.43</v>
      </c>
      <c r="BJ125" s="23">
        <f>+'QTR Raw'!AD63</f>
        <v>51.48</v>
      </c>
      <c r="BK125" s="23">
        <f t="shared" si="1090"/>
        <v>51.48</v>
      </c>
      <c r="BL125" s="23">
        <f>+'QTR Raw'!AF63</f>
        <v>32.75</v>
      </c>
      <c r="BM125" s="23">
        <f t="shared" si="1090"/>
        <v>32.75</v>
      </c>
      <c r="BN125" s="23">
        <f>+'QTR Raw'!AH63</f>
        <v>6.63</v>
      </c>
      <c r="BO125" s="23">
        <f t="shared" si="1090"/>
        <v>6.63</v>
      </c>
      <c r="BP125" s="23">
        <f>+'QTR Raw'!AJ63</f>
        <v>6.28</v>
      </c>
      <c r="BQ125" s="23">
        <f t="shared" si="1090"/>
        <v>6.28</v>
      </c>
      <c r="BR125" s="23">
        <f>+'QTR Raw'!AL63</f>
        <v>3.49</v>
      </c>
      <c r="BS125" s="23">
        <f t="shared" si="1090"/>
        <v>3.49</v>
      </c>
      <c r="BT125" s="23">
        <f>+'QTR Raw'!AN63</f>
        <v>3.04</v>
      </c>
      <c r="BU125" s="23">
        <f t="shared" si="1090"/>
        <v>3.04</v>
      </c>
      <c r="BV125" s="23">
        <f>+'QTR Raw'!AP63</f>
        <v>0.54</v>
      </c>
      <c r="BW125" s="23">
        <f t="shared" si="1090"/>
        <v>0.54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49.997</v>
      </c>
      <c r="M126" s="23">
        <f>'Annual Raw'!N87+'Annual Raw'!N88+'Annual Raw'!N89+'Annual Raw'!N90</f>
        <v>52.498899999999999</v>
      </c>
      <c r="N126" s="23">
        <f>'Annual Raw'!O87+'Annual Raw'!O88+'Annual Raw'!O89+'Annual Raw'!O90</f>
        <v>62.360500000000002</v>
      </c>
      <c r="O126" s="23">
        <f>'Annual Raw'!P87+'Annual Raw'!P88+'Annual Raw'!P89+'Annual Raw'!P90</f>
        <v>32.713999999999999</v>
      </c>
      <c r="P126" s="23">
        <f>'Annual Raw'!Q87+'Annual Raw'!Q88+'Annual Raw'!Q89+'Annual Raw'!Q90</f>
        <v>45.284100000000002</v>
      </c>
      <c r="Q126" s="23">
        <f>'Annual Raw'!R87+'Annual Raw'!R88+'Annual Raw'!R89+'Annual Raw'!R90</f>
        <v>47.1235</v>
      </c>
      <c r="R126" s="23">
        <f>'Annual Raw'!S87+'Annual Raw'!S88+'Annual Raw'!S89+'Annual Raw'!S90</f>
        <v>53.88</v>
      </c>
      <c r="S126" s="23">
        <f>'Annual Raw'!T87+'Annual Raw'!T88+'Annual Raw'!T89+'Annual Raw'!T90</f>
        <v>57.41</v>
      </c>
      <c r="T126" s="23">
        <f>'Annual Raw'!U87+'Annual Raw'!U88+'Annual Raw'!U89+'Annual Raw'!U90</f>
        <v>45.45</v>
      </c>
      <c r="U126" s="23">
        <f>'Annual Raw'!V87+'Annual Raw'!V88+'Annual Raw'!V89+'Annual Raw'!V90</f>
        <v>3.58</v>
      </c>
      <c r="V126" s="23">
        <f>'Annual Raw'!W87+'Annual Raw'!W88+'Annual Raw'!W89+'Annual Raw'!W90</f>
        <v>4.29</v>
      </c>
      <c r="W126" s="23">
        <f>'Annual Raw'!X87+'Annual Raw'!X88+'Annual Raw'!X89+'Annual Raw'!X90</f>
        <v>3.56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210</v>
      </c>
      <c r="M127" s="23">
        <f>'Annual Raw'!N56</f>
        <v>78.143299999999996</v>
      </c>
      <c r="N127" s="23">
        <f>'Annual Raw'!O56</f>
        <v>177.374</v>
      </c>
      <c r="O127" s="23">
        <f>'Annual Raw'!P56</f>
        <v>163.65020000000001</v>
      </c>
      <c r="P127" s="23">
        <f>'Annual Raw'!Q56</f>
        <v>126.0545</v>
      </c>
      <c r="Q127" s="23">
        <f>'Annual Raw'!R56</f>
        <v>97.278599999999997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21</v>
      </c>
      <c r="Z127" s="23">
        <f>'Annual Raw'!AA56</f>
        <v>81.86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98.37</v>
      </c>
      <c r="AK127" s="23">
        <f t="shared" si="1090"/>
        <v>98.37</v>
      </c>
      <c r="AL127" s="23">
        <f>+'QTR Raw'!F88</f>
        <v>177.38</v>
      </c>
      <c r="AM127" s="23">
        <f t="shared" si="1090"/>
        <v>177.38</v>
      </c>
      <c r="AN127" s="23">
        <f>+'QTR Raw'!H88</f>
        <v>186.22</v>
      </c>
      <c r="AO127" s="23">
        <f t="shared" si="1090"/>
        <v>186.22</v>
      </c>
      <c r="AP127" s="23">
        <f>+'QTR Raw'!J88</f>
        <v>163.65</v>
      </c>
      <c r="AQ127" s="23">
        <f t="shared" si="1090"/>
        <v>163.65</v>
      </c>
      <c r="AR127" s="23">
        <f>+'QTR Raw'!L88</f>
        <v>137.49</v>
      </c>
      <c r="AS127" s="23">
        <f t="shared" si="1090"/>
        <v>137.49</v>
      </c>
      <c r="AT127" s="23">
        <f>+'QTR Raw'!N88</f>
        <v>126.05</v>
      </c>
      <c r="AU127" s="23">
        <f t="shared" si="1090"/>
        <v>126.05</v>
      </c>
      <c r="AV127" s="23">
        <f>+'QTR Raw'!P88</f>
        <v>138.52000000000001</v>
      </c>
      <c r="AW127" s="23">
        <f t="shared" si="1090"/>
        <v>138.52000000000001</v>
      </c>
      <c r="AX127" s="23">
        <f>+'QTR Raw'!R88</f>
        <v>97.28</v>
      </c>
      <c r="AY127" s="23">
        <f t="shared" si="1090"/>
        <v>97.28</v>
      </c>
      <c r="AZ127" s="23">
        <f>+'QTR Raw'!T88</f>
        <v>68</v>
      </c>
      <c r="BA127" s="23">
        <f t="shared" si="1090"/>
        <v>68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3.48</v>
      </c>
      <c r="BQ127" s="23">
        <f t="shared" si="1090"/>
        <v>3.48</v>
      </c>
      <c r="BR127" s="23">
        <f>+'QTR Raw'!AL88</f>
        <v>4.03</v>
      </c>
      <c r="BS127" s="23">
        <f t="shared" si="1090"/>
        <v>4.03</v>
      </c>
      <c r="BT127" s="23">
        <f>+'QTR Raw'!AN88</f>
        <v>4.01</v>
      </c>
      <c r="BU127" s="23">
        <f t="shared" si="1090"/>
        <v>4.01</v>
      </c>
      <c r="BV127" s="23">
        <f>+'QTR Raw'!AP88</f>
        <v>3.56</v>
      </c>
      <c r="BW127" s="23">
        <f t="shared" si="1090"/>
        <v>3.56</v>
      </c>
      <c r="BX127" s="23">
        <f>+'QTR Raw'!AR88</f>
        <v>3.48</v>
      </c>
      <c r="BY127" s="23">
        <f t="shared" si="1090"/>
        <v>3.48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21</v>
      </c>
      <c r="CE127" s="23">
        <f t="shared" si="1091"/>
        <v>21</v>
      </c>
      <c r="CF127" s="23">
        <f>+'QTR Raw'!AZ88</f>
        <v>82.45</v>
      </c>
      <c r="CG127" s="23">
        <f t="shared" si="1092"/>
        <v>82.45</v>
      </c>
      <c r="CH127" s="23">
        <f t="shared" si="1068"/>
        <v>81.86</v>
      </c>
      <c r="CI127" s="23">
        <f t="shared" si="1092"/>
        <v>81.86</v>
      </c>
      <c r="CJ127" s="23">
        <f>+'QTR Raw'!BD88</f>
        <v>76.75</v>
      </c>
      <c r="CK127" s="24">
        <f t="shared" si="1093"/>
        <v>76.75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174.50470000000001</v>
      </c>
      <c r="C128" s="22">
        <f t="shared" ref="C128:V128" si="1110">SUM(C124:C127)</f>
        <v>175.12</v>
      </c>
      <c r="D128" s="22">
        <f t="shared" si="1110"/>
        <v>150.0667</v>
      </c>
      <c r="E128" s="22">
        <f t="shared" si="1110"/>
        <v>111.29859999999999</v>
      </c>
      <c r="F128" s="22">
        <f t="shared" si="1110"/>
        <v>147.20330000000001</v>
      </c>
      <c r="G128" s="22">
        <f t="shared" si="1110"/>
        <v>125.0874</v>
      </c>
      <c r="H128" s="22">
        <f t="shared" si="1110"/>
        <v>243.78470000000002</v>
      </c>
      <c r="I128" s="22">
        <f t="shared" si="1110"/>
        <v>340.7604</v>
      </c>
      <c r="J128" s="22">
        <f t="shared" si="1110"/>
        <v>370.42230000000001</v>
      </c>
      <c r="K128" s="22">
        <f t="shared" si="1110"/>
        <v>325.39889999999997</v>
      </c>
      <c r="L128" s="22">
        <f t="shared" si="1110"/>
        <v>397.54649999999998</v>
      </c>
      <c r="M128" s="22">
        <f t="shared" si="1110"/>
        <v>219.6986</v>
      </c>
      <c r="N128" s="22">
        <f t="shared" si="1110"/>
        <v>434.41769999999997</v>
      </c>
      <c r="O128" s="22">
        <f t="shared" si="1110"/>
        <v>389.47040000000004</v>
      </c>
      <c r="P128" s="22">
        <f t="shared" si="1110"/>
        <v>328.91340000000002</v>
      </c>
      <c r="Q128" s="22">
        <f t="shared" si="1110"/>
        <v>301.84289999999999</v>
      </c>
      <c r="R128" s="22">
        <f t="shared" si="1110"/>
        <v>170.72</v>
      </c>
      <c r="S128" s="22">
        <f t="shared" si="1110"/>
        <v>149.20999999999998</v>
      </c>
      <c r="T128" s="22">
        <f t="shared" si="1110"/>
        <v>96.93</v>
      </c>
      <c r="U128" s="22">
        <f t="shared" si="1110"/>
        <v>10.210000000000001</v>
      </c>
      <c r="V128" s="22">
        <f t="shared" si="1110"/>
        <v>7.78</v>
      </c>
      <c r="W128" s="22">
        <f t="shared" ref="W128" si="1111">SUM(W124:W127)</f>
        <v>4.0999999999999996</v>
      </c>
      <c r="X128" s="22">
        <f t="shared" ref="X128:Y128" si="1112">SUM(X124:X127)</f>
        <v>0</v>
      </c>
      <c r="Y128" s="22">
        <f t="shared" si="1112"/>
        <v>21</v>
      </c>
      <c r="Z128" s="22">
        <f t="shared" ref="Z128:AA128" si="1113">SUM(Z124:Z127)</f>
        <v>81.86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157.42000000000002</v>
      </c>
      <c r="AK128" s="22">
        <f t="shared" ref="AK128" si="1117">SUM(AK124:AK127)</f>
        <v>157.42000000000002</v>
      </c>
      <c r="AL128" s="22">
        <f t="shared" ref="AL128:AM128" si="1118">SUM(AL124:AL127)</f>
        <v>372.07</v>
      </c>
      <c r="AM128" s="22">
        <f t="shared" si="1118"/>
        <v>372.07</v>
      </c>
      <c r="AN128" s="22">
        <f t="shared" ref="AN128:AO128" si="1119">SUM(AN124:AN127)</f>
        <v>369.49</v>
      </c>
      <c r="AO128" s="22">
        <f t="shared" si="1119"/>
        <v>369.49</v>
      </c>
      <c r="AP128" s="22">
        <f t="shared" ref="AP128:CE128" si="1120">SUM(AP124:AP127)</f>
        <v>356.76</v>
      </c>
      <c r="AQ128" s="22">
        <f t="shared" si="1120"/>
        <v>356.76</v>
      </c>
      <c r="AR128" s="22">
        <f t="shared" si="1120"/>
        <v>312.20000000000005</v>
      </c>
      <c r="AS128" s="22">
        <f t="shared" si="1120"/>
        <v>312.20000000000005</v>
      </c>
      <c r="AT128" s="22">
        <f t="shared" si="1120"/>
        <v>283.63</v>
      </c>
      <c r="AU128" s="22">
        <f t="shared" si="1120"/>
        <v>283.63</v>
      </c>
      <c r="AV128" s="22">
        <f t="shared" si="1120"/>
        <v>299.72000000000003</v>
      </c>
      <c r="AW128" s="22">
        <f t="shared" si="1120"/>
        <v>299.72000000000003</v>
      </c>
      <c r="AX128" s="22">
        <f t="shared" si="1120"/>
        <v>254.72</v>
      </c>
      <c r="AY128" s="22">
        <f t="shared" si="1120"/>
        <v>254.72</v>
      </c>
      <c r="AZ128" s="22">
        <f t="shared" si="1120"/>
        <v>222.92</v>
      </c>
      <c r="BA128" s="22">
        <f t="shared" si="1120"/>
        <v>222.92</v>
      </c>
      <c r="BB128" s="22">
        <f t="shared" si="1120"/>
        <v>116.84</v>
      </c>
      <c r="BC128" s="22">
        <f t="shared" si="1120"/>
        <v>116.84</v>
      </c>
      <c r="BD128" s="22">
        <f t="shared" si="1120"/>
        <v>117.87</v>
      </c>
      <c r="BE128" s="22">
        <f t="shared" si="1120"/>
        <v>117.87</v>
      </c>
      <c r="BF128" s="22">
        <f t="shared" si="1120"/>
        <v>91.8</v>
      </c>
      <c r="BG128" s="22">
        <f t="shared" si="1120"/>
        <v>91.8</v>
      </c>
      <c r="BH128" s="22">
        <f t="shared" ref="BH128" si="1121">SUM(BH124:BH127)</f>
        <v>62.43</v>
      </c>
      <c r="BI128" s="22">
        <f t="shared" si="1120"/>
        <v>62.43</v>
      </c>
      <c r="BJ128" s="22">
        <f t="shared" si="1120"/>
        <v>51.48</v>
      </c>
      <c r="BK128" s="22">
        <f t="shared" si="1120"/>
        <v>51.48</v>
      </c>
      <c r="BL128" s="22">
        <f t="shared" si="1120"/>
        <v>32.75</v>
      </c>
      <c r="BM128" s="22">
        <f t="shared" si="1120"/>
        <v>32.75</v>
      </c>
      <c r="BN128" s="22">
        <f t="shared" si="1120"/>
        <v>6.63</v>
      </c>
      <c r="BO128" s="22">
        <f t="shared" si="1120"/>
        <v>6.63</v>
      </c>
      <c r="BP128" s="22">
        <f t="shared" si="1120"/>
        <v>9.76</v>
      </c>
      <c r="BQ128" s="22">
        <f t="shared" si="1120"/>
        <v>9.76</v>
      </c>
      <c r="BR128" s="22">
        <f t="shared" si="1120"/>
        <v>7.5200000000000005</v>
      </c>
      <c r="BS128" s="22">
        <f t="shared" si="1120"/>
        <v>7.5200000000000005</v>
      </c>
      <c r="BT128" s="22">
        <f t="shared" si="1120"/>
        <v>7.05</v>
      </c>
      <c r="BU128" s="22">
        <f t="shared" si="1120"/>
        <v>7.05</v>
      </c>
      <c r="BV128" s="22">
        <f t="shared" si="1120"/>
        <v>4.0999999999999996</v>
      </c>
      <c r="BW128" s="22">
        <f t="shared" si="1120"/>
        <v>4.0999999999999996</v>
      </c>
      <c r="BX128" s="22">
        <f t="shared" si="1120"/>
        <v>3.48</v>
      </c>
      <c r="BY128" s="22">
        <f t="shared" si="1120"/>
        <v>3.48</v>
      </c>
      <c r="BZ128" s="22">
        <f t="shared" si="1120"/>
        <v>0</v>
      </c>
      <c r="CA128" s="22">
        <f t="shared" si="1120"/>
        <v>0</v>
      </c>
      <c r="CB128" s="22">
        <f t="shared" si="1120"/>
        <v>0</v>
      </c>
      <c r="CC128" s="22">
        <f t="shared" si="1120"/>
        <v>0</v>
      </c>
      <c r="CD128" s="22">
        <f t="shared" si="1120"/>
        <v>21</v>
      </c>
      <c r="CE128" s="22">
        <f t="shared" si="1120"/>
        <v>21</v>
      </c>
      <c r="CF128" s="22">
        <f t="shared" ref="CF128:CG128" si="1122">SUM(CF124:CF127)</f>
        <v>82.45</v>
      </c>
      <c r="CG128" s="22">
        <f t="shared" si="1122"/>
        <v>82.45</v>
      </c>
      <c r="CH128" s="22">
        <f t="shared" ref="CH128:CI128" si="1123">SUM(CH124:CH127)</f>
        <v>81.86</v>
      </c>
      <c r="CI128" s="22">
        <f t="shared" si="1123"/>
        <v>81.86</v>
      </c>
      <c r="CJ128" s="22">
        <f t="shared" ref="CJ128:DB128" si="1124">SUM(CJ124:CJ127)</f>
        <v>76.75</v>
      </c>
      <c r="CK128" s="21">
        <f t="shared" si="1124"/>
        <v>76.75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248.60890000000001</v>
      </c>
      <c r="C129" s="26">
        <f t="shared" ref="C129:V129" si="1126">C128+C120+C122</f>
        <v>228.45080000000002</v>
      </c>
      <c r="D129" s="26">
        <f>D128+D120+D122</f>
        <v>217.99639999999999</v>
      </c>
      <c r="E129" s="26">
        <f t="shared" si="1126"/>
        <v>196.60559999999998</v>
      </c>
      <c r="F129" s="26">
        <f t="shared" si="1126"/>
        <v>236.78570000000002</v>
      </c>
      <c r="G129" s="26">
        <f t="shared" si="1126"/>
        <v>229.3758</v>
      </c>
      <c r="H129" s="26">
        <f t="shared" si="1126"/>
        <v>384.86810000000003</v>
      </c>
      <c r="I129" s="26">
        <f t="shared" si="1126"/>
        <v>522.86930000000007</v>
      </c>
      <c r="J129" s="26">
        <f t="shared" si="1126"/>
        <v>562.95180000000005</v>
      </c>
      <c r="K129" s="26">
        <f t="shared" si="1126"/>
        <v>549.98689999999999</v>
      </c>
      <c r="L129" s="26">
        <f t="shared" si="1126"/>
        <v>680.59929999999997</v>
      </c>
      <c r="M129" s="26">
        <f t="shared" si="1126"/>
        <v>530.30930000000001</v>
      </c>
      <c r="N129" s="26">
        <f t="shared" si="1126"/>
        <v>797.67239999999993</v>
      </c>
      <c r="O129" s="26">
        <f t="shared" si="1126"/>
        <v>773.59930000000008</v>
      </c>
      <c r="P129" s="26">
        <f t="shared" si="1126"/>
        <v>742.82550000000003</v>
      </c>
      <c r="Q129" s="26">
        <f t="shared" si="1126"/>
        <v>744.20920000000001</v>
      </c>
      <c r="R129" s="26">
        <f t="shared" si="1126"/>
        <v>775.67000000000007</v>
      </c>
      <c r="S129" s="26">
        <f t="shared" si="1126"/>
        <v>874.68000000000006</v>
      </c>
      <c r="T129" s="26">
        <f t="shared" si="1126"/>
        <v>990.13000000000011</v>
      </c>
      <c r="U129" s="26">
        <f t="shared" si="1126"/>
        <v>1029.46</v>
      </c>
      <c r="V129" s="26">
        <f t="shared" si="1126"/>
        <v>1150.51</v>
      </c>
      <c r="W129" s="26">
        <f t="shared" ref="W129" si="1127">W128+W120+W122</f>
        <v>1259.3599999999999</v>
      </c>
      <c r="X129" s="26">
        <f t="shared" ref="X129:Y129" si="1128">X128+X120+X122</f>
        <v>1635.36</v>
      </c>
      <c r="Y129" s="26">
        <f t="shared" si="1128"/>
        <v>1932.31</v>
      </c>
      <c r="Z129" s="26">
        <f t="shared" ref="Z129:AA129" si="1129">Z128+Z120+Z122</f>
        <v>2070.2599999999998</v>
      </c>
      <c r="AA129" s="26">
        <f t="shared" si="1129"/>
        <v>2041.97</v>
      </c>
      <c r="AB129" s="27">
        <f t="shared" ref="AA129:AD129" si="1130">AB128+AB120+AB122</f>
        <v>2148.3645774985025</v>
      </c>
      <c r="AC129" s="27">
        <f t="shared" si="1130"/>
        <v>2267.2040554059226</v>
      </c>
      <c r="AD129" s="27">
        <f t="shared" si="1130"/>
        <v>2399.7895039211703</v>
      </c>
      <c r="AE129" s="27">
        <f t="shared" ref="AE129" si="1131">AE128+AE120+AE122</f>
        <v>2547.0603773255139</v>
      </c>
      <c r="AJ129" s="26">
        <f t="shared" ref="AJ129" si="1132">AJ128+AJ120+AJ122</f>
        <v>489.89000000000004</v>
      </c>
      <c r="AK129" s="26">
        <f t="shared" ref="AK129" si="1133">AK128+AK120+AK122</f>
        <v>491.91</v>
      </c>
      <c r="AL129" s="26">
        <f t="shared" ref="AL129" si="1134">AL128+AL120+AL122</f>
        <v>735.31999999999994</v>
      </c>
      <c r="AM129" s="26">
        <f t="shared" ref="AM129:AO129" si="1135">AM128+AM120+AM122</f>
        <v>742.11</v>
      </c>
      <c r="AN129" s="26">
        <f t="shared" si="1135"/>
        <v>745.2</v>
      </c>
      <c r="AO129" s="26">
        <f t="shared" si="1135"/>
        <v>747.30000000000007</v>
      </c>
      <c r="AP129" s="26">
        <f t="shared" ref="AP129:CE129" si="1136">AP128+AP120+AP122</f>
        <v>740.89</v>
      </c>
      <c r="AQ129" s="26">
        <f t="shared" si="1136"/>
        <v>745.92000000000007</v>
      </c>
      <c r="AR129" s="26">
        <f t="shared" si="1136"/>
        <v>708.23</v>
      </c>
      <c r="AS129" s="26">
        <f t="shared" si="1136"/>
        <v>710.88000000000011</v>
      </c>
      <c r="AT129" s="26">
        <f t="shared" si="1136"/>
        <v>697.54</v>
      </c>
      <c r="AU129" s="26">
        <f t="shared" si="1136"/>
        <v>702.93000000000006</v>
      </c>
      <c r="AV129" s="26">
        <f t="shared" si="1136"/>
        <v>705.29</v>
      </c>
      <c r="AW129" s="26">
        <f t="shared" si="1136"/>
        <v>709.42000000000007</v>
      </c>
      <c r="AX129" s="26">
        <f t="shared" si="1136"/>
        <v>697.08</v>
      </c>
      <c r="AY129" s="26">
        <f t="shared" si="1136"/>
        <v>721.2</v>
      </c>
      <c r="AZ129" s="26">
        <f t="shared" si="1136"/>
        <v>698.71</v>
      </c>
      <c r="BA129" s="26">
        <f t="shared" si="1136"/>
        <v>733.2</v>
      </c>
      <c r="BB129" s="26">
        <f t="shared" si="1136"/>
        <v>721.79000000000008</v>
      </c>
      <c r="BC129" s="26">
        <f t="shared" si="1136"/>
        <v>743.54000000000008</v>
      </c>
      <c r="BD129" s="26">
        <f t="shared" si="1136"/>
        <v>741.69</v>
      </c>
      <c r="BE129" s="26">
        <f t="shared" si="1136"/>
        <v>772.61000000000013</v>
      </c>
      <c r="BF129" s="26">
        <f t="shared" si="1136"/>
        <v>817.27</v>
      </c>
      <c r="BG129" s="26">
        <f t="shared" si="1136"/>
        <v>843.7299999999999</v>
      </c>
      <c r="BH129" s="26">
        <f t="shared" ref="BH129" si="1137">BH128+BH120+BH122</f>
        <v>838.9</v>
      </c>
      <c r="BI129" s="26">
        <f t="shared" si="1136"/>
        <v>889.13</v>
      </c>
      <c r="BJ129" s="26">
        <f t="shared" si="1136"/>
        <v>944.68000000000006</v>
      </c>
      <c r="BK129" s="26">
        <f t="shared" si="1136"/>
        <v>983.69</v>
      </c>
      <c r="BL129" s="26">
        <f t="shared" si="1136"/>
        <v>982.45</v>
      </c>
      <c r="BM129" s="26">
        <f t="shared" si="1136"/>
        <v>1028.31</v>
      </c>
      <c r="BN129" s="26">
        <f t="shared" si="1136"/>
        <v>1025.8800000000001</v>
      </c>
      <c r="BO129" s="26">
        <f t="shared" si="1136"/>
        <v>1045.18</v>
      </c>
      <c r="BP129" s="26">
        <f t="shared" si="1136"/>
        <v>1051.69</v>
      </c>
      <c r="BQ129" s="26">
        <f t="shared" si="1136"/>
        <v>1056.3400000000001</v>
      </c>
      <c r="BR129" s="26">
        <f t="shared" si="1136"/>
        <v>1150.25</v>
      </c>
      <c r="BS129" s="26">
        <f t="shared" si="1136"/>
        <v>1170.1099999999999</v>
      </c>
      <c r="BT129" s="26">
        <f t="shared" si="1136"/>
        <v>1218.03</v>
      </c>
      <c r="BU129" s="26">
        <f t="shared" si="1136"/>
        <v>1224.07</v>
      </c>
      <c r="BV129" s="26">
        <f t="shared" si="1136"/>
        <v>1259.3599999999999</v>
      </c>
      <c r="BW129" s="26">
        <f t="shared" si="1136"/>
        <v>1319.6599999999999</v>
      </c>
      <c r="BX129" s="26">
        <f t="shared" si="1136"/>
        <v>1408.17</v>
      </c>
      <c r="BY129" s="26">
        <f t="shared" si="1136"/>
        <v>1519.74</v>
      </c>
      <c r="BZ129" s="26">
        <f t="shared" si="1136"/>
        <v>1635.36</v>
      </c>
      <c r="CA129" s="26">
        <f t="shared" si="1136"/>
        <v>1707.11</v>
      </c>
      <c r="CB129" s="26">
        <f t="shared" si="1136"/>
        <v>1771.18</v>
      </c>
      <c r="CC129" s="26">
        <f t="shared" si="1136"/>
        <v>1840.16</v>
      </c>
      <c r="CD129" s="26">
        <f t="shared" si="1136"/>
        <v>1932.31</v>
      </c>
      <c r="CE129" s="26">
        <f t="shared" si="1136"/>
        <v>1969.31</v>
      </c>
      <c r="CF129" s="26">
        <f t="shared" ref="CF129:CG129" si="1138">CF128+CF120+CF122</f>
        <v>2047.23</v>
      </c>
      <c r="CG129" s="26">
        <f t="shared" si="1138"/>
        <v>2063.8599999999997</v>
      </c>
      <c r="CH129" s="26">
        <f t="shared" ref="CH129:CI129" si="1139">CH128+CH120+CH122</f>
        <v>2070.2599999999998</v>
      </c>
      <c r="CI129" s="26">
        <f t="shared" si="1139"/>
        <v>2085.69</v>
      </c>
      <c r="CJ129" s="26">
        <f t="shared" ref="CJ129:DB129" si="1140">CJ128+CJ120+CJ122</f>
        <v>2092.83</v>
      </c>
      <c r="CK129" s="27">
        <f t="shared" si="1140"/>
        <v>2111.4699999999998</v>
      </c>
      <c r="CL129" s="26">
        <f t="shared" ref="CL129" si="1141">CL128+CL120+CL122</f>
        <v>2041.97</v>
      </c>
      <c r="CM129" s="27">
        <f t="shared" si="1140"/>
        <v>2061.2388165862062</v>
      </c>
      <c r="CN129" s="27">
        <f t="shared" si="1140"/>
        <v>2085.9269179878584</v>
      </c>
      <c r="CO129" s="27">
        <f t="shared" si="1140"/>
        <v>2113.3213085596872</v>
      </c>
      <c r="CP129" s="27">
        <f t="shared" si="1140"/>
        <v>2148.3645774985025</v>
      </c>
      <c r="CQ129" s="27">
        <f t="shared" si="1140"/>
        <v>2169.7741653384692</v>
      </c>
      <c r="CR129" s="27">
        <f t="shared" si="1140"/>
        <v>2196.9856629853675</v>
      </c>
      <c r="CS129" s="27">
        <f t="shared" si="1140"/>
        <v>2227.7762115875726</v>
      </c>
      <c r="CT129" s="27">
        <f t="shared" si="1140"/>
        <v>2267.2040554059226</v>
      </c>
      <c r="CU129" s="27">
        <f t="shared" si="1140"/>
        <v>2291.7027018158142</v>
      </c>
      <c r="CV129" s="27">
        <f t="shared" si="1140"/>
        <v>2322.2656411242083</v>
      </c>
      <c r="CW129" s="27">
        <f t="shared" si="1140"/>
        <v>2356.6411922883685</v>
      </c>
      <c r="CX129" s="27">
        <f t="shared" si="1140"/>
        <v>2399.7895039211703</v>
      </c>
      <c r="CY129" s="27">
        <f t="shared" si="1140"/>
        <v>2427.7921563408891</v>
      </c>
      <c r="CZ129" s="27">
        <f t="shared" si="1140"/>
        <v>2461.9919514431822</v>
      </c>
      <c r="DA129" s="27">
        <f t="shared" si="1140"/>
        <v>2500.0972026024619</v>
      </c>
      <c r="DB129" s="27">
        <f t="shared" si="1140"/>
        <v>2547.0603773255139</v>
      </c>
      <c r="DE129" s="121"/>
      <c r="DF129" s="26">
        <v>2041.97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297.9058</v>
      </c>
      <c r="C131" s="23">
        <f>'Annual Raw'!D62</f>
        <v>304.74059999999997</v>
      </c>
      <c r="D131" s="23">
        <f>'Annual Raw'!E62</f>
        <v>303.88659999999999</v>
      </c>
      <c r="E131" s="23">
        <f>'Annual Raw'!F62-E135</f>
        <v>308.66160000000002</v>
      </c>
      <c r="F131" s="23">
        <f>'Annual Raw'!G62-F135</f>
        <v>367.44760000000002</v>
      </c>
      <c r="G131" s="23">
        <f>'Annual Raw'!H62-G135</f>
        <v>373.18990000000002</v>
      </c>
      <c r="H131" s="23">
        <f>'Annual Raw'!I62-H135</f>
        <v>409.53730000000002</v>
      </c>
      <c r="I131" s="23">
        <f>'Annual Raw'!J62-I135</f>
        <v>445.47089999999997</v>
      </c>
      <c r="J131" s="23">
        <f>'Annual Raw'!K62-J135</f>
        <v>742.33810000000005</v>
      </c>
      <c r="K131" s="23">
        <f>'Annual Raw'!L62-K135</f>
        <v>746.38120000000004</v>
      </c>
      <c r="L131" s="23">
        <f>'Annual Raw'!M62-L135</f>
        <v>756.27509999999995</v>
      </c>
      <c r="M131" s="23">
        <f>'Annual Raw'!N62-M135</f>
        <v>765.27070000000003</v>
      </c>
      <c r="N131" s="23">
        <f>'Annual Raw'!O62-N135</f>
        <v>1078.5614</v>
      </c>
      <c r="O131" s="23">
        <f>'Annual Raw'!P62-O135</f>
        <v>1061.6461999999999</v>
      </c>
      <c r="P131" s="23">
        <f>'Annual Raw'!Q62-P135</f>
        <v>1078.3027</v>
      </c>
      <c r="Q131" s="23">
        <f>'Annual Raw'!R62-Q135</f>
        <v>1040.9904000000001</v>
      </c>
      <c r="R131" s="23">
        <f>'Annual Raw'!S62-R135</f>
        <v>667.82</v>
      </c>
      <c r="S131" s="23">
        <f>'Annual Raw'!T62-S135</f>
        <v>735.13</v>
      </c>
      <c r="T131" s="23">
        <f>'Annual Raw'!U62-T135</f>
        <v>767.58</v>
      </c>
      <c r="U131" s="23">
        <f>'Annual Raw'!V62-U135</f>
        <v>806.08</v>
      </c>
      <c r="V131" s="23">
        <f>'Annual Raw'!W62-V135</f>
        <v>903.28</v>
      </c>
      <c r="W131" s="23">
        <f>'Annual Raw'!X62-W135</f>
        <v>1024.3500000000001</v>
      </c>
      <c r="X131" s="23">
        <f>'Annual Raw'!Y62-X135</f>
        <v>1049.4000000000001</v>
      </c>
      <c r="Y131" s="23">
        <f>'Annual Raw'!Z62-Y135</f>
        <v>1073.42</v>
      </c>
      <c r="Z131" s="23">
        <f>'Annual Raw'!AA62-Z135</f>
        <v>1097.81</v>
      </c>
      <c r="AA131" s="23">
        <f>'Annual Raw'!AB62-AA135</f>
        <v>1131</v>
      </c>
      <c r="AB131" s="24">
        <f t="shared" ref="AB131:AB137" si="1142">+CP131</f>
        <v>1131.3599999999999</v>
      </c>
      <c r="AC131" s="24">
        <f t="shared" ref="AC131:AC137" si="1143">+CT131</f>
        <v>1131.3599999999999</v>
      </c>
      <c r="AD131" s="24">
        <f t="shared" ref="AD131:AD137" si="1144">+CX131</f>
        <v>1131.3599999999999</v>
      </c>
      <c r="AE131" s="24">
        <f t="shared" ref="AE131:AE137" si="1145">+DB131</f>
        <v>1131.3599999999999</v>
      </c>
      <c r="AJ131" s="23">
        <f>+'QTR Raw'!D68</f>
        <v>444.21</v>
      </c>
      <c r="AL131" s="23">
        <f>+'QTR Raw'!F68</f>
        <v>716.28</v>
      </c>
      <c r="AN131" s="23">
        <f>+'QTR Raw'!H68</f>
        <v>696</v>
      </c>
      <c r="AP131" s="23">
        <f>+'QTR Raw'!J68</f>
        <v>675.24</v>
      </c>
      <c r="AR131" s="23">
        <f>+'QTR Raw'!L68</f>
        <v>664.15</v>
      </c>
      <c r="AT131" s="23">
        <f>+'QTR Raw'!N68</f>
        <v>663.08</v>
      </c>
      <c r="AV131" s="23">
        <f>+'QTR Raw'!P68</f>
        <v>668.54</v>
      </c>
      <c r="AX131" s="23">
        <f>+'QTR Raw'!R68</f>
        <v>676.71</v>
      </c>
      <c r="AZ131" s="23">
        <f>+'QTR Raw'!T68</f>
        <v>678.06</v>
      </c>
      <c r="BB131" s="23">
        <f>+'QTR Raw'!V68</f>
        <v>637.20000000000005</v>
      </c>
      <c r="BD131" s="23">
        <f>+'QTR Raw'!X68</f>
        <v>648.25</v>
      </c>
      <c r="BF131" s="23">
        <f>+'QTR Raw'!Z68</f>
        <v>672.65</v>
      </c>
      <c r="BH131" s="23">
        <f>+'QTR Raw'!AB68</f>
        <v>675.93</v>
      </c>
      <c r="BJ131" s="23">
        <f>+'QTR Raw'!AD68</f>
        <v>671.86</v>
      </c>
      <c r="BL131" s="23">
        <f>+'QTR Raw'!AF68</f>
        <v>671.85</v>
      </c>
      <c r="BN131" s="23">
        <f>+'QTR Raw'!AH68</f>
        <v>674.59</v>
      </c>
      <c r="BP131" s="23">
        <f>+'QTR Raw'!AJ68</f>
        <v>680.43</v>
      </c>
      <c r="BR131" s="23">
        <f>+'QTR Raw'!AL68</f>
        <v>734.36</v>
      </c>
      <c r="BT131" s="23">
        <f>+'QTR Raw'!AN68</f>
        <v>724.59</v>
      </c>
      <c r="BV131" s="23">
        <f>+'QTR Raw'!AP68</f>
        <v>815.05</v>
      </c>
      <c r="BX131" s="23">
        <f>+'QTR Raw'!AR68</f>
        <v>800.47</v>
      </c>
      <c r="BZ131" s="23">
        <f>+'QTR Raw'!AT68</f>
        <v>795.63</v>
      </c>
      <c r="CB131" s="23">
        <f>+'QTR Raw'!AV68</f>
        <v>783.94</v>
      </c>
      <c r="CD131" s="23">
        <f>+'QTR Raw'!AX68</f>
        <v>775.99</v>
      </c>
      <c r="CF131" s="23">
        <f>+'QTR Raw'!AZ68</f>
        <v>763.01</v>
      </c>
      <c r="CH131" s="23">
        <f t="shared" ref="CH131:CH137" si="1146">Z131</f>
        <v>1097.81</v>
      </c>
      <c r="CI131" s="23">
        <f>CH131</f>
        <v>1097.81</v>
      </c>
      <c r="CJ131" s="23">
        <f>+CJ132+CJ134</f>
        <v>1123.9099999999999</v>
      </c>
      <c r="CK131" s="24">
        <f>+CJ131</f>
        <v>1123.9099999999999</v>
      </c>
      <c r="CL131" s="23">
        <f>+CL132+CL134</f>
        <v>1131.3599999999999</v>
      </c>
      <c r="CM131" s="24">
        <f t="shared" ref="CM131:DB131" si="1147">+CL131</f>
        <v>1131.3599999999999</v>
      </c>
      <c r="CN131" s="24">
        <f t="shared" si="1147"/>
        <v>1131.3599999999999</v>
      </c>
      <c r="CO131" s="24">
        <f t="shared" si="1147"/>
        <v>1131.3599999999999</v>
      </c>
      <c r="CP131" s="24">
        <f t="shared" si="1147"/>
        <v>1131.3599999999999</v>
      </c>
      <c r="CQ131" s="24">
        <f t="shared" si="1147"/>
        <v>1131.3599999999999</v>
      </c>
      <c r="CR131" s="24">
        <f t="shared" si="1147"/>
        <v>1131.3599999999999</v>
      </c>
      <c r="CS131" s="24">
        <f t="shared" si="1147"/>
        <v>1131.3599999999999</v>
      </c>
      <c r="CT131" s="24">
        <f t="shared" si="1147"/>
        <v>1131.3599999999999</v>
      </c>
      <c r="CU131" s="24">
        <f t="shared" si="1147"/>
        <v>1131.3599999999999</v>
      </c>
      <c r="CV131" s="24">
        <f t="shared" si="1147"/>
        <v>1131.3599999999999</v>
      </c>
      <c r="CW131" s="24">
        <f t="shared" si="1147"/>
        <v>1131.3599999999999</v>
      </c>
      <c r="CX131" s="24">
        <f t="shared" si="1147"/>
        <v>1131.3599999999999</v>
      </c>
      <c r="CY131" s="24">
        <f t="shared" si="1147"/>
        <v>1131.3599999999999</v>
      </c>
      <c r="CZ131" s="24">
        <f t="shared" si="1147"/>
        <v>1131.3599999999999</v>
      </c>
      <c r="DA131" s="24">
        <f t="shared" si="1147"/>
        <v>1131.3599999999999</v>
      </c>
      <c r="DB131" s="24">
        <f t="shared" si="1147"/>
        <v>1131.3599999999999</v>
      </c>
      <c r="DE131" s="123"/>
      <c r="DF131" s="23">
        <v>1131.3599999999999</v>
      </c>
    </row>
    <row r="132" spans="1:110" s="23" customFormat="1" outlineLevel="1" x14ac:dyDescent="0.2">
      <c r="A132" s="23" t="s">
        <v>51</v>
      </c>
      <c r="B132" s="23">
        <f>'Annual Raw'!C63</f>
        <v>107.1799</v>
      </c>
      <c r="C132" s="23">
        <f>'Annual Raw'!D63</f>
        <v>117.62990000000001</v>
      </c>
      <c r="D132" s="23">
        <f>'Annual Raw'!E63</f>
        <v>124.9</v>
      </c>
      <c r="E132" s="23">
        <f>'Annual Raw'!F63</f>
        <v>135.82509999999999</v>
      </c>
      <c r="F132" s="23">
        <f>'Annual Raw'!G63</f>
        <v>146.33850000000001</v>
      </c>
      <c r="G132" s="23">
        <f>'Annual Raw'!H63</f>
        <v>157.9085</v>
      </c>
      <c r="H132" s="23">
        <f>'Annual Raw'!I63</f>
        <v>172.32859999999999</v>
      </c>
      <c r="I132" s="23">
        <f>'Annual Raw'!J63</f>
        <v>189.61410000000001</v>
      </c>
      <c r="J132" s="23">
        <f>'Annual Raw'!K63</f>
        <v>215.7133</v>
      </c>
      <c r="K132" s="23">
        <f>'Annual Raw'!L63</f>
        <v>248.32660000000001</v>
      </c>
      <c r="L132" s="23">
        <f>'Annual Raw'!M63</f>
        <v>281.53230000000002</v>
      </c>
      <c r="M132" s="23">
        <f>'Annual Raw'!N63</f>
        <v>315.24090000000001</v>
      </c>
      <c r="N132" s="23">
        <f>'Annual Raw'!O63</f>
        <v>364.72930000000002</v>
      </c>
      <c r="O132" s="23">
        <f>'Annual Raw'!P63</f>
        <v>395.50369999999998</v>
      </c>
      <c r="P132" s="23">
        <f>'Annual Raw'!Q63</f>
        <v>428.6182</v>
      </c>
      <c r="Q132" s="23">
        <f>'Annual Raw'!R63</f>
        <v>414.72070000000002</v>
      </c>
      <c r="R132" s="23">
        <f>'Annual Raw'!S63</f>
        <v>30.62</v>
      </c>
      <c r="S132" s="23">
        <f>'Annual Raw'!T63</f>
        <v>62.48</v>
      </c>
      <c r="T132" s="23">
        <f>'Annual Raw'!U63</f>
        <v>95.72</v>
      </c>
      <c r="U132" s="23">
        <f>'Annual Raw'!V63</f>
        <v>131.49</v>
      </c>
      <c r="V132" s="23">
        <f>'Annual Raw'!W63</f>
        <v>168.92</v>
      </c>
      <c r="W132" s="23">
        <f>'Annual Raw'!X63</f>
        <v>209.3</v>
      </c>
      <c r="X132" s="23">
        <f>'Annual Raw'!Y63</f>
        <v>253.77</v>
      </c>
      <c r="Y132" s="23">
        <f>'Annual Raw'!Z63</f>
        <v>297.43</v>
      </c>
      <c r="Z132" s="23">
        <f>'Annual Raw'!AA63</f>
        <v>341.44</v>
      </c>
      <c r="AA132" s="23">
        <f>'Annual Raw'!AB63</f>
        <v>386.09</v>
      </c>
      <c r="AB132" s="24">
        <f t="shared" si="1142"/>
        <v>429.54792366117562</v>
      </c>
      <c r="AC132" s="24">
        <f t="shared" si="1143"/>
        <v>470.15235008925657</v>
      </c>
      <c r="AD132" s="24">
        <f t="shared" si="1144"/>
        <v>508.40754443493393</v>
      </c>
      <c r="AE132" s="24">
        <f t="shared" si="1145"/>
        <v>544.4494251648008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341.44</v>
      </c>
      <c r="CI132" s="23">
        <f t="shared" ref="CI132:DB132" si="1148">CH132+CI32</f>
        <v>352.98</v>
      </c>
      <c r="CJ132" s="23">
        <f t="shared" si="1148"/>
        <v>364.12</v>
      </c>
      <c r="CK132" s="24">
        <f t="shared" si="1148"/>
        <v>375.38</v>
      </c>
      <c r="CL132" s="23">
        <f t="shared" si="1148"/>
        <v>386.45</v>
      </c>
      <c r="CM132" s="24">
        <f t="shared" si="1148"/>
        <v>397.4664638691836</v>
      </c>
      <c r="CN132" s="24">
        <f t="shared" si="1148"/>
        <v>408.32000540388248</v>
      </c>
      <c r="CO132" s="24">
        <f t="shared" si="1148"/>
        <v>419.01303406028774</v>
      </c>
      <c r="CP132" s="24">
        <f t="shared" si="1148"/>
        <v>429.54792366117562</v>
      </c>
      <c r="CQ132" s="24">
        <f t="shared" si="1148"/>
        <v>439.92701292288962</v>
      </c>
      <c r="CR132" s="24">
        <f t="shared" si="1148"/>
        <v>450.15260597452897</v>
      </c>
      <c r="CS132" s="24">
        <f t="shared" si="1148"/>
        <v>460.22697286945896</v>
      </c>
      <c r="CT132" s="24">
        <f t="shared" si="1148"/>
        <v>470.15235008925657</v>
      </c>
      <c r="CU132" s="24">
        <f t="shared" si="1148"/>
        <v>479.93094104020298</v>
      </c>
      <c r="CV132" s="24">
        <f t="shared" si="1148"/>
        <v>489.56491654243393</v>
      </c>
      <c r="CW132" s="24">
        <f t="shared" si="1148"/>
        <v>499.05641531185569</v>
      </c>
      <c r="CX132" s="24">
        <f t="shared" si="1148"/>
        <v>508.40754443493393</v>
      </c>
      <c r="CY132" s="24">
        <f t="shared" si="1148"/>
        <v>517.62037983646132</v>
      </c>
      <c r="CZ132" s="24">
        <f t="shared" si="1148"/>
        <v>526.69696674040688</v>
      </c>
      <c r="DA132" s="24">
        <f t="shared" si="1148"/>
        <v>535.63932012395026</v>
      </c>
      <c r="DB132" s="24">
        <f t="shared" si="1148"/>
        <v>544.4494251648008</v>
      </c>
      <c r="DE132" s="123"/>
      <c r="DF132" s="23">
        <v>386.45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190.7259</v>
      </c>
      <c r="C134" s="22">
        <f t="shared" ref="C134:W134" si="1150">+C131-C132-C133</f>
        <v>187.11069999999995</v>
      </c>
      <c r="D134" s="22">
        <f t="shared" si="1150"/>
        <v>178.98659999999998</v>
      </c>
      <c r="E134" s="22">
        <f t="shared" si="1150"/>
        <v>172.83650000000003</v>
      </c>
      <c r="F134" s="22">
        <f t="shared" si="1150"/>
        <v>221.10910000000001</v>
      </c>
      <c r="G134" s="22">
        <f t="shared" si="1150"/>
        <v>215.28140000000002</v>
      </c>
      <c r="H134" s="22">
        <f t="shared" si="1150"/>
        <v>237.20870000000002</v>
      </c>
      <c r="I134" s="22">
        <f t="shared" si="1150"/>
        <v>255.85679999999996</v>
      </c>
      <c r="J134" s="22">
        <f t="shared" si="1150"/>
        <v>526.62480000000005</v>
      </c>
      <c r="K134" s="22">
        <f t="shared" si="1150"/>
        <v>498.05460000000005</v>
      </c>
      <c r="L134" s="22">
        <f t="shared" si="1150"/>
        <v>474.74279999999993</v>
      </c>
      <c r="M134" s="22">
        <f t="shared" si="1150"/>
        <v>450.02980000000002</v>
      </c>
      <c r="N134" s="22">
        <f t="shared" si="1150"/>
        <v>713.83210000000008</v>
      </c>
      <c r="O134" s="22">
        <f t="shared" si="1150"/>
        <v>666.14249999999993</v>
      </c>
      <c r="P134" s="22">
        <f t="shared" si="1150"/>
        <v>649.68449999999996</v>
      </c>
      <c r="Q134" s="22">
        <f t="shared" si="1150"/>
        <v>626.26970000000006</v>
      </c>
      <c r="R134" s="22">
        <f t="shared" si="1150"/>
        <v>637.20000000000005</v>
      </c>
      <c r="S134" s="22">
        <f t="shared" si="1150"/>
        <v>672.65</v>
      </c>
      <c r="T134" s="22">
        <f t="shared" si="1150"/>
        <v>671.86</v>
      </c>
      <c r="U134" s="22">
        <f t="shared" si="1150"/>
        <v>674.59</v>
      </c>
      <c r="V134" s="22">
        <f t="shared" si="1150"/>
        <v>734.36</v>
      </c>
      <c r="W134" s="22">
        <f t="shared" si="1150"/>
        <v>815.05000000000018</v>
      </c>
      <c r="X134" s="22">
        <f t="shared" ref="X134:Y134" si="1151">+X131-X132-X133</f>
        <v>795.63000000000011</v>
      </c>
      <c r="Y134" s="22">
        <f t="shared" si="1151"/>
        <v>775.99</v>
      </c>
      <c r="Z134" s="22">
        <f t="shared" ref="Z134:AE134" si="1152">+Z131-Z132-Z133</f>
        <v>756.36999999999989</v>
      </c>
      <c r="AA134" s="22">
        <f t="shared" ref="AA134" si="1153">+AA131-AA132-AA133</f>
        <v>744.91000000000008</v>
      </c>
      <c r="AB134" s="21">
        <f t="shared" si="1152"/>
        <v>701.81207633882423</v>
      </c>
      <c r="AC134" s="21">
        <f t="shared" si="1152"/>
        <v>661.20764991074338</v>
      </c>
      <c r="AD134" s="21">
        <f t="shared" si="1152"/>
        <v>622.95245556506597</v>
      </c>
      <c r="AE134" s="21">
        <f t="shared" si="1152"/>
        <v>586.9105748351991</v>
      </c>
      <c r="AJ134" s="22">
        <f t="shared" ref="AJ134:AL134" si="1154">+AJ131-AJ132-AJ133</f>
        <v>444.21</v>
      </c>
      <c r="AK134" s="22">
        <f t="shared" ref="AK134:CE134" si="1155">+AJ134</f>
        <v>444.21</v>
      </c>
      <c r="AL134" s="22">
        <f t="shared" si="1154"/>
        <v>716.28</v>
      </c>
      <c r="AM134" s="22">
        <f t="shared" si="1155"/>
        <v>716.28</v>
      </c>
      <c r="AN134" s="22">
        <f t="shared" ref="AN134" si="1156">+AN131-AN132-AN133</f>
        <v>696</v>
      </c>
      <c r="AO134" s="22">
        <f t="shared" si="1155"/>
        <v>696</v>
      </c>
      <c r="AP134" s="22">
        <f t="shared" ref="AP134:CD134" si="1157">+AP131-AP132-AP133</f>
        <v>675.24</v>
      </c>
      <c r="AQ134" s="22">
        <f t="shared" si="1155"/>
        <v>675.24</v>
      </c>
      <c r="AR134" s="22">
        <f t="shared" si="1157"/>
        <v>664.15</v>
      </c>
      <c r="AS134" s="22">
        <f t="shared" si="1155"/>
        <v>664.15</v>
      </c>
      <c r="AT134" s="22">
        <f t="shared" si="1157"/>
        <v>663.08</v>
      </c>
      <c r="AU134" s="22">
        <f t="shared" si="1155"/>
        <v>663.08</v>
      </c>
      <c r="AV134" s="22">
        <f t="shared" si="1157"/>
        <v>668.54</v>
      </c>
      <c r="AW134" s="22">
        <f t="shared" si="1155"/>
        <v>668.54</v>
      </c>
      <c r="AX134" s="22">
        <f t="shared" si="1157"/>
        <v>676.71</v>
      </c>
      <c r="AY134" s="22">
        <f t="shared" si="1155"/>
        <v>676.71</v>
      </c>
      <c r="AZ134" s="22">
        <f t="shared" si="1157"/>
        <v>678.06</v>
      </c>
      <c r="BA134" s="22">
        <f t="shared" si="1155"/>
        <v>678.06</v>
      </c>
      <c r="BB134" s="22">
        <f t="shared" si="1157"/>
        <v>637.20000000000005</v>
      </c>
      <c r="BC134" s="22">
        <f t="shared" si="1155"/>
        <v>637.20000000000005</v>
      </c>
      <c r="BD134" s="22">
        <f t="shared" si="1157"/>
        <v>648.25</v>
      </c>
      <c r="BE134" s="22">
        <f t="shared" si="1155"/>
        <v>648.25</v>
      </c>
      <c r="BF134" s="22">
        <f t="shared" si="1157"/>
        <v>672.65</v>
      </c>
      <c r="BG134" s="22">
        <f t="shared" si="1155"/>
        <v>672.65</v>
      </c>
      <c r="BH134" s="22">
        <f t="shared" si="1157"/>
        <v>675.93</v>
      </c>
      <c r="BI134" s="22">
        <f t="shared" si="1155"/>
        <v>675.93</v>
      </c>
      <c r="BJ134" s="22">
        <f t="shared" si="1157"/>
        <v>671.86</v>
      </c>
      <c r="BK134" s="22">
        <f t="shared" si="1155"/>
        <v>671.86</v>
      </c>
      <c r="BL134" s="22">
        <f t="shared" si="1157"/>
        <v>671.85</v>
      </c>
      <c r="BM134" s="22">
        <f t="shared" si="1155"/>
        <v>671.85</v>
      </c>
      <c r="BN134" s="22">
        <f t="shared" si="1157"/>
        <v>674.59</v>
      </c>
      <c r="BO134" s="22">
        <f t="shared" si="1155"/>
        <v>674.59</v>
      </c>
      <c r="BP134" s="22">
        <f t="shared" si="1157"/>
        <v>680.43</v>
      </c>
      <c r="BQ134" s="22">
        <f t="shared" si="1155"/>
        <v>680.43</v>
      </c>
      <c r="BR134" s="22">
        <f t="shared" si="1157"/>
        <v>734.36</v>
      </c>
      <c r="BS134" s="22">
        <f t="shared" si="1155"/>
        <v>734.36</v>
      </c>
      <c r="BT134" s="22">
        <f t="shared" si="1157"/>
        <v>724.59</v>
      </c>
      <c r="BU134" s="22">
        <f t="shared" si="1155"/>
        <v>724.59</v>
      </c>
      <c r="BV134" s="22">
        <f t="shared" si="1157"/>
        <v>815.05</v>
      </c>
      <c r="BW134" s="22">
        <f t="shared" si="1155"/>
        <v>815.05</v>
      </c>
      <c r="BX134" s="22">
        <f t="shared" si="1157"/>
        <v>800.47</v>
      </c>
      <c r="BY134" s="22">
        <f t="shared" si="1155"/>
        <v>800.47</v>
      </c>
      <c r="BZ134" s="22">
        <f t="shared" si="1157"/>
        <v>795.63</v>
      </c>
      <c r="CA134" s="22">
        <f t="shared" si="1155"/>
        <v>795.63</v>
      </c>
      <c r="CB134" s="22">
        <f t="shared" si="1157"/>
        <v>783.94</v>
      </c>
      <c r="CC134" s="22">
        <f t="shared" si="1155"/>
        <v>783.94</v>
      </c>
      <c r="CD134" s="22">
        <f t="shared" si="1157"/>
        <v>775.99</v>
      </c>
      <c r="CE134" s="22">
        <f t="shared" si="1155"/>
        <v>775.99</v>
      </c>
      <c r="CF134" s="22">
        <f t="shared" ref="CF134:CI134" si="1158">+CF131-CF132-CF133</f>
        <v>763.01</v>
      </c>
      <c r="CG134" s="22">
        <f t="shared" ref="CG134:CI137" si="1159">+CF134</f>
        <v>763.01</v>
      </c>
      <c r="CH134" s="22">
        <f t="shared" si="1158"/>
        <v>756.36999999999989</v>
      </c>
      <c r="CI134" s="22">
        <f t="shared" si="1158"/>
        <v>744.82999999999993</v>
      </c>
      <c r="CJ134" s="23">
        <f>+'QTR Raw'!BD68</f>
        <v>759.79</v>
      </c>
      <c r="CK134" s="21">
        <f t="shared" ref="CK134:DB134" si="1160">+CK131-CK132-CK133</f>
        <v>748.52999999999986</v>
      </c>
      <c r="CL134" s="23">
        <f>+'QTR Raw'!BF68</f>
        <v>744.91</v>
      </c>
      <c r="CM134" s="21">
        <f t="shared" si="1160"/>
        <v>733.8935361308163</v>
      </c>
      <c r="CN134" s="21">
        <f t="shared" si="1160"/>
        <v>723.03999459611737</v>
      </c>
      <c r="CO134" s="21">
        <f t="shared" si="1160"/>
        <v>712.34696593971216</v>
      </c>
      <c r="CP134" s="21">
        <f t="shared" si="1160"/>
        <v>701.81207633882423</v>
      </c>
      <c r="CQ134" s="21">
        <f t="shared" si="1160"/>
        <v>691.43298707711028</v>
      </c>
      <c r="CR134" s="21">
        <f t="shared" si="1160"/>
        <v>681.20739402547088</v>
      </c>
      <c r="CS134" s="21">
        <f t="shared" si="1160"/>
        <v>671.133027130541</v>
      </c>
      <c r="CT134" s="21">
        <f t="shared" si="1160"/>
        <v>661.20764991074338</v>
      </c>
      <c r="CU134" s="21">
        <f t="shared" si="1160"/>
        <v>651.42905895979698</v>
      </c>
      <c r="CV134" s="21">
        <f t="shared" si="1160"/>
        <v>641.79508345756597</v>
      </c>
      <c r="CW134" s="21">
        <f t="shared" si="1160"/>
        <v>632.30358468814416</v>
      </c>
      <c r="CX134" s="21">
        <f t="shared" si="1160"/>
        <v>622.95245556506597</v>
      </c>
      <c r="CY134" s="21">
        <f t="shared" si="1160"/>
        <v>613.73962016353858</v>
      </c>
      <c r="CZ134" s="21">
        <f t="shared" si="1160"/>
        <v>604.66303325959302</v>
      </c>
      <c r="DA134" s="21">
        <f t="shared" si="1160"/>
        <v>595.72067987604964</v>
      </c>
      <c r="DB134" s="21">
        <f t="shared" si="1160"/>
        <v>586.9105748351991</v>
      </c>
      <c r="DE134" s="126"/>
      <c r="DF134" s="22">
        <v>744.90999999999985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11.780099999999999</v>
      </c>
      <c r="O135" s="23">
        <f>'Annual Raw'!P86</f>
        <v>0</v>
      </c>
      <c r="P135" s="23">
        <f>'Annual Raw'!Q86</f>
        <v>11.780099999999999</v>
      </c>
      <c r="Q135" s="23">
        <f>'Annual Raw'!R86</f>
        <v>11.780099999999999</v>
      </c>
      <c r="R135" s="23">
        <f>'Annual Raw'!S86</f>
        <v>11.78</v>
      </c>
      <c r="S135" s="23">
        <f>'Annual Raw'!T86</f>
        <v>11.78</v>
      </c>
      <c r="T135" s="23">
        <f>'Annual Raw'!U86</f>
        <v>11.78</v>
      </c>
      <c r="U135" s="23">
        <f>'Annual Raw'!V86</f>
        <v>11.78</v>
      </c>
      <c r="V135" s="23">
        <f>'Annual Raw'!W86</f>
        <v>11.78</v>
      </c>
      <c r="W135" s="23">
        <f>'Annual Raw'!X86</f>
        <v>11.78</v>
      </c>
      <c r="X135" s="23">
        <f>'Annual Raw'!Y86</f>
        <v>11.78</v>
      </c>
      <c r="Y135" s="23">
        <f>'Annual Raw'!Z86</f>
        <v>11.78</v>
      </c>
      <c r="Z135" s="23">
        <f>'Annual Raw'!AA86</f>
        <v>11.78</v>
      </c>
      <c r="AA135" s="23">
        <f>'Annual Raw'!AB86</f>
        <v>11.78</v>
      </c>
      <c r="AB135" s="24">
        <f t="shared" si="1142"/>
        <v>11.78</v>
      </c>
      <c r="AC135" s="24">
        <f t="shared" si="1143"/>
        <v>11.78</v>
      </c>
      <c r="AD135" s="24">
        <f t="shared" si="1144"/>
        <v>11.78</v>
      </c>
      <c r="AE135" s="24">
        <f t="shared" si="1145"/>
        <v>11.78</v>
      </c>
      <c r="AJ135" s="23">
        <f>+'QTR Raw'!D72</f>
        <v>0</v>
      </c>
      <c r="AK135" s="23">
        <f>+AJ135</f>
        <v>0</v>
      </c>
      <c r="AL135" s="23">
        <f>+'QTR Raw'!F72</f>
        <v>11.78</v>
      </c>
      <c r="AM135" s="23">
        <f t="shared" ref="AK135:CE137" si="1161">+AL135</f>
        <v>11.78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11.78</v>
      </c>
      <c r="AU135" s="23">
        <f t="shared" si="1161"/>
        <v>11.78</v>
      </c>
      <c r="AV135" s="23">
        <f>+'QTR Raw'!P72</f>
        <v>0</v>
      </c>
      <c r="AW135" s="23">
        <f t="shared" si="1161"/>
        <v>0</v>
      </c>
      <c r="AX135" s="23">
        <f>+'QTR Raw'!R72</f>
        <v>11.78</v>
      </c>
      <c r="AY135" s="23">
        <f t="shared" si="1161"/>
        <v>11.78</v>
      </c>
      <c r="AZ135" s="23">
        <f>+'QTR Raw'!T72</f>
        <v>0</v>
      </c>
      <c r="BA135" s="23">
        <f t="shared" si="1161"/>
        <v>0</v>
      </c>
      <c r="BB135" s="23">
        <f>+'QTR Raw'!V72</f>
        <v>11.78</v>
      </c>
      <c r="BC135" s="23">
        <f t="shared" si="1161"/>
        <v>11.78</v>
      </c>
      <c r="BD135" s="23">
        <f>+'QTR Raw'!X72</f>
        <v>0</v>
      </c>
      <c r="BE135" s="23">
        <f t="shared" si="1161"/>
        <v>0</v>
      </c>
      <c r="BF135" s="23">
        <f>+'QTR Raw'!Z72</f>
        <v>11.78</v>
      </c>
      <c r="BG135" s="23">
        <f t="shared" si="1161"/>
        <v>11.78</v>
      </c>
      <c r="BH135" s="23">
        <f>+'QTR Raw'!AB72</f>
        <v>11.78</v>
      </c>
      <c r="BI135" s="23">
        <f t="shared" si="1161"/>
        <v>11.78</v>
      </c>
      <c r="BJ135" s="23">
        <f>+'QTR Raw'!AD72</f>
        <v>11.78</v>
      </c>
      <c r="BK135" s="23">
        <f t="shared" si="1161"/>
        <v>11.78</v>
      </c>
      <c r="BL135" s="23">
        <f>+'QTR Raw'!AF72</f>
        <v>11.78</v>
      </c>
      <c r="BM135" s="23">
        <f t="shared" si="1161"/>
        <v>11.78</v>
      </c>
      <c r="BN135" s="23">
        <f>+'QTR Raw'!AH72</f>
        <v>11.78</v>
      </c>
      <c r="BO135" s="23">
        <f t="shared" si="1161"/>
        <v>11.78</v>
      </c>
      <c r="BP135" s="23">
        <f>+'QTR Raw'!AJ72</f>
        <v>11.78</v>
      </c>
      <c r="BQ135" s="23">
        <f t="shared" si="1161"/>
        <v>11.78</v>
      </c>
      <c r="BR135" s="23">
        <f>+'QTR Raw'!AL72</f>
        <v>11.78</v>
      </c>
      <c r="BS135" s="23">
        <f t="shared" si="1161"/>
        <v>11.78</v>
      </c>
      <c r="BT135" s="23">
        <f>+'QTR Raw'!AN72</f>
        <v>11.78</v>
      </c>
      <c r="BU135" s="23">
        <f t="shared" si="1161"/>
        <v>11.78</v>
      </c>
      <c r="BV135" s="23">
        <f>+'QTR Raw'!AP72</f>
        <v>11.78</v>
      </c>
      <c r="BW135" s="23">
        <f t="shared" si="1161"/>
        <v>11.78</v>
      </c>
      <c r="BX135" s="23">
        <f>+'QTR Raw'!AR72</f>
        <v>11.78</v>
      </c>
      <c r="BY135" s="23">
        <f t="shared" si="1161"/>
        <v>11.78</v>
      </c>
      <c r="BZ135" s="23">
        <f>+'QTR Raw'!AT72</f>
        <v>11.78</v>
      </c>
      <c r="CA135" s="23">
        <f t="shared" si="1161"/>
        <v>11.78</v>
      </c>
      <c r="CB135" s="23">
        <f>+'QTR Raw'!AV72</f>
        <v>11.78</v>
      </c>
      <c r="CC135" s="23">
        <f t="shared" si="1161"/>
        <v>11.78</v>
      </c>
      <c r="CD135" s="23">
        <f>+'QTR Raw'!AX72</f>
        <v>11.78</v>
      </c>
      <c r="CE135" s="23">
        <f t="shared" si="1161"/>
        <v>11.78</v>
      </c>
      <c r="CF135" s="23">
        <f>+'QTR Raw'!AZ72</f>
        <v>11.78</v>
      </c>
      <c r="CG135" s="23">
        <f t="shared" si="1159"/>
        <v>11.78</v>
      </c>
      <c r="CH135" s="23">
        <f t="shared" si="1146"/>
        <v>11.78</v>
      </c>
      <c r="CI135" s="23">
        <f t="shared" si="1159"/>
        <v>11.78</v>
      </c>
      <c r="CJ135" s="23">
        <f>+'QTR Raw'!BD72</f>
        <v>11.78</v>
      </c>
      <c r="CK135" s="24">
        <f t="shared" ref="CK135:CK137" si="1162">+CJ135</f>
        <v>11.78</v>
      </c>
      <c r="CL135" s="23">
        <f>+'QTR Raw'!BF72</f>
        <v>11.78</v>
      </c>
      <c r="CM135" s="24">
        <f t="shared" ref="CM135:CM137" si="1163">+CL135</f>
        <v>11.78</v>
      </c>
      <c r="CN135" s="24">
        <f t="shared" ref="CN135:CN137" si="1164">+CM135</f>
        <v>11.78</v>
      </c>
      <c r="CO135" s="24">
        <f t="shared" ref="CO135:CO137" si="1165">+CN135</f>
        <v>11.78</v>
      </c>
      <c r="CP135" s="24">
        <f t="shared" ref="CP135:CP137" si="1166">+CO135</f>
        <v>11.78</v>
      </c>
      <c r="CQ135" s="24">
        <f t="shared" ref="CQ135:CQ137" si="1167">+CP135</f>
        <v>11.78</v>
      </c>
      <c r="CR135" s="24">
        <f t="shared" ref="CR135:CR137" si="1168">+CQ135</f>
        <v>11.78</v>
      </c>
      <c r="CS135" s="24">
        <f t="shared" ref="CS135:CS137" si="1169">+CR135</f>
        <v>11.78</v>
      </c>
      <c r="CT135" s="24">
        <f t="shared" ref="CT135:CT137" si="1170">+CS135</f>
        <v>11.78</v>
      </c>
      <c r="CU135" s="24">
        <f t="shared" ref="CU135:CU137" si="1171">+CT135</f>
        <v>11.78</v>
      </c>
      <c r="CV135" s="24">
        <f t="shared" ref="CV135:CV137" si="1172">+CU135</f>
        <v>11.78</v>
      </c>
      <c r="CW135" s="24">
        <f t="shared" ref="CW135:CW137" si="1173">+CV135</f>
        <v>11.78</v>
      </c>
      <c r="CX135" s="24">
        <f t="shared" ref="CX135:CX137" si="1174">+CW135</f>
        <v>11.78</v>
      </c>
      <c r="CY135" s="24">
        <f t="shared" ref="CY135:CY137" si="1175">+CX135</f>
        <v>11.78</v>
      </c>
      <c r="CZ135" s="24">
        <f t="shared" ref="CZ135:CZ137" si="1176">+CY135</f>
        <v>11.78</v>
      </c>
      <c r="DA135" s="24">
        <f t="shared" ref="DA135:DA137" si="1177">+CZ135</f>
        <v>11.78</v>
      </c>
      <c r="DB135" s="24">
        <f t="shared" ref="DB135:DB137" si="1178">+DA135</f>
        <v>11.78</v>
      </c>
      <c r="DE135" s="123"/>
      <c r="DF135" s="23">
        <v>11.78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4.6139000000000001</v>
      </c>
      <c r="C137" s="23">
        <f>'Annual Raw'!D67+'Annual Raw'!D66+'Annual Raw'!D69+'Annual Raw'!D70</f>
        <v>1.8552</v>
      </c>
      <c r="D137" s="23">
        <f>'Annual Raw'!E67+'Annual Raw'!E66+'Annual Raw'!E69+'Annual Raw'!E70</f>
        <v>1.3756999999999999</v>
      </c>
      <c r="E137" s="23">
        <f>'Annual Raw'!F67+'Annual Raw'!F66+'Annual Raw'!F69+'Annual Raw'!F70</f>
        <v>11.4529</v>
      </c>
      <c r="F137" s="23">
        <f>'Annual Raw'!G67+'Annual Raw'!G66+'Annual Raw'!G69+'Annual Raw'!G70</f>
        <v>4.5284000000000004</v>
      </c>
      <c r="G137" s="23">
        <f>'Annual Raw'!H67+'Annual Raw'!H66+'Annual Raw'!H69+'Annual Raw'!H70</f>
        <v>9.0655999999999999</v>
      </c>
      <c r="H137" s="23">
        <f>'Annual Raw'!I67+'Annual Raw'!I66+'Annual Raw'!I69+'Annual Raw'!I70</f>
        <v>115.45010000000001</v>
      </c>
      <c r="I137" s="23">
        <f>'Annual Raw'!J67+'Annual Raw'!J66+'Annual Raw'!J69+'Annual Raw'!J70</f>
        <v>248.67429999999999</v>
      </c>
      <c r="J137" s="23">
        <f>'Annual Raw'!K67+'Annual Raw'!K66+'Annual Raw'!K69+'Annual Raw'!K70</f>
        <v>1.3299000000000001</v>
      </c>
      <c r="K137" s="23">
        <f>'Annual Raw'!L67+'Annual Raw'!L66+'Annual Raw'!L69+'Annual Raw'!L70</f>
        <v>7.7294</v>
      </c>
      <c r="L137" s="23">
        <f>'Annual Raw'!M67+'Annual Raw'!M66+'Annual Raw'!M69+'Annual Raw'!M70</f>
        <v>8.4863</v>
      </c>
      <c r="M137" s="23">
        <f>'Annual Raw'!N67+'Annual Raw'!N66+'Annual Raw'!N69+'Annual Raw'!N70</f>
        <v>5.7130000000000001</v>
      </c>
      <c r="N137" s="23">
        <f>'Annual Raw'!O67+'Annual Raw'!O66+'Annual Raw'!O69+'Annual Raw'!O70</f>
        <v>2.4479000000000002</v>
      </c>
      <c r="O137" s="23">
        <f>'Annual Raw'!P67+'Annual Raw'!P66+'Annual Raw'!P69+'Annual Raw'!P70</f>
        <v>9.0932999999999993</v>
      </c>
      <c r="P137" s="23">
        <f>'Annual Raw'!Q67+'Annual Raw'!Q66+'Annual Raw'!Q69+'Annual Raw'!Q70</f>
        <v>13.397399999999999</v>
      </c>
      <c r="Q137" s="23">
        <f>'Annual Raw'!R67+'Annual Raw'!R66+'Annual Raw'!R69+'Annual Raw'!R70</f>
        <v>50.436</v>
      </c>
      <c r="R137" s="23">
        <f>'Annual Raw'!S67+'Annual Raw'!S66+'Annual Raw'!S69+'Annual Raw'!S70</f>
        <v>41.93</v>
      </c>
      <c r="S137" s="23">
        <f>'Annual Raw'!T67+'Annual Raw'!T66+'Annual Raw'!T69+'Annual Raw'!T70</f>
        <v>27.96</v>
      </c>
      <c r="T137" s="23">
        <f>'Annual Raw'!U67+'Annual Raw'!U66+'Annual Raw'!U69+'Annual Raw'!U70</f>
        <v>24.46</v>
      </c>
      <c r="U137" s="23">
        <f>'Annual Raw'!V67+'Annual Raw'!V66+'Annual Raw'!V69+'Annual Raw'!V70</f>
        <v>32.32</v>
      </c>
      <c r="V137" s="23">
        <f>'Annual Raw'!W67+'Annual Raw'!W66+'Annual Raw'!W69+'Annual Raw'!W70</f>
        <v>33.46</v>
      </c>
      <c r="W137" s="23">
        <f>'Annual Raw'!X67+'Annual Raw'!X66+'Annual Raw'!X69+'Annual Raw'!X70</f>
        <v>15.11</v>
      </c>
      <c r="X137" s="23">
        <f>'Annual Raw'!Y67+'Annual Raw'!Y66+'Annual Raw'!Y69+'Annual Raw'!Y70</f>
        <v>21.09</v>
      </c>
      <c r="Y137" s="23">
        <f>'Annual Raw'!Z67+'Annual Raw'!Z66+'Annual Raw'!Z69+'Annual Raw'!Z70</f>
        <v>36.24</v>
      </c>
      <c r="Z137" s="23">
        <f>'Annual Raw'!AA67+'Annual Raw'!AA66+'Annual Raw'!AA69+'Annual Raw'!AA70</f>
        <v>72.23</v>
      </c>
      <c r="AA137" s="23">
        <f>'Annual Raw'!AB67+'Annual Raw'!AB66+'Annual Raw'!AB69+'Annual Raw'!AB70</f>
        <v>94.02</v>
      </c>
      <c r="AB137" s="24">
        <f t="shared" si="1142"/>
        <v>92.91</v>
      </c>
      <c r="AC137" s="24">
        <f t="shared" si="1143"/>
        <v>92.91</v>
      </c>
      <c r="AD137" s="24">
        <f t="shared" si="1144"/>
        <v>92.91</v>
      </c>
      <c r="AE137" s="24">
        <f t="shared" si="1145"/>
        <v>92.91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40.75</v>
      </c>
      <c r="BC137" s="23">
        <f t="shared" si="1161"/>
        <v>40.75</v>
      </c>
      <c r="BD137" s="23">
        <f>+'QTR Raw'!X74+'QTR Raw'!X75</f>
        <v>51.56</v>
      </c>
      <c r="BE137" s="23">
        <f t="shared" si="1161"/>
        <v>51.56</v>
      </c>
      <c r="BF137" s="23">
        <f>+'QTR Raw'!Z74+'QTR Raw'!Z75</f>
        <v>26.82</v>
      </c>
      <c r="BG137" s="23">
        <f t="shared" si="1161"/>
        <v>26.82</v>
      </c>
      <c r="BH137" s="23">
        <f>+'QTR Raw'!AB74+'QTR Raw'!AB75</f>
        <v>17.63</v>
      </c>
      <c r="BI137" s="23">
        <f t="shared" si="1161"/>
        <v>17.63</v>
      </c>
      <c r="BJ137" s="23">
        <f>+'QTR Raw'!AD74+'QTR Raw'!AD75</f>
        <v>23.36</v>
      </c>
      <c r="BK137" s="23">
        <f t="shared" si="1161"/>
        <v>23.36</v>
      </c>
      <c r="BL137" s="23">
        <f>+'QTR Raw'!AF74+'QTR Raw'!AF75</f>
        <v>33.43</v>
      </c>
      <c r="BM137" s="23">
        <f t="shared" si="1161"/>
        <v>33.43</v>
      </c>
      <c r="BN137" s="23">
        <f>+'QTR Raw'!AH74+'QTR Raw'!AH75</f>
        <v>31.03</v>
      </c>
      <c r="BO137" s="23">
        <f t="shared" si="1161"/>
        <v>31.03</v>
      </c>
      <c r="BP137" s="23">
        <f>+'QTR Raw'!AJ74+'QTR Raw'!AJ75</f>
        <v>47.1</v>
      </c>
      <c r="BQ137" s="23">
        <f t="shared" si="1161"/>
        <v>47.1</v>
      </c>
      <c r="BR137" s="23">
        <f>+'QTR Raw'!AL74+'QTR Raw'!AL75</f>
        <v>32.200000000000003</v>
      </c>
      <c r="BS137" s="23">
        <f t="shared" si="1161"/>
        <v>32.200000000000003</v>
      </c>
      <c r="BT137" s="23">
        <f>+'QTR Raw'!AN74+'QTR Raw'!AN75</f>
        <v>70.83</v>
      </c>
      <c r="BU137" s="23">
        <f t="shared" si="1161"/>
        <v>70.83</v>
      </c>
      <c r="BV137" s="23">
        <f>+'QTR Raw'!AP74+'QTR Raw'!AP75</f>
        <v>13.87</v>
      </c>
      <c r="BW137" s="23">
        <f t="shared" si="1161"/>
        <v>13.87</v>
      </c>
      <c r="BX137" s="23">
        <f>+'QTR Raw'!AR74+'QTR Raw'!AR75</f>
        <v>19.37</v>
      </c>
      <c r="BY137" s="23">
        <f t="shared" si="1161"/>
        <v>19.37</v>
      </c>
      <c r="BZ137" s="23">
        <f>+'QTR Raw'!AT74+'QTR Raw'!AT75</f>
        <v>19.87</v>
      </c>
      <c r="CA137" s="23">
        <f t="shared" si="1161"/>
        <v>19.87</v>
      </c>
      <c r="CB137" s="23">
        <f>+'QTR Raw'!AV74+'QTR Raw'!AV75</f>
        <v>18.97</v>
      </c>
      <c r="CC137" s="23">
        <f t="shared" si="1161"/>
        <v>18.97</v>
      </c>
      <c r="CD137" s="23">
        <f>+'QTR Raw'!AX74+'QTR Raw'!AX75</f>
        <v>35.06</v>
      </c>
      <c r="CE137" s="23">
        <f t="shared" si="1161"/>
        <v>35.06</v>
      </c>
      <c r="CF137" s="23">
        <f>+'QTR Raw'!AZ74+'QTR Raw'!AZ75</f>
        <v>38.630000000000003</v>
      </c>
      <c r="CG137" s="23">
        <f t="shared" si="1159"/>
        <v>38.630000000000003</v>
      </c>
      <c r="CH137" s="23">
        <f t="shared" si="1146"/>
        <v>72.23</v>
      </c>
      <c r="CI137" s="23">
        <f t="shared" si="1159"/>
        <v>72.23</v>
      </c>
      <c r="CJ137" s="23">
        <f>+'QTR Raw'!BD74+'QTR Raw'!BD75</f>
        <v>73.17</v>
      </c>
      <c r="CK137" s="24">
        <f t="shared" si="1162"/>
        <v>73.17</v>
      </c>
      <c r="CL137" s="23">
        <f>+'QTR Raw'!BF74+'QTR Raw'!BF75</f>
        <v>92.91</v>
      </c>
      <c r="CM137" s="24">
        <f t="shared" si="1163"/>
        <v>92.91</v>
      </c>
      <c r="CN137" s="24">
        <f t="shared" si="1164"/>
        <v>92.91</v>
      </c>
      <c r="CO137" s="24">
        <f t="shared" si="1165"/>
        <v>92.91</v>
      </c>
      <c r="CP137" s="24">
        <f t="shared" si="1166"/>
        <v>92.91</v>
      </c>
      <c r="CQ137" s="24">
        <f t="shared" si="1167"/>
        <v>92.91</v>
      </c>
      <c r="CR137" s="24">
        <f t="shared" si="1168"/>
        <v>92.91</v>
      </c>
      <c r="CS137" s="24">
        <f t="shared" si="1169"/>
        <v>92.91</v>
      </c>
      <c r="CT137" s="24">
        <f t="shared" si="1170"/>
        <v>92.91</v>
      </c>
      <c r="CU137" s="24">
        <f t="shared" si="1171"/>
        <v>92.91</v>
      </c>
      <c r="CV137" s="24">
        <f t="shared" si="1172"/>
        <v>92.91</v>
      </c>
      <c r="CW137" s="24">
        <f t="shared" si="1173"/>
        <v>92.91</v>
      </c>
      <c r="CX137" s="24">
        <f t="shared" si="1174"/>
        <v>92.91</v>
      </c>
      <c r="CY137" s="24">
        <f t="shared" si="1175"/>
        <v>92.91</v>
      </c>
      <c r="CZ137" s="24">
        <f t="shared" si="1176"/>
        <v>92.91</v>
      </c>
      <c r="DA137" s="24">
        <f t="shared" si="1177"/>
        <v>92.91</v>
      </c>
      <c r="DB137" s="24">
        <f t="shared" si="1178"/>
        <v>92.91</v>
      </c>
      <c r="DE137" s="123"/>
      <c r="DF137" s="23">
        <v>92.91</v>
      </c>
    </row>
    <row r="138" spans="1:110" s="22" customFormat="1" x14ac:dyDescent="0.2">
      <c r="A138" s="22" t="s">
        <v>57</v>
      </c>
      <c r="B138" s="22">
        <f>B134+B137+B136</f>
        <v>195.3398</v>
      </c>
      <c r="C138" s="22">
        <f t="shared" ref="C138:D138" si="1179">C134+C137+C136</f>
        <v>188.96589999999995</v>
      </c>
      <c r="D138" s="22">
        <f t="shared" si="1179"/>
        <v>180.36229999999998</v>
      </c>
      <c r="E138" s="22">
        <f t="shared" ref="E138:Y138" si="1180">E134+E137+E136+E135</f>
        <v>184.28940000000003</v>
      </c>
      <c r="F138" s="22">
        <f t="shared" si="1180"/>
        <v>225.63750000000002</v>
      </c>
      <c r="G138" s="22">
        <f t="shared" si="1180"/>
        <v>224.34700000000001</v>
      </c>
      <c r="H138" s="22">
        <f t="shared" si="1180"/>
        <v>352.65880000000004</v>
      </c>
      <c r="I138" s="22">
        <f t="shared" si="1180"/>
        <v>504.53109999999992</v>
      </c>
      <c r="J138" s="22">
        <f t="shared" si="1180"/>
        <v>527.9547</v>
      </c>
      <c r="K138" s="22">
        <f t="shared" si="1180"/>
        <v>505.78400000000005</v>
      </c>
      <c r="L138" s="22">
        <f t="shared" si="1180"/>
        <v>483.2290999999999</v>
      </c>
      <c r="M138" s="22">
        <f t="shared" si="1180"/>
        <v>455.74280000000005</v>
      </c>
      <c r="N138" s="22">
        <f t="shared" si="1180"/>
        <v>728.06010000000003</v>
      </c>
      <c r="O138" s="22">
        <f t="shared" si="1180"/>
        <v>675.23579999999993</v>
      </c>
      <c r="P138" s="22">
        <f t="shared" si="1180"/>
        <v>674.86199999999985</v>
      </c>
      <c r="Q138" s="22">
        <f t="shared" si="1180"/>
        <v>688.48580000000004</v>
      </c>
      <c r="R138" s="22">
        <f t="shared" si="1180"/>
        <v>690.91</v>
      </c>
      <c r="S138" s="22">
        <f t="shared" si="1180"/>
        <v>712.39</v>
      </c>
      <c r="T138" s="22">
        <f t="shared" si="1180"/>
        <v>708.1</v>
      </c>
      <c r="U138" s="22">
        <f t="shared" si="1180"/>
        <v>718.69</v>
      </c>
      <c r="V138" s="22">
        <f t="shared" si="1180"/>
        <v>779.6</v>
      </c>
      <c r="W138" s="22">
        <f t="shared" si="1180"/>
        <v>841.94000000000017</v>
      </c>
      <c r="X138" s="22">
        <f t="shared" si="1180"/>
        <v>828.50000000000011</v>
      </c>
      <c r="Y138" s="22">
        <f t="shared" si="1180"/>
        <v>824.01</v>
      </c>
      <c r="Z138" s="22">
        <f>Z134+Z137+Z136+Z135</f>
        <v>840.37999999999988</v>
      </c>
      <c r="AA138" s="22">
        <f>AA134+AA137+AA136+AA135</f>
        <v>850.71</v>
      </c>
      <c r="AB138" s="161">
        <f t="shared" ref="AB138:AE138" si="1181">AB134+AB137+AB136+AB135</f>
        <v>806.50207633882417</v>
      </c>
      <c r="AC138" s="161">
        <f t="shared" si="1181"/>
        <v>765.89764991074333</v>
      </c>
      <c r="AD138" s="161">
        <f t="shared" si="1181"/>
        <v>727.64245556506592</v>
      </c>
      <c r="AE138" s="161">
        <f t="shared" si="1181"/>
        <v>691.60057483519904</v>
      </c>
      <c r="AJ138" s="22">
        <f t="shared" ref="AJ138" si="1182">AJ134+AJ137+AJ135+AJ136</f>
        <v>444.21</v>
      </c>
      <c r="AK138" s="22">
        <f t="shared" ref="AK138" si="1183">AK134+AK137+AK135+AK136</f>
        <v>444.21</v>
      </c>
      <c r="AL138" s="22">
        <f t="shared" ref="AL138:AM138" si="1184">AL134+AL137+AL135+AL136</f>
        <v>728.06</v>
      </c>
      <c r="AM138" s="22">
        <f t="shared" si="1184"/>
        <v>728.06</v>
      </c>
      <c r="AN138" s="22">
        <f t="shared" ref="AN138:AO138" si="1185">AN134+AN137+AN135+AN136</f>
        <v>696</v>
      </c>
      <c r="AO138" s="22">
        <f t="shared" si="1185"/>
        <v>696</v>
      </c>
      <c r="AP138" s="22">
        <f t="shared" ref="AP138:CE138" si="1186">AP134+AP137+AP135+AP136</f>
        <v>675.24</v>
      </c>
      <c r="AQ138" s="22">
        <f t="shared" si="1186"/>
        <v>675.24</v>
      </c>
      <c r="AR138" s="22">
        <f t="shared" si="1186"/>
        <v>664.15</v>
      </c>
      <c r="AS138" s="22">
        <f t="shared" si="1186"/>
        <v>664.15</v>
      </c>
      <c r="AT138" s="22">
        <f t="shared" si="1186"/>
        <v>674.86</v>
      </c>
      <c r="AU138" s="22">
        <f t="shared" si="1186"/>
        <v>674.86</v>
      </c>
      <c r="AV138" s="22">
        <f t="shared" si="1186"/>
        <v>668.54</v>
      </c>
      <c r="AW138" s="22">
        <f t="shared" si="1186"/>
        <v>668.54</v>
      </c>
      <c r="AX138" s="22">
        <f t="shared" si="1186"/>
        <v>688.49</v>
      </c>
      <c r="AY138" s="22">
        <f t="shared" si="1186"/>
        <v>688.49</v>
      </c>
      <c r="AZ138" s="22">
        <f t="shared" si="1186"/>
        <v>678.06</v>
      </c>
      <c r="BA138" s="22">
        <f t="shared" si="1186"/>
        <v>678.06</v>
      </c>
      <c r="BB138" s="22">
        <f t="shared" si="1186"/>
        <v>689.73</v>
      </c>
      <c r="BC138" s="22">
        <f t="shared" si="1186"/>
        <v>689.73</v>
      </c>
      <c r="BD138" s="22">
        <f t="shared" si="1186"/>
        <v>699.81</v>
      </c>
      <c r="BE138" s="22">
        <f t="shared" si="1186"/>
        <v>699.81</v>
      </c>
      <c r="BF138" s="22">
        <f t="shared" si="1186"/>
        <v>711.25</v>
      </c>
      <c r="BG138" s="22">
        <f t="shared" si="1186"/>
        <v>711.25</v>
      </c>
      <c r="BH138" s="22">
        <f t="shared" si="1186"/>
        <v>705.33999999999992</v>
      </c>
      <c r="BI138" s="22">
        <f t="shared" si="1186"/>
        <v>705.33999999999992</v>
      </c>
      <c r="BJ138" s="22">
        <f t="shared" si="1186"/>
        <v>707</v>
      </c>
      <c r="BK138" s="22">
        <f t="shared" si="1186"/>
        <v>707</v>
      </c>
      <c r="BL138" s="22">
        <f t="shared" si="1186"/>
        <v>717.06</v>
      </c>
      <c r="BM138" s="22">
        <f t="shared" si="1186"/>
        <v>717.06</v>
      </c>
      <c r="BN138" s="22">
        <f t="shared" si="1186"/>
        <v>717.4</v>
      </c>
      <c r="BO138" s="22">
        <f t="shared" si="1186"/>
        <v>717.4</v>
      </c>
      <c r="BP138" s="22">
        <f t="shared" si="1186"/>
        <v>739.31</v>
      </c>
      <c r="BQ138" s="22">
        <f t="shared" si="1186"/>
        <v>739.31</v>
      </c>
      <c r="BR138" s="22">
        <f t="shared" si="1186"/>
        <v>778.34</v>
      </c>
      <c r="BS138" s="22">
        <f t="shared" si="1186"/>
        <v>778.34</v>
      </c>
      <c r="BT138" s="22">
        <f t="shared" si="1186"/>
        <v>807.2</v>
      </c>
      <c r="BU138" s="22">
        <f t="shared" si="1186"/>
        <v>807.2</v>
      </c>
      <c r="BV138" s="22">
        <f t="shared" si="1186"/>
        <v>840.69999999999993</v>
      </c>
      <c r="BW138" s="22">
        <f t="shared" si="1186"/>
        <v>840.69999999999993</v>
      </c>
      <c r="BX138" s="22">
        <f t="shared" si="1186"/>
        <v>831.62</v>
      </c>
      <c r="BY138" s="22">
        <f t="shared" si="1186"/>
        <v>831.62</v>
      </c>
      <c r="BZ138" s="22">
        <f t="shared" si="1186"/>
        <v>827.28</v>
      </c>
      <c r="CA138" s="22">
        <f t="shared" si="1186"/>
        <v>827.28</v>
      </c>
      <c r="CB138" s="22">
        <f t="shared" si="1186"/>
        <v>814.69</v>
      </c>
      <c r="CC138" s="22">
        <f t="shared" si="1186"/>
        <v>814.69</v>
      </c>
      <c r="CD138" s="22">
        <f t="shared" si="1186"/>
        <v>822.82999999999993</v>
      </c>
      <c r="CE138" s="22">
        <f t="shared" si="1186"/>
        <v>822.82999999999993</v>
      </c>
      <c r="CF138" s="22">
        <f t="shared" ref="CF138:CG138" si="1187">CF134+CF137+CF135+CF136</f>
        <v>813.42</v>
      </c>
      <c r="CG138" s="22">
        <f t="shared" si="1187"/>
        <v>813.42</v>
      </c>
      <c r="CH138" s="22">
        <f t="shared" ref="CH138:CJ138" si="1188">CH134+CH137+CH135+CH136</f>
        <v>840.37999999999988</v>
      </c>
      <c r="CI138" s="22">
        <f t="shared" si="1188"/>
        <v>828.83999999999992</v>
      </c>
      <c r="CJ138" s="22">
        <f t="shared" si="1188"/>
        <v>844.7399999999999</v>
      </c>
      <c r="CK138" s="21">
        <f t="shared" ref="CK138:DB138" si="1189">CK134+CK137+CK135+CK136</f>
        <v>833.47999999999979</v>
      </c>
      <c r="CL138" s="22">
        <f t="shared" si="1189"/>
        <v>849.59999999999991</v>
      </c>
      <c r="CM138" s="21">
        <f t="shared" si="1189"/>
        <v>838.58353613081624</v>
      </c>
      <c r="CN138" s="21">
        <f t="shared" si="1189"/>
        <v>827.72999459611731</v>
      </c>
      <c r="CO138" s="21">
        <f t="shared" si="1189"/>
        <v>817.0369659397121</v>
      </c>
      <c r="CP138" s="21">
        <f t="shared" si="1189"/>
        <v>806.50207633882417</v>
      </c>
      <c r="CQ138" s="21">
        <f t="shared" si="1189"/>
        <v>796.12298707711022</v>
      </c>
      <c r="CR138" s="21">
        <f t="shared" si="1189"/>
        <v>785.89739402547082</v>
      </c>
      <c r="CS138" s="21">
        <f t="shared" si="1189"/>
        <v>775.82302713054094</v>
      </c>
      <c r="CT138" s="21">
        <f t="shared" si="1189"/>
        <v>765.89764991074333</v>
      </c>
      <c r="CU138" s="21">
        <f t="shared" si="1189"/>
        <v>756.11905895979692</v>
      </c>
      <c r="CV138" s="21">
        <f t="shared" si="1189"/>
        <v>746.48508345756591</v>
      </c>
      <c r="CW138" s="21">
        <f t="shared" si="1189"/>
        <v>736.9935846881441</v>
      </c>
      <c r="CX138" s="21">
        <f t="shared" si="1189"/>
        <v>727.64245556506592</v>
      </c>
      <c r="CY138" s="21">
        <f t="shared" si="1189"/>
        <v>718.42962016353852</v>
      </c>
      <c r="CZ138" s="21">
        <f t="shared" si="1189"/>
        <v>709.35303325959296</v>
      </c>
      <c r="DA138" s="21">
        <f t="shared" si="1189"/>
        <v>700.41067987604958</v>
      </c>
      <c r="DB138" s="21">
        <f t="shared" si="1189"/>
        <v>691.60057483519904</v>
      </c>
      <c r="DE138" s="126"/>
      <c r="DF138" s="22">
        <v>849.5999999999998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16.739899999999999</v>
      </c>
      <c r="C140" s="23">
        <f>'Annual Raw'!D71</f>
        <v>16.739899999999999</v>
      </c>
      <c r="D140" s="23">
        <f>'Annual Raw'!E71</f>
        <v>7.2385999999999999</v>
      </c>
      <c r="E140" s="23">
        <f>'Annual Raw'!F71</f>
        <v>7.8186</v>
      </c>
      <c r="F140" s="23">
        <f>'Annual Raw'!G71</f>
        <v>7.3503999999999996</v>
      </c>
      <c r="G140" s="23">
        <f>'Annual Raw'!H71</f>
        <v>7.4630000000000001</v>
      </c>
      <c r="H140" s="23">
        <f>'Annual Raw'!I71</f>
        <v>8.1784999999999997</v>
      </c>
      <c r="I140" s="23">
        <f>'Annual Raw'!J71</f>
        <v>8.1905000000000001</v>
      </c>
      <c r="J140" s="23">
        <f>'Annual Raw'!K71</f>
        <v>8.1905000000000001</v>
      </c>
      <c r="K140" s="23">
        <f>'Annual Raw'!L71</f>
        <v>10.1905</v>
      </c>
      <c r="L140" s="23">
        <f>'Annual Raw'!M71</f>
        <v>23.231999999999999</v>
      </c>
      <c r="M140" s="23">
        <f>'Annual Raw'!N71</f>
        <v>23.231999999999999</v>
      </c>
      <c r="N140" s="23">
        <f>'Annual Raw'!O71</f>
        <v>10.804600000000001</v>
      </c>
      <c r="O140" s="23">
        <f>'Annual Raw'!P71</f>
        <v>31.994399999999999</v>
      </c>
      <c r="P140" s="23">
        <f>'Annual Raw'!Q71</f>
        <v>41.049599999999998</v>
      </c>
      <c r="Q140" s="23">
        <f>'Annual Raw'!R71</f>
        <v>47.113500000000002</v>
      </c>
      <c r="R140" s="23">
        <f>'Annual Raw'!S71</f>
        <v>92.87</v>
      </c>
      <c r="S140" s="23">
        <f>'Annual Raw'!T71</f>
        <v>108.38</v>
      </c>
      <c r="T140" s="23">
        <f>'Annual Raw'!U71</f>
        <v>106.6</v>
      </c>
      <c r="U140" s="23">
        <f>'Annual Raw'!V71</f>
        <v>103.39</v>
      </c>
      <c r="V140" s="23">
        <f>'Annual Raw'!W71</f>
        <v>152.49</v>
      </c>
      <c r="W140" s="23">
        <f>'Annual Raw'!X71</f>
        <v>177.95</v>
      </c>
      <c r="X140" s="23">
        <f>'Annual Raw'!Y71</f>
        <v>196.74</v>
      </c>
      <c r="Y140" s="23">
        <f>'Annual Raw'!Z71</f>
        <v>248.12</v>
      </c>
      <c r="Z140" s="23">
        <f>'Annual Raw'!AA71</f>
        <v>277.52999999999997</v>
      </c>
      <c r="AA140" s="23">
        <f>'Annual Raw'!AB71</f>
        <v>305.05</v>
      </c>
      <c r="AB140" s="24">
        <f>+CP140</f>
        <v>306.16000000000003</v>
      </c>
      <c r="AC140" s="24">
        <f>+CT140</f>
        <v>306.16000000000003</v>
      </c>
      <c r="AD140" s="24">
        <f>+CX140</f>
        <v>306.16000000000003</v>
      </c>
      <c r="AE140" s="24">
        <f>+DB140</f>
        <v>306.16000000000003</v>
      </c>
      <c r="AJ140" s="23">
        <f>+'QTR Raw'!D77</f>
        <v>23.23</v>
      </c>
      <c r="AK140" s="23">
        <f t="shared" ref="AK140:CE140" si="1190">+AJ140</f>
        <v>23.23</v>
      </c>
      <c r="AL140" s="23">
        <f>+'QTR Raw'!F77</f>
        <v>10.8</v>
      </c>
      <c r="AM140" s="23">
        <f t="shared" si="1190"/>
        <v>10.8</v>
      </c>
      <c r="AN140" s="23">
        <f>+'QTR Raw'!H77</f>
        <v>22.71</v>
      </c>
      <c r="AO140" s="23">
        <f t="shared" si="1190"/>
        <v>22.71</v>
      </c>
      <c r="AP140" s="23">
        <f>+'QTR Raw'!J77</f>
        <v>31.99</v>
      </c>
      <c r="AQ140" s="23">
        <f t="shared" si="1190"/>
        <v>31.99</v>
      </c>
      <c r="AR140" s="23">
        <f>+'QTR Raw'!L77</f>
        <v>31.99</v>
      </c>
      <c r="AS140" s="23">
        <f t="shared" si="1190"/>
        <v>31.99</v>
      </c>
      <c r="AT140" s="23">
        <f>+'QTR Raw'!N77</f>
        <v>41.05</v>
      </c>
      <c r="AU140" s="23">
        <f t="shared" si="1190"/>
        <v>41.05</v>
      </c>
      <c r="AV140" s="23">
        <f>+'QTR Raw'!P77</f>
        <v>31.99</v>
      </c>
      <c r="AW140" s="23">
        <f t="shared" si="1190"/>
        <v>31.99</v>
      </c>
      <c r="AX140" s="23">
        <f>+'QTR Raw'!R77</f>
        <v>47.11</v>
      </c>
      <c r="AY140" s="23">
        <f t="shared" si="1190"/>
        <v>47.11</v>
      </c>
      <c r="AZ140" s="23">
        <f>+'QTR Raw'!T77</f>
        <v>39.61</v>
      </c>
      <c r="BA140" s="23">
        <f t="shared" si="1190"/>
        <v>39.61</v>
      </c>
      <c r="BB140" s="23">
        <f>+'QTR Raw'!V77</f>
        <v>94.05</v>
      </c>
      <c r="BC140" s="23">
        <f t="shared" si="1190"/>
        <v>94.05</v>
      </c>
      <c r="BD140" s="23">
        <f>+'QTR Raw'!X77</f>
        <v>92.6</v>
      </c>
      <c r="BE140" s="23">
        <f t="shared" si="1190"/>
        <v>92.6</v>
      </c>
      <c r="BF140" s="23">
        <f>+'QTR Raw'!Z77</f>
        <v>109.52</v>
      </c>
      <c r="BG140" s="23">
        <f t="shared" si="1190"/>
        <v>109.52</v>
      </c>
      <c r="BH140" s="23">
        <f>+'QTR Raw'!AB77</f>
        <v>105.98</v>
      </c>
      <c r="BI140" s="23">
        <f t="shared" si="1190"/>
        <v>105.98</v>
      </c>
      <c r="BJ140" s="23">
        <f>+'QTR Raw'!AD77</f>
        <v>107.7</v>
      </c>
      <c r="BK140" s="23">
        <f t="shared" si="1190"/>
        <v>107.7</v>
      </c>
      <c r="BL140" s="23">
        <f>+'QTR Raw'!AF77</f>
        <v>110.5</v>
      </c>
      <c r="BM140" s="23">
        <f t="shared" si="1190"/>
        <v>110.5</v>
      </c>
      <c r="BN140" s="23">
        <f>+'QTR Raw'!AH77</f>
        <v>104.68</v>
      </c>
      <c r="BO140" s="23">
        <f t="shared" si="1190"/>
        <v>104.68</v>
      </c>
      <c r="BP140" s="23">
        <f>+'QTR Raw'!AJ77</f>
        <v>117.62</v>
      </c>
      <c r="BQ140" s="23">
        <f t="shared" si="1190"/>
        <v>117.62</v>
      </c>
      <c r="BR140" s="23">
        <f>+'QTR Raw'!AL77</f>
        <v>153.75</v>
      </c>
      <c r="BS140" s="23">
        <f t="shared" si="1190"/>
        <v>153.75</v>
      </c>
      <c r="BT140" s="23">
        <f>+'QTR Raw'!AN77</f>
        <v>198.37</v>
      </c>
      <c r="BU140" s="23">
        <f t="shared" si="1190"/>
        <v>198.37</v>
      </c>
      <c r="BV140" s="23">
        <f>+'QTR Raw'!AP77</f>
        <v>179.19</v>
      </c>
      <c r="BW140" s="23">
        <f t="shared" si="1190"/>
        <v>179.19</v>
      </c>
      <c r="BX140" s="23">
        <f>+'QTR Raw'!AR77</f>
        <v>185.9</v>
      </c>
      <c r="BY140" s="23">
        <f t="shared" si="1190"/>
        <v>185.9</v>
      </c>
      <c r="BZ140" s="23">
        <f>+'QTR Raw'!AT77</f>
        <v>197.96</v>
      </c>
      <c r="CA140" s="23">
        <f t="shared" si="1190"/>
        <v>197.96</v>
      </c>
      <c r="CB140" s="23">
        <f>+'QTR Raw'!AV77</f>
        <v>234.45</v>
      </c>
      <c r="CC140" s="23">
        <f t="shared" si="1190"/>
        <v>234.45</v>
      </c>
      <c r="CD140" s="23">
        <f>+'QTR Raw'!AX77</f>
        <v>249.3</v>
      </c>
      <c r="CE140" s="23">
        <f t="shared" si="1190"/>
        <v>249.3</v>
      </c>
      <c r="CF140" s="23">
        <f>+'QTR Raw'!AZ77</f>
        <v>293.33999999999997</v>
      </c>
      <c r="CG140" s="23">
        <f t="shared" ref="CG140:CI143" si="1191">+CF140</f>
        <v>293.33999999999997</v>
      </c>
      <c r="CH140" s="23">
        <f t="shared" ref="CH140:CH155" si="1192">Z140</f>
        <v>277.52999999999997</v>
      </c>
      <c r="CI140" s="23">
        <f t="shared" si="1191"/>
        <v>277.52999999999997</v>
      </c>
      <c r="CJ140" s="23">
        <f>+'QTR Raw'!BD77</f>
        <v>314.10000000000002</v>
      </c>
      <c r="CK140" s="24">
        <f t="shared" ref="CK140" si="1193">+CJ140</f>
        <v>314.10000000000002</v>
      </c>
      <c r="CL140" s="23">
        <f>+'QTR Raw'!BF77</f>
        <v>306.16000000000003</v>
      </c>
      <c r="CM140" s="24">
        <f t="shared" ref="CM140" si="1194">+CL140</f>
        <v>306.16000000000003</v>
      </c>
      <c r="CN140" s="24">
        <f t="shared" ref="CN140" si="1195">+CM140</f>
        <v>306.16000000000003</v>
      </c>
      <c r="CO140" s="24">
        <f t="shared" ref="CO140" si="1196">+CN140</f>
        <v>306.16000000000003</v>
      </c>
      <c r="CP140" s="24">
        <f t="shared" ref="CP140" si="1197">+CO140</f>
        <v>306.16000000000003</v>
      </c>
      <c r="CQ140" s="24">
        <f t="shared" ref="CQ140" si="1198">+CP140</f>
        <v>306.16000000000003</v>
      </c>
      <c r="CR140" s="24">
        <f t="shared" ref="CR140" si="1199">+CQ140</f>
        <v>306.16000000000003</v>
      </c>
      <c r="CS140" s="24">
        <f t="shared" ref="CS140" si="1200">+CR140</f>
        <v>306.16000000000003</v>
      </c>
      <c r="CT140" s="24">
        <f t="shared" ref="CT140" si="1201">+CS140</f>
        <v>306.16000000000003</v>
      </c>
      <c r="CU140" s="24">
        <f t="shared" ref="CU140" si="1202">+CT140</f>
        <v>306.16000000000003</v>
      </c>
      <c r="CV140" s="24">
        <f t="shared" ref="CV140" si="1203">+CU140</f>
        <v>306.16000000000003</v>
      </c>
      <c r="CW140" s="24">
        <f t="shared" ref="CW140" si="1204">+CV140</f>
        <v>306.16000000000003</v>
      </c>
      <c r="CX140" s="24">
        <f t="shared" ref="CX140" si="1205">+CW140</f>
        <v>306.16000000000003</v>
      </c>
      <c r="CY140" s="24">
        <f t="shared" ref="CY140" si="1206">+CX140</f>
        <v>306.16000000000003</v>
      </c>
      <c r="CZ140" s="24">
        <f t="shared" ref="CZ140" si="1207">+CY140</f>
        <v>306.16000000000003</v>
      </c>
      <c r="DA140" s="24">
        <f t="shared" ref="DA140" si="1208">+CZ140</f>
        <v>306.16000000000003</v>
      </c>
      <c r="DB140" s="24">
        <f t="shared" ref="DB140" si="1209">+DA140</f>
        <v>306.16000000000003</v>
      </c>
      <c r="DE140" s="123"/>
      <c r="DF140" s="23">
        <v>306.16000000000003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2.7050999999999998</v>
      </c>
      <c r="M142" s="23">
        <f>'Annual Raw'!N72+'Annual Raw'!N61</f>
        <v>6.8352000000000004</v>
      </c>
      <c r="N142" s="23">
        <f>'Annual Raw'!O72+'Annual Raw'!O61</f>
        <v>22.0549</v>
      </c>
      <c r="O142" s="23">
        <f>'Annual Raw'!P72+'Annual Raw'!P61</f>
        <v>23.191400000000002</v>
      </c>
      <c r="P142" s="23">
        <f>'Annual Raw'!Q72+'Annual Raw'!Q61</f>
        <v>23.099699999999999</v>
      </c>
      <c r="Q142" s="23">
        <f>'Annual Raw'!R72+'Annual Raw'!R61</f>
        <v>25.335899999999999</v>
      </c>
      <c r="R142" s="23">
        <f>'Annual Raw'!S72+'Annual Raw'!S61</f>
        <v>35.11</v>
      </c>
      <c r="S142" s="23">
        <f>'Annual Raw'!T72+'Annual Raw'!T61</f>
        <v>27.34</v>
      </c>
      <c r="T142" s="23">
        <f>'Annual Raw'!U72+'Annual Raw'!U61</f>
        <v>38.61</v>
      </c>
      <c r="U142" s="23">
        <f>'Annual Raw'!V72+'Annual Raw'!V61</f>
        <v>25.77</v>
      </c>
      <c r="V142" s="23">
        <f>'Annual Raw'!W72+'Annual Raw'!W61</f>
        <v>21.23</v>
      </c>
      <c r="W142" s="23">
        <f>'Annual Raw'!X72+'Annual Raw'!X61</f>
        <v>10.47</v>
      </c>
      <c r="X142" s="23">
        <f>'Annual Raw'!Y72+'Annual Raw'!Y61</f>
        <v>26.29</v>
      </c>
      <c r="Y142" s="23">
        <f>'Annual Raw'!Z72+'Annual Raw'!Z61</f>
        <v>21.03</v>
      </c>
      <c r="Z142" s="23">
        <f>'Annual Raw'!AA72+'Annual Raw'!AA61</f>
        <v>40.6</v>
      </c>
      <c r="AA142" s="23">
        <f>'Annual Raw'!AB72+'Annual Raw'!AB61</f>
        <v>34.700000000000003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6.88</v>
      </c>
      <c r="AK142" s="23">
        <f t="shared" ref="AK142:CE147" si="1214">+AJ142</f>
        <v>6.88</v>
      </c>
      <c r="AL142" s="23">
        <f>+'QTR Raw'!F78</f>
        <v>22.06</v>
      </c>
      <c r="AM142" s="23">
        <f t="shared" si="1214"/>
        <v>22.06</v>
      </c>
      <c r="AN142" s="23">
        <f>+'QTR Raw'!H78</f>
        <v>22.56</v>
      </c>
      <c r="AO142" s="23">
        <f t="shared" si="1214"/>
        <v>22.56</v>
      </c>
      <c r="AP142" s="23">
        <f>+'QTR Raw'!J78</f>
        <v>23.19</v>
      </c>
      <c r="AQ142" s="23">
        <f t="shared" si="1214"/>
        <v>23.19</v>
      </c>
      <c r="AR142" s="23">
        <f>+'QTR Raw'!L78</f>
        <v>23.27</v>
      </c>
      <c r="AS142" s="23">
        <f t="shared" si="1214"/>
        <v>23.27</v>
      </c>
      <c r="AT142" s="23">
        <f>+'QTR Raw'!N78</f>
        <v>23.1</v>
      </c>
      <c r="AU142" s="23">
        <f t="shared" si="1214"/>
        <v>23.1</v>
      </c>
      <c r="AV142" s="23">
        <f>+'QTR Raw'!P78</f>
        <v>31.81</v>
      </c>
      <c r="AW142" s="23">
        <f t="shared" si="1214"/>
        <v>31.81</v>
      </c>
      <c r="AX142" s="23">
        <f>+'QTR Raw'!R78</f>
        <v>25.34</v>
      </c>
      <c r="AY142" s="23">
        <f t="shared" si="1214"/>
        <v>25.34</v>
      </c>
      <c r="AZ142" s="23">
        <f>+'QTR Raw'!T78</f>
        <v>25.69</v>
      </c>
      <c r="BA142" s="23">
        <f t="shared" si="1214"/>
        <v>25.69</v>
      </c>
      <c r="BB142" s="23">
        <f>+'QTR Raw'!V78</f>
        <v>25.67</v>
      </c>
      <c r="BC142" s="23">
        <f t="shared" si="1214"/>
        <v>25.67</v>
      </c>
      <c r="BD142" s="23">
        <f>+'QTR Raw'!X78</f>
        <v>18.27</v>
      </c>
      <c r="BE142" s="23">
        <f t="shared" si="1214"/>
        <v>18.27</v>
      </c>
      <c r="BF142" s="23">
        <f>+'QTR Raw'!Z78</f>
        <v>23.99</v>
      </c>
      <c r="BG142" s="23">
        <f t="shared" si="1214"/>
        <v>23.99</v>
      </c>
      <c r="BH142" s="23">
        <f>+'QTR Raw'!AB78</f>
        <v>28.84</v>
      </c>
      <c r="BI142" s="23">
        <f t="shared" si="1214"/>
        <v>28.84</v>
      </c>
      <c r="BJ142" s="23">
        <f>+'QTR Raw'!AD78</f>
        <v>29.62</v>
      </c>
      <c r="BK142" s="23">
        <f t="shared" si="1214"/>
        <v>29.62</v>
      </c>
      <c r="BL142" s="23">
        <f>+'QTR Raw'!AF78</f>
        <v>24.24</v>
      </c>
      <c r="BM142" s="23">
        <f t="shared" si="1214"/>
        <v>24.24</v>
      </c>
      <c r="BN142" s="23">
        <f>+'QTR Raw'!AH78</f>
        <v>12.2</v>
      </c>
      <c r="BO142" s="23">
        <f t="shared" si="1214"/>
        <v>12.2</v>
      </c>
      <c r="BP142" s="23">
        <f>+'QTR Raw'!AJ78</f>
        <v>6.76</v>
      </c>
      <c r="BQ142" s="23">
        <f t="shared" si="1214"/>
        <v>6.76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40.6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0.37319999999999998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35.700000000000003</v>
      </c>
      <c r="X143" s="23">
        <f>'Annual Raw'!Y73+'Annual Raw'!Y81</f>
        <v>169.07</v>
      </c>
      <c r="Y143" s="23">
        <f>'Annual Raw'!Z73+'Annual Raw'!Z81</f>
        <v>248.49</v>
      </c>
      <c r="Z143" s="23">
        <f>'Annual Raw'!AA73+'Annual Raw'!AA81</f>
        <v>116.88</v>
      </c>
      <c r="AA143" s="23">
        <f>'Annual Raw'!AB73+'Annual Raw'!AB81</f>
        <v>596.87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0.37</v>
      </c>
      <c r="AM143" s="23">
        <f t="shared" si="1214"/>
        <v>0.37</v>
      </c>
      <c r="AN143" s="23">
        <f>+'QTR Raw'!H79+'QTR Raw'!H76</f>
        <v>0.37</v>
      </c>
      <c r="AO143" s="23">
        <f t="shared" si="1214"/>
        <v>0.37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0.37</v>
      </c>
      <c r="AS143" s="23">
        <f t="shared" si="1214"/>
        <v>0.37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9.44</v>
      </c>
      <c r="BC143" s="23">
        <f t="shared" si="1214"/>
        <v>9.44</v>
      </c>
      <c r="BD143" s="23">
        <f>+'QTR Raw'!X79+'QTR Raw'!X76</f>
        <v>1.19</v>
      </c>
      <c r="BE143" s="23">
        <f t="shared" si="1214"/>
        <v>1.19</v>
      </c>
      <c r="BF143" s="23">
        <f>+'QTR Raw'!Z79+'QTR Raw'!Z76</f>
        <v>3.35</v>
      </c>
      <c r="BG143" s="23">
        <f t="shared" si="1214"/>
        <v>3.35</v>
      </c>
      <c r="BH143" s="23">
        <f>+'QTR Raw'!AB79+'QTR Raw'!AB76</f>
        <v>6.55</v>
      </c>
      <c r="BI143" s="23">
        <f t="shared" si="1214"/>
        <v>6.55</v>
      </c>
      <c r="BJ143" s="23">
        <f>+'QTR Raw'!AD79+'QTR Raw'!AD76</f>
        <v>8.99</v>
      </c>
      <c r="BK143" s="23">
        <f t="shared" si="1214"/>
        <v>8.99</v>
      </c>
      <c r="BL143" s="23">
        <f>+'QTR Raw'!AF79+'QTR Raw'!AF76</f>
        <v>9.8000000000000007</v>
      </c>
      <c r="BM143" s="23">
        <f t="shared" si="1214"/>
        <v>9.8000000000000007</v>
      </c>
      <c r="BN143" s="23">
        <f>+'QTR Raw'!AH79+'QTR Raw'!AH76</f>
        <v>13.57</v>
      </c>
      <c r="BO143" s="23">
        <f t="shared" si="1214"/>
        <v>13.57</v>
      </c>
      <c r="BP143" s="23">
        <f>+'QTR Raw'!AJ79+'QTR Raw'!AJ76</f>
        <v>19.309999999999999</v>
      </c>
      <c r="BQ143" s="23">
        <f t="shared" si="1214"/>
        <v>19.309999999999999</v>
      </c>
      <c r="BR143" s="23">
        <f>+'QTR Raw'!AL79+'QTR Raw'!AL76</f>
        <v>21.23</v>
      </c>
      <c r="BS143" s="23">
        <f t="shared" si="1214"/>
        <v>21.23</v>
      </c>
      <c r="BT143" s="23">
        <f>+'QTR Raw'!AN79+'QTR Raw'!AN76</f>
        <v>19.46</v>
      </c>
      <c r="BU143" s="23">
        <f t="shared" si="1214"/>
        <v>19.46</v>
      </c>
      <c r="BV143" s="23">
        <f>+'QTR Raw'!AP79+'QTR Raw'!AP76</f>
        <v>46.17</v>
      </c>
      <c r="BW143" s="23">
        <f t="shared" si="1214"/>
        <v>46.17</v>
      </c>
      <c r="BX143" s="23">
        <f>+'QTR Raw'!AR79+'QTR Raw'!AR76</f>
        <v>369.61</v>
      </c>
      <c r="BY143" s="23">
        <f t="shared" si="1214"/>
        <v>369.61</v>
      </c>
      <c r="BZ143" s="23">
        <f>+'QTR Raw'!AT79+'QTR Raw'!AT76</f>
        <v>195.36</v>
      </c>
      <c r="CA143" s="23">
        <f t="shared" si="1214"/>
        <v>195.36</v>
      </c>
      <c r="CB143" s="23">
        <f>+'QTR Raw'!AV79+'QTR Raw'!AV76</f>
        <v>163.54</v>
      </c>
      <c r="CC143" s="23">
        <f t="shared" si="1214"/>
        <v>163.54</v>
      </c>
      <c r="CD143" s="23">
        <f>+'QTR Raw'!AX79+'QTR Raw'!AX76</f>
        <v>269.52</v>
      </c>
      <c r="CE143" s="23">
        <f t="shared" si="1214"/>
        <v>269.52</v>
      </c>
      <c r="CF143" s="23">
        <f>+'QTR Raw'!AZ79+'QTR Raw'!AZ76</f>
        <v>136.93</v>
      </c>
      <c r="CG143" s="23">
        <f t="shared" si="1191"/>
        <v>136.93</v>
      </c>
      <c r="CH143" s="23">
        <f t="shared" si="1192"/>
        <v>116.88</v>
      </c>
      <c r="CJ143" s="23">
        <f>+'QTR Raw'!BD79+'QTR Raw'!BD76</f>
        <v>151.35</v>
      </c>
      <c r="CK143" s="24"/>
      <c r="CL143" s="23">
        <f>+'QTR Raw'!BF79+'QTR Raw'!BF76</f>
        <v>631.57000000000005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631.57000000000005</v>
      </c>
    </row>
    <row r="144" spans="1:110" s="23" customFormat="1" outlineLevel="1" x14ac:dyDescent="0.2">
      <c r="A144" s="23" t="s">
        <v>61</v>
      </c>
      <c r="B144" s="23">
        <f>'Annual Raw'!C76</f>
        <v>49.688099999999999</v>
      </c>
      <c r="C144" s="23">
        <f>'Annual Raw'!D76</f>
        <v>30.909300000000002</v>
      </c>
      <c r="D144" s="23">
        <f>'Annual Raw'!E76</f>
        <v>27.986000000000001</v>
      </c>
      <c r="E144" s="23">
        <f>'Annual Raw'!F76</f>
        <v>43.413600000000002</v>
      </c>
      <c r="F144" s="23">
        <f>'Annual Raw'!G76</f>
        <v>46.954099999999997</v>
      </c>
      <c r="G144" s="23">
        <f>'Annual Raw'!H76</f>
        <v>49.958799999999997</v>
      </c>
      <c r="H144" s="23">
        <f>'Annual Raw'!I76</f>
        <v>54.970700000000001</v>
      </c>
      <c r="I144" s="23">
        <f>'Annual Raw'!J76</f>
        <v>70.521199999999993</v>
      </c>
      <c r="J144" s="23">
        <f>'Annual Raw'!K76</f>
        <v>68.445599999999999</v>
      </c>
      <c r="K144" s="23">
        <f>'Annual Raw'!L76</f>
        <v>47.809699999999999</v>
      </c>
      <c r="L144" s="23">
        <f>'Annual Raw'!M76</f>
        <v>44.880299999999998</v>
      </c>
      <c r="M144" s="23">
        <f>'Annual Raw'!N76</f>
        <v>86.201700000000002</v>
      </c>
      <c r="N144" s="23">
        <f>'Annual Raw'!O76</f>
        <v>87.125900000000001</v>
      </c>
      <c r="O144" s="23">
        <f>'Annual Raw'!P76</f>
        <v>112.28579999999999</v>
      </c>
      <c r="P144" s="23">
        <f>'Annual Raw'!Q76</f>
        <v>134.42349999999999</v>
      </c>
      <c r="Q144" s="23">
        <f>'Annual Raw'!R76</f>
        <v>114.0702</v>
      </c>
      <c r="R144" s="23">
        <f>'Annual Raw'!S76</f>
        <v>128.97</v>
      </c>
      <c r="S144" s="23">
        <f>'Annual Raw'!T76</f>
        <v>157.78</v>
      </c>
      <c r="T144" s="23">
        <f>'Annual Raw'!U76</f>
        <v>134.57</v>
      </c>
      <c r="U144" s="23">
        <f>'Annual Raw'!V76</f>
        <v>169.44</v>
      </c>
      <c r="V144" s="23">
        <f>'Annual Raw'!W76</f>
        <v>227.25</v>
      </c>
      <c r="W144" s="23">
        <f>'Annual Raw'!X76</f>
        <v>124.12</v>
      </c>
      <c r="X144" s="23">
        <f>'Annual Raw'!Y76</f>
        <v>240.88</v>
      </c>
      <c r="Y144" s="23">
        <f>'Annual Raw'!Z76</f>
        <v>287.91000000000003</v>
      </c>
      <c r="Z144" s="23">
        <f>'Annual Raw'!AA76</f>
        <v>354.05</v>
      </c>
      <c r="AA144" s="23">
        <f>'Annual Raw'!AB76</f>
        <v>360.43</v>
      </c>
      <c r="AB144" s="24">
        <f t="shared" si="1210"/>
        <v>371.56883787146791</v>
      </c>
      <c r="AC144" s="24">
        <f t="shared" si="1211"/>
        <v>374.74787301407827</v>
      </c>
      <c r="AD144" s="24">
        <f t="shared" si="1212"/>
        <v>376.88448906924322</v>
      </c>
      <c r="AE144" s="24">
        <f t="shared" si="1213"/>
        <v>378.93392470101242</v>
      </c>
      <c r="AJ144" s="23">
        <f>+'QTR Raw'!D81</f>
        <v>61.2</v>
      </c>
      <c r="AK144" s="23">
        <f>+AK179*AK10/90</f>
        <v>60.813193758641106</v>
      </c>
      <c r="AL144" s="23">
        <f>+'QTR Raw'!F81</f>
        <v>87.13</v>
      </c>
      <c r="AM144" s="23">
        <f>+AM179*AM10/90</f>
        <v>82.074443818520606</v>
      </c>
      <c r="AN144" s="23">
        <f>+'QTR Raw'!H81</f>
        <v>104.92</v>
      </c>
      <c r="AO144" s="23">
        <f>+AO179*AO10/90</f>
        <v>104.89931061681655</v>
      </c>
      <c r="AP144" s="23">
        <f>+'QTR Raw'!J81</f>
        <v>112.29</v>
      </c>
      <c r="AQ144" s="23">
        <f>+AQ179*AQ10/90</f>
        <v>83.434617150010425</v>
      </c>
      <c r="AR144" s="23">
        <f>+'QTR Raw'!L81</f>
        <v>184.73</v>
      </c>
      <c r="AS144" s="23">
        <f>+AS179*AS10/90</f>
        <v>207.87042943451993</v>
      </c>
      <c r="AT144" s="23">
        <f>+'QTR Raw'!N81</f>
        <v>134.41999999999999</v>
      </c>
      <c r="AU144" s="23">
        <f>+AU179*AU10/90</f>
        <v>102.49373956594324</v>
      </c>
      <c r="AV144" s="23">
        <f>+'QTR Raw'!P81</f>
        <v>186.55</v>
      </c>
      <c r="AW144" s="23">
        <f>+AW179*AW10/90</f>
        <v>173.00828426730348</v>
      </c>
      <c r="AX144" s="23">
        <f>+'QTR Raw'!R81</f>
        <v>114.07</v>
      </c>
      <c r="AY144" s="23">
        <f>+AY179*AY10/90</f>
        <v>78.305745713636895</v>
      </c>
      <c r="AZ144" s="23">
        <f>+'QTR Raw'!T81</f>
        <v>164.2</v>
      </c>
      <c r="BA144" s="23">
        <f>+BA179*BA10/90</f>
        <v>174.10237947746236</v>
      </c>
      <c r="BB144" s="23">
        <f>+'QTR Raw'!V81</f>
        <v>128.97</v>
      </c>
      <c r="BC144" s="23">
        <f>+BC179*BC10/90</f>
        <v>93.132208067298095</v>
      </c>
      <c r="BD144" s="23">
        <f>+'QTR Raw'!X81</f>
        <v>160.44999999999999</v>
      </c>
      <c r="BE144" s="23">
        <f>+BE179*BE10/90</f>
        <v>208.13036342837023</v>
      </c>
      <c r="BF144" s="23">
        <f>+'QTR Raw'!Z81</f>
        <v>157.78</v>
      </c>
      <c r="BG144" s="23">
        <f>+BG179*BG10/90</f>
        <v>124.67295774647886</v>
      </c>
      <c r="BH144" s="23">
        <f>+'QTR Raw'!AB81</f>
        <v>148.88</v>
      </c>
      <c r="BI144" s="23">
        <f>+BI179*BI10/90</f>
        <v>159.32811349230306</v>
      </c>
      <c r="BJ144" s="23">
        <f>+'QTR Raw'!AD81</f>
        <v>134.57</v>
      </c>
      <c r="BK144" s="23">
        <f>+BK179*BK10/90</f>
        <v>102.75000191907006</v>
      </c>
      <c r="BL144" s="23">
        <f>+'QTR Raw'!AF81</f>
        <v>170.45</v>
      </c>
      <c r="BM144" s="23">
        <f>+BM179*BM10/90</f>
        <v>162.21589264877477</v>
      </c>
      <c r="BN144" s="23">
        <f>+'QTR Raw'!AH81</f>
        <v>169.44</v>
      </c>
      <c r="BO144" s="23">
        <f>+BO179*BO10/90</f>
        <v>73.646337214747291</v>
      </c>
      <c r="BP144" s="23">
        <f>+'QTR Raw'!AJ81</f>
        <v>336.65</v>
      </c>
      <c r="BQ144" s="23">
        <f>+BQ179*BQ10/90</f>
        <v>368.20674112485045</v>
      </c>
      <c r="BR144" s="23">
        <f>+'QTR Raw'!AL81</f>
        <v>227.25</v>
      </c>
      <c r="BS144" s="23">
        <f>+BS179*BS10/90</f>
        <v>151.13036384153222</v>
      </c>
      <c r="BT144" s="23">
        <f>+'QTR Raw'!AN81</f>
        <v>261.43</v>
      </c>
      <c r="BU144" s="23">
        <f>+BU179*BU10/90</f>
        <v>263.13086987951806</v>
      </c>
      <c r="BV144" s="23">
        <f>+'QTR Raw'!AP81</f>
        <v>124.12</v>
      </c>
      <c r="BW144" s="23">
        <f>+BW179*BW10/90</f>
        <v>113.5601282432375</v>
      </c>
      <c r="BX144" s="23">
        <f>+'QTR Raw'!AR81</f>
        <v>164.59</v>
      </c>
      <c r="BY144" s="23">
        <f>+BY179*BY10/90</f>
        <v>174.94553154462528</v>
      </c>
      <c r="BZ144" s="23">
        <f>+'QTR Raw'!AT81</f>
        <v>240.88</v>
      </c>
      <c r="CA144" s="23">
        <f>+CA179*CA10/90</f>
        <v>179.2699924978628</v>
      </c>
      <c r="CB144" s="23">
        <f>+'QTR Raw'!AV81</f>
        <v>300.91000000000003</v>
      </c>
      <c r="CC144" s="23">
        <f>+CC179*CC10/90</f>
        <v>393.17766226956621</v>
      </c>
      <c r="CD144" s="23">
        <f>+'QTR Raw'!AX81</f>
        <v>287.91000000000003</v>
      </c>
      <c r="CE144" s="23">
        <f>+CE179*CE10/90</f>
        <v>225.35683832934771</v>
      </c>
      <c r="CF144" s="23">
        <f>+'QTR Raw'!AZ81</f>
        <v>333.9</v>
      </c>
      <c r="CG144" s="23">
        <f>+CG179*CG10/90</f>
        <v>361.43520716741529</v>
      </c>
      <c r="CH144" s="23">
        <f t="shared" si="1192"/>
        <v>354.05</v>
      </c>
      <c r="CI144" s="23">
        <f>+CI179*CI10/90</f>
        <v>271.62510202050362</v>
      </c>
      <c r="CJ144" s="23">
        <f>+'QTR Raw'!BD81</f>
        <v>469.28</v>
      </c>
      <c r="CK144" s="24">
        <f t="shared" ref="CK144:DB144" si="1215">+CK179*CK10/90</f>
        <v>524.24072072072067</v>
      </c>
      <c r="CL144" s="23">
        <f>+'QTR Raw'!BF81</f>
        <v>360.43</v>
      </c>
      <c r="CM144" s="24">
        <f t="shared" si="1215"/>
        <v>226.31662042591614</v>
      </c>
      <c r="CN144" s="24">
        <f t="shared" si="1215"/>
        <v>206.08193087094199</v>
      </c>
      <c r="CO144" s="24">
        <f t="shared" si="1215"/>
        <v>236.57856253233876</v>
      </c>
      <c r="CP144" s="24">
        <f t="shared" si="1215"/>
        <v>371.56883787146791</v>
      </c>
      <c r="CQ144" s="24">
        <f t="shared" si="1215"/>
        <v>224.98015203925644</v>
      </c>
      <c r="CR144" s="24">
        <f t="shared" si="1215"/>
        <v>206.40274224780842</v>
      </c>
      <c r="CS144" s="24">
        <f t="shared" si="1215"/>
        <v>238.39243933280247</v>
      </c>
      <c r="CT144" s="24">
        <f t="shared" si="1215"/>
        <v>374.74787301407827</v>
      </c>
      <c r="CU144" s="24">
        <f t="shared" si="1215"/>
        <v>225.64801946230375</v>
      </c>
      <c r="CV144" s="24">
        <f t="shared" si="1215"/>
        <v>207.47335901851858</v>
      </c>
      <c r="CW144" s="24">
        <f t="shared" si="1215"/>
        <v>239.84534717915898</v>
      </c>
      <c r="CX144" s="24">
        <f t="shared" si="1215"/>
        <v>376.88448906924322</v>
      </c>
      <c r="CY144" s="24">
        <f t="shared" si="1215"/>
        <v>226.77353321793206</v>
      </c>
      <c r="CZ144" s="24">
        <f t="shared" si="1215"/>
        <v>208.6129597166447</v>
      </c>
      <c r="DA144" s="24">
        <f t="shared" si="1215"/>
        <v>241.18109124997912</v>
      </c>
      <c r="DB144" s="24">
        <f t="shared" si="1215"/>
        <v>378.93392470101242</v>
      </c>
      <c r="DE144" s="123"/>
      <c r="DF144" s="23">
        <v>360.43</v>
      </c>
    </row>
    <row r="145" spans="1:110" s="23" customFormat="1" outlineLevel="1" x14ac:dyDescent="0.2">
      <c r="A145" s="23" t="s">
        <v>62</v>
      </c>
      <c r="B145" s="23">
        <f>'Annual Raw'!C77</f>
        <v>32.511000000000003</v>
      </c>
      <c r="C145" s="23">
        <f>'Annual Raw'!D77</f>
        <v>46.301900000000003</v>
      </c>
      <c r="D145" s="23">
        <f>'Annual Raw'!E77</f>
        <v>40.213000000000001</v>
      </c>
      <c r="E145" s="23">
        <f>'Annual Raw'!F77</f>
        <v>44.159199999999998</v>
      </c>
      <c r="F145" s="23">
        <f>'Annual Raw'!G77</f>
        <v>43.188200000000002</v>
      </c>
      <c r="G145" s="23">
        <f>'Annual Raw'!H77</f>
        <v>44.830800000000004</v>
      </c>
      <c r="H145" s="23">
        <f>'Annual Raw'!I77</f>
        <v>50.8964</v>
      </c>
      <c r="I145" s="23">
        <f>'Annual Raw'!J77</f>
        <v>49.947099999999999</v>
      </c>
      <c r="J145" s="23">
        <f>'Annual Raw'!K77</f>
        <v>49.031500000000001</v>
      </c>
      <c r="K145" s="23">
        <f>'Annual Raw'!L77</f>
        <v>44.9724</v>
      </c>
      <c r="L145" s="23">
        <f>'Annual Raw'!M77</f>
        <v>52.275700000000001</v>
      </c>
      <c r="M145" s="23">
        <f>'Annual Raw'!N77</f>
        <v>100.2016</v>
      </c>
      <c r="N145" s="23">
        <f>'Annual Raw'!O77</f>
        <v>99.110799999999998</v>
      </c>
      <c r="O145" s="23">
        <f>'Annual Raw'!P77</f>
        <v>120.4521</v>
      </c>
      <c r="P145" s="23">
        <f>'Annual Raw'!Q77</f>
        <v>123.53660000000001</v>
      </c>
      <c r="Q145" s="23">
        <f>'Annual Raw'!R77</f>
        <v>129.3271</v>
      </c>
      <c r="R145" s="23">
        <f>'Annual Raw'!S77</f>
        <v>105.71</v>
      </c>
      <c r="S145" s="23">
        <f>'Annual Raw'!T77</f>
        <v>106.86</v>
      </c>
      <c r="T145" s="23">
        <f>'Annual Raw'!U77</f>
        <v>79.67</v>
      </c>
      <c r="U145" s="23">
        <f>'Annual Raw'!V77</f>
        <v>81.010000000000005</v>
      </c>
      <c r="V145" s="23">
        <f>'Annual Raw'!W77</f>
        <v>81.67</v>
      </c>
      <c r="W145" s="23">
        <f>'Annual Raw'!X77</f>
        <v>101.45</v>
      </c>
      <c r="X145" s="23">
        <f>'Annual Raw'!Y77</f>
        <v>95.36</v>
      </c>
      <c r="Y145" s="23">
        <f>'Annual Raw'!Z77</f>
        <v>119.2</v>
      </c>
      <c r="Z145" s="23">
        <f>'Annual Raw'!AA77</f>
        <v>148.16</v>
      </c>
      <c r="AA145" s="23">
        <f>'Annual Raw'!AB77</f>
        <v>190.14</v>
      </c>
      <c r="AB145" s="24">
        <f t="shared" si="1210"/>
        <v>196.01614414138913</v>
      </c>
      <c r="AC145" s="24">
        <f t="shared" si="1211"/>
        <v>197.6932013841712</v>
      </c>
      <c r="AD145" s="24">
        <f t="shared" si="1212"/>
        <v>198.82034445419606</v>
      </c>
      <c r="AE145" s="24">
        <f t="shared" si="1213"/>
        <v>199.90149666412481</v>
      </c>
      <c r="AJ145" s="23">
        <f>+'QTR Raw'!D82</f>
        <v>121.43</v>
      </c>
      <c r="AK145" s="23">
        <f>+AK180*AK10/90</f>
        <v>120.66251826980053</v>
      </c>
      <c r="AL145" s="23">
        <f>+'QTR Raw'!F82</f>
        <v>99.11</v>
      </c>
      <c r="AM145" s="23">
        <f>+AM180*AM10/90</f>
        <v>93.359326602244636</v>
      </c>
      <c r="AN145" s="23">
        <f>+'QTR Raw'!H82</f>
        <v>86.79</v>
      </c>
      <c r="AO145" s="23">
        <f>+AO180*AO10/90</f>
        <v>86.772885707524864</v>
      </c>
      <c r="AP145" s="23">
        <f>+'QTR Raw'!J82</f>
        <v>120.45</v>
      </c>
      <c r="AQ145" s="23">
        <f>+AQ180*AQ10/90</f>
        <v>89.497725850198194</v>
      </c>
      <c r="AR145" s="23">
        <f>+'QTR Raw'!L82</f>
        <v>81.8</v>
      </c>
      <c r="AS145" s="23">
        <f>+AS180*AS10/90</f>
        <v>92.046777067848922</v>
      </c>
      <c r="AT145" s="23">
        <f>+'QTR Raw'!N82</f>
        <v>123.54</v>
      </c>
      <c r="AU145" s="23">
        <f>+AU180*AU10/90</f>
        <v>94.197861820983718</v>
      </c>
      <c r="AV145" s="23">
        <f>+'QTR Raw'!P82</f>
        <v>77.400000000000006</v>
      </c>
      <c r="AW145" s="23">
        <f>+AW180*AW10/90</f>
        <v>71.781512743442988</v>
      </c>
      <c r="AX145" s="23">
        <f>+'QTR Raw'!R82</f>
        <v>129.33000000000001</v>
      </c>
      <c r="AY145" s="23">
        <f>+AY180*AY10/90</f>
        <v>88.781293005563768</v>
      </c>
      <c r="AZ145" s="23">
        <f>+'QTR Raw'!T82</f>
        <v>92.92</v>
      </c>
      <c r="BA145" s="23">
        <f>+BA180*BA10/90</f>
        <v>98.523709506978108</v>
      </c>
      <c r="BB145" s="23">
        <f>+'QTR Raw'!V82</f>
        <v>105.71</v>
      </c>
      <c r="BC145" s="23">
        <f>+BC180*BC10/90</f>
        <v>76.335626229309739</v>
      </c>
      <c r="BD145" s="23">
        <f>+'QTR Raw'!X82</f>
        <v>89.3</v>
      </c>
      <c r="BE145" s="23">
        <f>+BE180*BE10/90</f>
        <v>115.83696761703625</v>
      </c>
      <c r="BF145" s="23">
        <f>+'QTR Raw'!Z82</f>
        <v>106.86</v>
      </c>
      <c r="BG145" s="23">
        <f>+BG180*BG10/90</f>
        <v>84.437522276516248</v>
      </c>
      <c r="BH145" s="23">
        <f>+'QTR Raw'!AB82</f>
        <v>85.51</v>
      </c>
      <c r="BI145" s="23">
        <f>+BI180*BI10/90</f>
        <v>91.510928161786921</v>
      </c>
      <c r="BJ145" s="23">
        <f>+'QTR Raw'!AD82</f>
        <v>79.67</v>
      </c>
      <c r="BK145" s="23">
        <f>+BK180*BK10/90</f>
        <v>60.831482892861054</v>
      </c>
      <c r="BL145" s="23">
        <f>+'QTR Raw'!AF82</f>
        <v>50.77</v>
      </c>
      <c r="BM145" s="23">
        <f>+BM180*BM10/90</f>
        <v>48.317400233372226</v>
      </c>
      <c r="BN145" s="23">
        <f>+'QTR Raw'!AH82</f>
        <v>81.010000000000005</v>
      </c>
      <c r="BO145" s="23">
        <f>+BO180*BO10/90</f>
        <v>35.210633721474728</v>
      </c>
      <c r="BP145" s="23">
        <f>+'QTR Raw'!AJ82</f>
        <v>53.6</v>
      </c>
      <c r="BQ145" s="23">
        <f>+BQ180*BQ10/90</f>
        <v>58.624331870761871</v>
      </c>
      <c r="BR145" s="23">
        <f>+'QTR Raw'!AL82</f>
        <v>81.67</v>
      </c>
      <c r="BS145" s="23">
        <f>+BS180*BS10/90</f>
        <v>54.31382536826375</v>
      </c>
      <c r="BT145" s="23">
        <f>+'QTR Raw'!AN82</f>
        <v>79.56</v>
      </c>
      <c r="BU145" s="23">
        <f>+BU180*BU10/90</f>
        <v>80.07761927710844</v>
      </c>
      <c r="BV145" s="23">
        <f>+'QTR Raw'!AP82</f>
        <v>101.45</v>
      </c>
      <c r="BW145" s="23">
        <f>+BW180*BW10/90</f>
        <v>92.818844749246253</v>
      </c>
      <c r="BX145" s="23">
        <f>+'QTR Raw'!AR82</f>
        <v>56.89</v>
      </c>
      <c r="BY145" s="23">
        <f>+BY180*BY10/90</f>
        <v>60.46935591210724</v>
      </c>
      <c r="BZ145" s="23">
        <f>+'QTR Raw'!AT82</f>
        <v>95.36</v>
      </c>
      <c r="CA145" s="23">
        <f>+CA180*CA10/90</f>
        <v>70.969721374112396</v>
      </c>
      <c r="CB145" s="23">
        <f>+'QTR Raw'!AV82</f>
        <v>67.86</v>
      </c>
      <c r="CC145" s="23">
        <f>+CC180*CC10/90</f>
        <v>88.6678281267248</v>
      </c>
      <c r="CD145" s="23">
        <f>+'QTR Raw'!AX82</f>
        <v>119.2</v>
      </c>
      <c r="CE145" s="23">
        <f>+CE180*CE10/90</f>
        <v>93.301848247223944</v>
      </c>
      <c r="CF145" s="23">
        <f>+'QTR Raw'!AZ82</f>
        <v>89.51</v>
      </c>
      <c r="CG145" s="23">
        <f>+CG180*CG10/90</f>
        <v>96.891480663538019</v>
      </c>
      <c r="CH145" s="23">
        <f t="shared" si="1192"/>
        <v>148.16</v>
      </c>
      <c r="CI145" s="23">
        <f>+CI180*CI10/90</f>
        <v>113.66749079327161</v>
      </c>
      <c r="CJ145" s="23">
        <f>+'QTR Raw'!BD82</f>
        <v>83.72</v>
      </c>
      <c r="CK145" s="24">
        <f t="shared" ref="CK145:DB145" si="1216">+CK180*CK10/90</f>
        <v>93.525045045045019</v>
      </c>
      <c r="CL145" s="23">
        <f>+'QTR Raw'!BF82</f>
        <v>190.14</v>
      </c>
      <c r="CM145" s="24">
        <f t="shared" si="1216"/>
        <v>119.39028995306631</v>
      </c>
      <c r="CN145" s="24">
        <f t="shared" si="1216"/>
        <v>108.71575156285799</v>
      </c>
      <c r="CO145" s="24">
        <f t="shared" si="1216"/>
        <v>124.80383952473125</v>
      </c>
      <c r="CP145" s="24">
        <f t="shared" si="1216"/>
        <v>196.01614414138913</v>
      </c>
      <c r="CQ145" s="24">
        <f t="shared" si="1216"/>
        <v>118.68525402642457</v>
      </c>
      <c r="CR145" s="24">
        <f t="shared" si="1216"/>
        <v>108.88499129095328</v>
      </c>
      <c r="CS145" s="24">
        <f t="shared" si="1216"/>
        <v>125.76072584063216</v>
      </c>
      <c r="CT145" s="24">
        <f t="shared" si="1216"/>
        <v>197.6932013841712</v>
      </c>
      <c r="CU145" s="24">
        <f t="shared" si="1216"/>
        <v>119.03757850501465</v>
      </c>
      <c r="CV145" s="24">
        <f t="shared" si="1216"/>
        <v>109.44978077235834</v>
      </c>
      <c r="CW145" s="24">
        <f t="shared" si="1216"/>
        <v>126.52718783854087</v>
      </c>
      <c r="CX145" s="24">
        <f t="shared" si="1216"/>
        <v>198.82034445419606</v>
      </c>
      <c r="CY145" s="24">
        <f t="shared" si="1216"/>
        <v>119.63132815264433</v>
      </c>
      <c r="CZ145" s="24">
        <f t="shared" si="1216"/>
        <v>110.05096179708352</v>
      </c>
      <c r="DA145" s="24">
        <f t="shared" si="1216"/>
        <v>127.23184166210089</v>
      </c>
      <c r="DB145" s="24">
        <f t="shared" si="1216"/>
        <v>199.90149666412481</v>
      </c>
      <c r="DE145" s="123"/>
      <c r="DF145" s="23">
        <v>190.14</v>
      </c>
    </row>
    <row r="146" spans="1:110" s="23" customFormat="1" outlineLevel="1" x14ac:dyDescent="0.2">
      <c r="A146" s="23" t="s">
        <v>63</v>
      </c>
      <c r="B146" s="23">
        <f>'Annual Raw'!C79</f>
        <v>1.0336000000000001</v>
      </c>
      <c r="C146" s="23">
        <f>'Annual Raw'!D79</f>
        <v>1.2211000000000001</v>
      </c>
      <c r="D146" s="23">
        <f>'Annual Raw'!E79</f>
        <v>2.6579999999999999</v>
      </c>
      <c r="E146" s="23">
        <f>'Annual Raw'!F79</f>
        <v>2.3336000000000001</v>
      </c>
      <c r="F146" s="23">
        <f>'Annual Raw'!G79</f>
        <v>2.9741</v>
      </c>
      <c r="G146" s="23">
        <f>'Annual Raw'!H79</f>
        <v>2.2454000000000001</v>
      </c>
      <c r="H146" s="23">
        <f>'Annual Raw'!I79</f>
        <v>1.6265000000000001</v>
      </c>
      <c r="I146" s="23">
        <f>'Annual Raw'!J79</f>
        <v>1.3777999999999999</v>
      </c>
      <c r="J146" s="23">
        <f>'Annual Raw'!K79</f>
        <v>1.5228999999999999</v>
      </c>
      <c r="K146" s="23">
        <f>'Annual Raw'!L79</f>
        <v>1.9444999999999999</v>
      </c>
      <c r="L146" s="23">
        <f>'Annual Raw'!M79</f>
        <v>6.7369000000000003</v>
      </c>
      <c r="M146" s="23">
        <f>'Annual Raw'!N79</f>
        <v>4.2965</v>
      </c>
      <c r="N146" s="23">
        <f>'Annual Raw'!O79</f>
        <v>5.2119999999999997</v>
      </c>
      <c r="O146" s="23">
        <f>'Annual Raw'!P79</f>
        <v>8.3155000000000001</v>
      </c>
      <c r="P146" s="23">
        <f>'Annual Raw'!Q79</f>
        <v>9.4118999999999993</v>
      </c>
      <c r="Q146" s="23">
        <f>'Annual Raw'!R79</f>
        <v>7.8598999999999997</v>
      </c>
      <c r="R146" s="23">
        <f>'Annual Raw'!S79</f>
        <v>10.99</v>
      </c>
      <c r="S146" s="23">
        <f>'Annual Raw'!T79</f>
        <v>7.37</v>
      </c>
      <c r="T146" s="23">
        <f>'Annual Raw'!U79</f>
        <v>7.62</v>
      </c>
      <c r="U146" s="23">
        <f>'Annual Raw'!V79</f>
        <v>4.97</v>
      </c>
      <c r="V146" s="23">
        <f>'Annual Raw'!W79</f>
        <v>5.3</v>
      </c>
      <c r="W146" s="23">
        <f>'Annual Raw'!X79</f>
        <v>12.69</v>
      </c>
      <c r="X146" s="23">
        <f>'Annual Raw'!Y79</f>
        <v>6.94</v>
      </c>
      <c r="Y146" s="23">
        <f>'Annual Raw'!Z79</f>
        <v>6.74</v>
      </c>
      <c r="Z146" s="23">
        <f>'Annual Raw'!AA79</f>
        <v>5.23</v>
      </c>
      <c r="AA146" s="23">
        <f>'Annual Raw'!AB79</f>
        <v>5.46</v>
      </c>
      <c r="AB146" s="24">
        <f t="shared" si="1210"/>
        <v>669.5001813913027</v>
      </c>
      <c r="AC146" s="24">
        <f t="shared" si="1211"/>
        <v>675.22823064543104</v>
      </c>
      <c r="AD146" s="24">
        <f t="shared" si="1212"/>
        <v>679.07802828909485</v>
      </c>
      <c r="AE146" s="24">
        <f t="shared" si="1213"/>
        <v>682.77074249806731</v>
      </c>
      <c r="AJ146" s="23">
        <f>+'QTR Raw'!D84</f>
        <v>2.76</v>
      </c>
      <c r="AK146" s="23">
        <f t="shared" si="1214"/>
        <v>2.76</v>
      </c>
      <c r="AL146" s="23">
        <f>+'QTR Raw'!F84</f>
        <v>3.7</v>
      </c>
      <c r="AM146" s="23">
        <f t="shared" si="1214"/>
        <v>3.7</v>
      </c>
      <c r="AN146" s="23">
        <f>+'QTR Raw'!H84</f>
        <v>4.3499999999999996</v>
      </c>
      <c r="AO146" s="23">
        <f t="shared" si="1214"/>
        <v>4.3499999999999996</v>
      </c>
      <c r="AP146" s="23">
        <f>+'QTR Raw'!J84</f>
        <v>6.84</v>
      </c>
      <c r="AQ146" s="23">
        <f t="shared" si="1214"/>
        <v>6.84</v>
      </c>
      <c r="AR146" s="23">
        <f>+'QTR Raw'!L84</f>
        <v>5.31</v>
      </c>
      <c r="AS146" s="23">
        <f t="shared" si="1214"/>
        <v>5.31</v>
      </c>
      <c r="AT146" s="23">
        <f>+'QTR Raw'!N84</f>
        <v>7.62</v>
      </c>
      <c r="AU146" s="23">
        <f t="shared" si="1214"/>
        <v>7.62</v>
      </c>
      <c r="AV146" s="23">
        <f>+'QTR Raw'!P84</f>
        <v>6.58</v>
      </c>
      <c r="AW146" s="23">
        <f t="shared" si="1214"/>
        <v>6.58</v>
      </c>
      <c r="AX146" s="23">
        <f>+'QTR Raw'!R84</f>
        <v>6.27</v>
      </c>
      <c r="AY146" s="23">
        <f t="shared" si="1214"/>
        <v>6.27</v>
      </c>
      <c r="AZ146" s="23">
        <f>+'QTR Raw'!T84</f>
        <v>5.69</v>
      </c>
      <c r="BA146" s="23">
        <f t="shared" si="1214"/>
        <v>5.69</v>
      </c>
      <c r="BB146" s="23">
        <f>+'QTR Raw'!V84</f>
        <v>42.67</v>
      </c>
      <c r="BC146" s="23">
        <f t="shared" si="1214"/>
        <v>42.67</v>
      </c>
      <c r="BD146" s="23">
        <f>+'QTR Raw'!X84</f>
        <v>39.53</v>
      </c>
      <c r="BE146" s="23">
        <f t="shared" si="1214"/>
        <v>39.53</v>
      </c>
      <c r="BF146" s="23">
        <f>+'QTR Raw'!Z84</f>
        <v>24.43</v>
      </c>
      <c r="BG146" s="23">
        <f t="shared" si="1214"/>
        <v>24.43</v>
      </c>
      <c r="BH146" s="23">
        <f>+'QTR Raw'!AB84</f>
        <v>18.39</v>
      </c>
      <c r="BI146" s="23">
        <f t="shared" si="1214"/>
        <v>18.39</v>
      </c>
      <c r="BJ146" s="23">
        <f>+'QTR Raw'!AD84</f>
        <v>56.48</v>
      </c>
      <c r="BK146" s="23">
        <f t="shared" si="1214"/>
        <v>56.48</v>
      </c>
      <c r="BL146" s="23">
        <f>+'QTR Raw'!AF84</f>
        <v>61.77</v>
      </c>
      <c r="BM146" s="23">
        <f t="shared" si="1214"/>
        <v>61.77</v>
      </c>
      <c r="BN146" s="23">
        <f>+'QTR Raw'!AH84</f>
        <v>23.42</v>
      </c>
      <c r="BO146" s="23">
        <f t="shared" si="1214"/>
        <v>23.42</v>
      </c>
      <c r="BP146" s="23">
        <f>+'QTR Raw'!AJ84</f>
        <v>50.09</v>
      </c>
      <c r="BQ146" s="23">
        <f t="shared" si="1214"/>
        <v>50.09</v>
      </c>
      <c r="BR146" s="23">
        <f>+'QTR Raw'!AL84</f>
        <v>48.31</v>
      </c>
      <c r="BS146" s="23">
        <f t="shared" si="1214"/>
        <v>48.31</v>
      </c>
      <c r="BT146" s="23">
        <f>+'QTR Raw'!AN84</f>
        <v>45.27</v>
      </c>
      <c r="BU146" s="23">
        <f t="shared" si="1214"/>
        <v>45.27</v>
      </c>
      <c r="BV146" s="23">
        <f>+'QTR Raw'!AP84</f>
        <v>37.49</v>
      </c>
      <c r="BW146" s="23">
        <f t="shared" si="1214"/>
        <v>37.49</v>
      </c>
      <c r="BX146" s="23">
        <f>+'QTR Raw'!AR84</f>
        <v>31.81</v>
      </c>
      <c r="BY146" s="23">
        <f t="shared" si="1214"/>
        <v>31.81</v>
      </c>
      <c r="BZ146" s="23">
        <f>+'QTR Raw'!AT84</f>
        <v>24.73</v>
      </c>
      <c r="CA146" s="23">
        <f t="shared" si="1214"/>
        <v>24.73</v>
      </c>
      <c r="CB146" s="23">
        <f>+'QTR Raw'!AV84</f>
        <v>30.69</v>
      </c>
      <c r="CC146" s="23">
        <f t="shared" si="1214"/>
        <v>30.69</v>
      </c>
      <c r="CD146" s="23">
        <f>+'QTR Raw'!AX84</f>
        <v>34.19</v>
      </c>
      <c r="CE146" s="23">
        <f t="shared" si="1214"/>
        <v>34.19</v>
      </c>
      <c r="CF146" s="23">
        <f>+'QTR Raw'!AZ84</f>
        <v>39.68</v>
      </c>
      <c r="CG146" s="23">
        <f t="shared" ref="CG146:CG147" si="1217">+CF146</f>
        <v>39.68</v>
      </c>
      <c r="CH146" s="23">
        <f t="shared" si="1192"/>
        <v>5.23</v>
      </c>
      <c r="CI146" s="23">
        <f>CI10/90*CI181</f>
        <v>175.4726545237383</v>
      </c>
      <c r="CJ146" s="23">
        <f>+'QTR Raw'!BD84</f>
        <v>79.459999999999994</v>
      </c>
      <c r="CK146" s="24">
        <f t="shared" ref="CK146:DB146" si="1218">CK10/90*CK181</f>
        <v>257.84180180180203</v>
      </c>
      <c r="CL146" s="23">
        <f>+'QTR Raw'!BF84</f>
        <v>17.86</v>
      </c>
      <c r="CM146" s="24">
        <f t="shared" si="1218"/>
        <v>407.78182394141061</v>
      </c>
      <c r="CN146" s="24">
        <f t="shared" si="1218"/>
        <v>371.32255463062398</v>
      </c>
      <c r="CO146" s="24">
        <f t="shared" si="1218"/>
        <v>426.27199696300715</v>
      </c>
      <c r="CP146" s="24">
        <f t="shared" si="1218"/>
        <v>669.5001813913027</v>
      </c>
      <c r="CQ146" s="24">
        <f t="shared" si="1218"/>
        <v>405.37374840844058</v>
      </c>
      <c r="CR146" s="24">
        <f t="shared" si="1218"/>
        <v>371.90059900117683</v>
      </c>
      <c r="CS146" s="24">
        <f t="shared" si="1218"/>
        <v>429.54027654718476</v>
      </c>
      <c r="CT146" s="24">
        <f t="shared" si="1218"/>
        <v>675.22823064543104</v>
      </c>
      <c r="CU146" s="24">
        <f t="shared" si="1218"/>
        <v>406.57712532087737</v>
      </c>
      <c r="CV146" s="24">
        <f t="shared" si="1218"/>
        <v>373.82965776266252</v>
      </c>
      <c r="CW146" s="24">
        <f t="shared" si="1218"/>
        <v>432.15815503304702</v>
      </c>
      <c r="CX146" s="24">
        <f t="shared" si="1218"/>
        <v>679.07802828909485</v>
      </c>
      <c r="CY146" s="24">
        <f t="shared" si="1218"/>
        <v>408.60509857037852</v>
      </c>
      <c r="CZ146" s="24">
        <f t="shared" si="1218"/>
        <v>375.88301314757513</v>
      </c>
      <c r="DA146" s="24">
        <f t="shared" si="1218"/>
        <v>434.56492547921613</v>
      </c>
      <c r="DB146" s="24">
        <f t="shared" si="1218"/>
        <v>682.77074249806731</v>
      </c>
      <c r="DE146" s="123"/>
      <c r="DF146" s="23">
        <v>17.86</v>
      </c>
    </row>
    <row r="147" spans="1:110" s="23" customFormat="1" outlineLevel="1" x14ac:dyDescent="0.2">
      <c r="A147" s="23" t="s">
        <v>64</v>
      </c>
      <c r="B147" s="23">
        <f>'Annual Raw'!C80</f>
        <v>21.1998</v>
      </c>
      <c r="C147" s="23">
        <f>'Annual Raw'!D80</f>
        <v>26.1496</v>
      </c>
      <c r="D147" s="23">
        <f>'Annual Raw'!E80</f>
        <v>25.032499999999999</v>
      </c>
      <c r="E147" s="23">
        <f>'Annual Raw'!F80</f>
        <v>13.912699999999999</v>
      </c>
      <c r="F147" s="23">
        <f>'Annual Raw'!G80</f>
        <v>19.823499999999999</v>
      </c>
      <c r="G147" s="23">
        <f>'Annual Raw'!H80</f>
        <v>20.269300000000001</v>
      </c>
      <c r="H147" s="23">
        <f>'Annual Raw'!I80</f>
        <v>35.527500000000003</v>
      </c>
      <c r="I147" s="23">
        <f>'Annual Raw'!J80</f>
        <v>33.043900000000001</v>
      </c>
      <c r="J147" s="23">
        <f>'Annual Raw'!K80</f>
        <v>29.0503</v>
      </c>
      <c r="K147" s="23">
        <f>'Annual Raw'!L80</f>
        <v>40.685099999999998</v>
      </c>
      <c r="L147" s="23">
        <f>'Annual Raw'!M80</f>
        <v>231.92760000000001</v>
      </c>
      <c r="M147" s="23">
        <f>'Annual Raw'!N80</f>
        <v>126.2234</v>
      </c>
      <c r="N147" s="23">
        <f>'Annual Raw'!O80</f>
        <v>91.288799999999995</v>
      </c>
      <c r="O147" s="23">
        <f>'Annual Raw'!P80</f>
        <v>92.116399999999999</v>
      </c>
      <c r="P147" s="23">
        <f>'Annual Raw'!Q80</f>
        <v>104.5591</v>
      </c>
      <c r="Q147" s="23">
        <f>'Annual Raw'!R80</f>
        <v>112.19029999999999</v>
      </c>
      <c r="R147" s="23">
        <f>'Annual Raw'!S80</f>
        <v>33.74</v>
      </c>
      <c r="S147" s="23">
        <f>'Annual Raw'!T80</f>
        <v>17.059999999999999</v>
      </c>
      <c r="T147" s="23">
        <f>'Annual Raw'!U80</f>
        <v>49.48</v>
      </c>
      <c r="U147" s="23">
        <f>'Annual Raw'!V80</f>
        <v>18.45</v>
      </c>
      <c r="V147" s="23">
        <f>'Annual Raw'!W80</f>
        <v>43.01</v>
      </c>
      <c r="W147" s="23">
        <f>'Annual Raw'!X80</f>
        <v>24.8</v>
      </c>
      <c r="X147" s="23">
        <f>'Annual Raw'!Y80</f>
        <v>17.79</v>
      </c>
      <c r="Y147" s="23">
        <f>'Annual Raw'!Z80</f>
        <v>27.45</v>
      </c>
      <c r="Z147" s="23">
        <f>'Annual Raw'!AA80</f>
        <v>66.010000000000005</v>
      </c>
      <c r="AA147" s="23">
        <f>'Annual Raw'!AB80</f>
        <v>12.4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119.74</v>
      </c>
      <c r="AK147" s="23">
        <f t="shared" si="1214"/>
        <v>119.74</v>
      </c>
      <c r="AL147" s="23">
        <f>+'QTR Raw'!F85</f>
        <v>92.8</v>
      </c>
      <c r="AM147" s="23">
        <f t="shared" si="1214"/>
        <v>92.8</v>
      </c>
      <c r="AN147" s="23">
        <f>+'QTR Raw'!H85</f>
        <v>102.08</v>
      </c>
      <c r="AO147" s="23">
        <f t="shared" si="1214"/>
        <v>102.08</v>
      </c>
      <c r="AP147" s="23">
        <f>+'QTR Raw'!J85</f>
        <v>93.59</v>
      </c>
      <c r="AQ147" s="23">
        <f t="shared" si="1214"/>
        <v>93.59</v>
      </c>
      <c r="AR147" s="23">
        <f>+'QTR Raw'!L85</f>
        <v>96.6</v>
      </c>
      <c r="AS147" s="23">
        <f t="shared" si="1214"/>
        <v>96.6</v>
      </c>
      <c r="AT147" s="23">
        <f>+'QTR Raw'!N85</f>
        <v>106.35</v>
      </c>
      <c r="AU147" s="23">
        <f t="shared" si="1214"/>
        <v>106.35</v>
      </c>
      <c r="AV147" s="23">
        <f>+'QTR Raw'!P85</f>
        <v>112.21</v>
      </c>
      <c r="AW147" s="23">
        <f t="shared" si="1214"/>
        <v>112.21</v>
      </c>
      <c r="AX147" s="23">
        <f>+'QTR Raw'!R85</f>
        <v>113.78</v>
      </c>
      <c r="AY147" s="23">
        <f t="shared" si="1214"/>
        <v>113.78</v>
      </c>
      <c r="AZ147" s="23">
        <f>+'QTR Raw'!T85</f>
        <v>126.12</v>
      </c>
      <c r="BA147" s="23">
        <f t="shared" si="1214"/>
        <v>126.12</v>
      </c>
      <c r="BB147" s="23">
        <f>+'QTR Raw'!V85</f>
        <v>2.06</v>
      </c>
      <c r="BC147" s="23">
        <f t="shared" si="1214"/>
        <v>2.06</v>
      </c>
      <c r="BD147" s="23">
        <f>+'QTR Raw'!X85</f>
        <v>5.4</v>
      </c>
      <c r="BE147" s="23">
        <f t="shared" si="1214"/>
        <v>5.4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0.62</v>
      </c>
      <c r="BK147" s="23">
        <f t="shared" si="1214"/>
        <v>0.62</v>
      </c>
      <c r="BL147" s="23">
        <f>+'QTR Raw'!AF85</f>
        <v>0.63</v>
      </c>
      <c r="BM147" s="23">
        <f t="shared" si="1214"/>
        <v>0.63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</v>
      </c>
      <c r="CA147" s="23">
        <f t="shared" si="1214"/>
        <v>0</v>
      </c>
      <c r="CB147" s="23">
        <f>+'QTR Raw'!AV85</f>
        <v>0</v>
      </c>
      <c r="CC147" s="23">
        <f t="shared" si="1214"/>
        <v>0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66.010000000000005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104.4325</v>
      </c>
      <c r="C148" s="22">
        <f t="shared" ref="C148:V148" si="1219">SUM(C142:C147)</f>
        <v>104.58190000000002</v>
      </c>
      <c r="D148" s="22">
        <f t="shared" si="1219"/>
        <v>95.889499999999998</v>
      </c>
      <c r="E148" s="22">
        <f t="shared" si="1219"/>
        <v>103.81910000000001</v>
      </c>
      <c r="F148" s="22">
        <f t="shared" si="1219"/>
        <v>112.93989999999999</v>
      </c>
      <c r="G148" s="22">
        <f t="shared" si="1219"/>
        <v>117.30430000000001</v>
      </c>
      <c r="H148" s="22">
        <f t="shared" si="1219"/>
        <v>143.02109999999999</v>
      </c>
      <c r="I148" s="22">
        <f t="shared" si="1219"/>
        <v>154.88999999999999</v>
      </c>
      <c r="J148" s="22">
        <f t="shared" si="1219"/>
        <v>148.05029999999999</v>
      </c>
      <c r="K148" s="22">
        <f t="shared" si="1219"/>
        <v>135.4117</v>
      </c>
      <c r="L148" s="22">
        <f>SUM(L142:L147)</f>
        <v>338.5256</v>
      </c>
      <c r="M148" s="22">
        <f>SUM(M142:M147)</f>
        <v>323.75839999999999</v>
      </c>
      <c r="N148" s="22">
        <f t="shared" si="1219"/>
        <v>305.16559999999998</v>
      </c>
      <c r="O148" s="22">
        <f t="shared" si="1219"/>
        <v>356.3612</v>
      </c>
      <c r="P148" s="22">
        <f t="shared" si="1219"/>
        <v>395.0308</v>
      </c>
      <c r="Q148" s="22">
        <f t="shared" si="1219"/>
        <v>388.78339999999997</v>
      </c>
      <c r="R148" s="22">
        <f t="shared" si="1219"/>
        <v>314.52</v>
      </c>
      <c r="S148" s="22">
        <f t="shared" si="1219"/>
        <v>316.41000000000003</v>
      </c>
      <c r="T148" s="22">
        <f t="shared" si="1219"/>
        <v>309.95000000000005</v>
      </c>
      <c r="U148" s="22">
        <f t="shared" si="1219"/>
        <v>299.64000000000004</v>
      </c>
      <c r="V148" s="22">
        <f t="shared" si="1219"/>
        <v>378.46</v>
      </c>
      <c r="W148" s="22">
        <f t="shared" ref="W148" si="1220">SUM(W142:W147)</f>
        <v>309.23</v>
      </c>
      <c r="X148" s="22">
        <f t="shared" ref="X148:Y148" si="1221">SUM(X142:X147)</f>
        <v>556.33000000000004</v>
      </c>
      <c r="Y148" s="22">
        <f t="shared" si="1221"/>
        <v>710.82000000000016</v>
      </c>
      <c r="Z148" s="22">
        <f t="shared" ref="Z148:AA148" si="1222">SUM(Z142:Z147)</f>
        <v>730.93</v>
      </c>
      <c r="AA148" s="22">
        <f t="shared" si="1222"/>
        <v>1200</v>
      </c>
      <c r="AB148" s="21">
        <f t="shared" ref="AA148:AD148" si="1223">SUM(AB142:AB147)</f>
        <v>1237.0851634041596</v>
      </c>
      <c r="AC148" s="21">
        <f t="shared" si="1223"/>
        <v>1247.6693050436807</v>
      </c>
      <c r="AD148" s="21">
        <f t="shared" si="1223"/>
        <v>1254.7828618125341</v>
      </c>
      <c r="AE148" s="21">
        <f t="shared" ref="AE148" si="1224">SUM(AE142:AE147)</f>
        <v>1261.6061638632045</v>
      </c>
      <c r="AJ148" s="22">
        <f t="shared" ref="AJ148" si="1225">SUM(AJ142:AJ147)</f>
        <v>312.01</v>
      </c>
      <c r="AK148" s="22">
        <f t="shared" ref="AK148" si="1226">SUM(AK142:AK147)</f>
        <v>310.85571202844164</v>
      </c>
      <c r="AL148" s="22">
        <f t="shared" ref="AL148:AM148" si="1227">SUM(AL142:AL147)</f>
        <v>305.17</v>
      </c>
      <c r="AM148" s="22">
        <f t="shared" si="1227"/>
        <v>294.36377042076521</v>
      </c>
      <c r="AN148" s="22">
        <f t="shared" ref="AN148:AO148" si="1228">SUM(AN142:AN147)</f>
        <v>321.07</v>
      </c>
      <c r="AO148" s="22">
        <f t="shared" si="1228"/>
        <v>321.03219632434138</v>
      </c>
      <c r="AP148" s="22">
        <f t="shared" ref="AP148:CE148" si="1229">SUM(AP142:AP147)</f>
        <v>356.36</v>
      </c>
      <c r="AQ148" s="22">
        <f t="shared" si="1229"/>
        <v>296.55234300020862</v>
      </c>
      <c r="AR148" s="22">
        <f t="shared" si="1229"/>
        <v>392.08000000000004</v>
      </c>
      <c r="AS148" s="22">
        <f t="shared" si="1229"/>
        <v>425.46720650236887</v>
      </c>
      <c r="AT148" s="22">
        <f t="shared" si="1229"/>
        <v>395.03</v>
      </c>
      <c r="AU148" s="22">
        <f t="shared" si="1229"/>
        <v>333.76160138692694</v>
      </c>
      <c r="AV148" s="22">
        <f t="shared" si="1229"/>
        <v>414.54999999999995</v>
      </c>
      <c r="AW148" s="22">
        <f t="shared" si="1229"/>
        <v>395.38979701074641</v>
      </c>
      <c r="AX148" s="22">
        <f t="shared" si="1229"/>
        <v>388.78999999999996</v>
      </c>
      <c r="AY148" s="22">
        <f t="shared" si="1229"/>
        <v>312.47703871920066</v>
      </c>
      <c r="AZ148" s="22">
        <f t="shared" si="1229"/>
        <v>414.62</v>
      </c>
      <c r="BA148" s="22">
        <f t="shared" si="1229"/>
        <v>430.12608898444046</v>
      </c>
      <c r="BB148" s="22">
        <f t="shared" si="1229"/>
        <v>314.52</v>
      </c>
      <c r="BC148" s="22">
        <f t="shared" si="1229"/>
        <v>249.30783429660784</v>
      </c>
      <c r="BD148" s="22">
        <f t="shared" si="1229"/>
        <v>314.14</v>
      </c>
      <c r="BE148" s="22">
        <f t="shared" si="1229"/>
        <v>388.35733104540645</v>
      </c>
      <c r="BF148" s="22">
        <f t="shared" si="1229"/>
        <v>316.41000000000003</v>
      </c>
      <c r="BG148" s="22">
        <f t="shared" si="1229"/>
        <v>260.88048002299513</v>
      </c>
      <c r="BH148" s="22">
        <f t="shared" si="1229"/>
        <v>288.16999999999996</v>
      </c>
      <c r="BI148" s="22">
        <f t="shared" si="1229"/>
        <v>304.61904165408998</v>
      </c>
      <c r="BJ148" s="22">
        <f t="shared" si="1229"/>
        <v>309.95000000000005</v>
      </c>
      <c r="BK148" s="22">
        <f t="shared" si="1229"/>
        <v>259.29148481193113</v>
      </c>
      <c r="BL148" s="22">
        <f t="shared" si="1229"/>
        <v>317.65999999999997</v>
      </c>
      <c r="BM148" s="22">
        <f t="shared" si="1229"/>
        <v>306.97329288214695</v>
      </c>
      <c r="BN148" s="22">
        <f t="shared" si="1229"/>
        <v>299.64000000000004</v>
      </c>
      <c r="BO148" s="22">
        <f t="shared" si="1229"/>
        <v>158.04697093622201</v>
      </c>
      <c r="BP148" s="22">
        <f t="shared" si="1229"/>
        <v>466.40999999999997</v>
      </c>
      <c r="BQ148" s="22">
        <f t="shared" si="1229"/>
        <v>502.99107299561229</v>
      </c>
      <c r="BR148" s="22">
        <f t="shared" si="1229"/>
        <v>378.46</v>
      </c>
      <c r="BS148" s="22">
        <f t="shared" si="1229"/>
        <v>274.98418920979594</v>
      </c>
      <c r="BT148" s="22">
        <f t="shared" si="1229"/>
        <v>405.71999999999997</v>
      </c>
      <c r="BU148" s="22">
        <f t="shared" si="1229"/>
        <v>407.93848915662647</v>
      </c>
      <c r="BV148" s="22">
        <f t="shared" si="1229"/>
        <v>309.23</v>
      </c>
      <c r="BW148" s="22">
        <f t="shared" si="1229"/>
        <v>290.03897299248376</v>
      </c>
      <c r="BX148" s="22">
        <f t="shared" si="1229"/>
        <v>622.9</v>
      </c>
      <c r="BY148" s="22">
        <f t="shared" si="1229"/>
        <v>636.83488745673253</v>
      </c>
      <c r="BZ148" s="22">
        <f t="shared" si="1229"/>
        <v>556.33000000000004</v>
      </c>
      <c r="CA148" s="22">
        <f t="shared" si="1229"/>
        <v>470.32971387197523</v>
      </c>
      <c r="CB148" s="22">
        <f t="shared" si="1229"/>
        <v>563.00000000000011</v>
      </c>
      <c r="CC148" s="22">
        <f t="shared" si="1229"/>
        <v>676.075490396291</v>
      </c>
      <c r="CD148" s="22">
        <f t="shared" si="1229"/>
        <v>710.82000000000016</v>
      </c>
      <c r="CE148" s="22">
        <f t="shared" si="1229"/>
        <v>622.36868657657169</v>
      </c>
      <c r="CF148" s="22">
        <f t="shared" ref="CF148:CG148" si="1230">SUM(CF142:CF147)</f>
        <v>600.02</v>
      </c>
      <c r="CG148" s="22">
        <f t="shared" si="1230"/>
        <v>634.93668783095325</v>
      </c>
      <c r="CH148" s="22">
        <f t="shared" ref="CH148:CI148" si="1231">SUM(CH142:CH147)</f>
        <v>730.93</v>
      </c>
      <c r="CI148" s="22">
        <f t="shared" si="1231"/>
        <v>560.76524733751353</v>
      </c>
      <c r="CJ148" s="22">
        <f t="shared" ref="CJ148:DB148" si="1232">SUM(CJ142:CJ147)</f>
        <v>783.81000000000006</v>
      </c>
      <c r="CK148" s="21">
        <f t="shared" si="1232"/>
        <v>875.60756756756768</v>
      </c>
      <c r="CL148" s="22">
        <f t="shared" ref="CL148" si="1233">SUM(CL142:CL147)</f>
        <v>1199.9999999999998</v>
      </c>
      <c r="CM148" s="21">
        <f t="shared" si="1232"/>
        <v>753.48873432039306</v>
      </c>
      <c r="CN148" s="21">
        <f t="shared" si="1232"/>
        <v>686.12023706442392</v>
      </c>
      <c r="CO148" s="21">
        <f t="shared" si="1232"/>
        <v>787.65439902007711</v>
      </c>
      <c r="CP148" s="21">
        <f t="shared" si="1232"/>
        <v>1237.0851634041596</v>
      </c>
      <c r="CQ148" s="21">
        <f t="shared" si="1232"/>
        <v>749.03915447412157</v>
      </c>
      <c r="CR148" s="21">
        <f t="shared" si="1232"/>
        <v>687.18833253993853</v>
      </c>
      <c r="CS148" s="21">
        <f t="shared" si="1232"/>
        <v>793.69344172061938</v>
      </c>
      <c r="CT148" s="21">
        <f t="shared" si="1232"/>
        <v>1247.6693050436807</v>
      </c>
      <c r="CU148" s="21">
        <f t="shared" si="1232"/>
        <v>751.26272328819573</v>
      </c>
      <c r="CV148" s="21">
        <f t="shared" si="1232"/>
        <v>690.75279755353949</v>
      </c>
      <c r="CW148" s="21">
        <f t="shared" si="1232"/>
        <v>798.5306900507469</v>
      </c>
      <c r="CX148" s="21">
        <f t="shared" si="1232"/>
        <v>1254.7828618125341</v>
      </c>
      <c r="CY148" s="21">
        <f t="shared" si="1232"/>
        <v>755.0099599409549</v>
      </c>
      <c r="CZ148" s="21">
        <f t="shared" si="1232"/>
        <v>694.54693466130334</v>
      </c>
      <c r="DA148" s="21">
        <f t="shared" si="1232"/>
        <v>802.97785839129619</v>
      </c>
      <c r="DB148" s="21">
        <f t="shared" si="1232"/>
        <v>1261.6061638632045</v>
      </c>
      <c r="DE148" s="126"/>
      <c r="DF148" s="22">
        <v>1199.9999999999998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10.091100000000001</v>
      </c>
      <c r="M149" s="23">
        <f>'Annual Raw'!N50+'Annual Raw'!N58</f>
        <v>10.069100000000001</v>
      </c>
      <c r="N149" s="23">
        <f>'Annual Raw'!O50+'Annual Raw'!O58</f>
        <v>13.4222</v>
      </c>
      <c r="O149" s="23">
        <f>'Annual Raw'!P50+'Annual Raw'!P58</f>
        <v>14.64</v>
      </c>
      <c r="P149" s="23">
        <f>'Annual Raw'!Q50+'Annual Raw'!Q58</f>
        <v>15.519500000000001</v>
      </c>
      <c r="Q149" s="23">
        <f>'Annual Raw'!R50+'Annual Raw'!R58</f>
        <v>14.7905</v>
      </c>
      <c r="R149" s="23">
        <f>'Annual Raw'!S50+'Annual Raw'!S58</f>
        <v>20.78</v>
      </c>
      <c r="S149" s="23">
        <f>'Annual Raw'!T50+'Annual Raw'!T58</f>
        <v>20.39</v>
      </c>
      <c r="T149" s="23">
        <f>'Annual Raw'!U50+'Annual Raw'!U58</f>
        <v>20.29</v>
      </c>
      <c r="U149" s="23">
        <f>'Annual Raw'!V50+'Annual Raw'!V58</f>
        <v>19.399999999999999</v>
      </c>
      <c r="V149" s="23">
        <f>'Annual Raw'!W50+'Annual Raw'!W58</f>
        <v>16.88</v>
      </c>
      <c r="W149" s="23">
        <f>'Annual Raw'!X50+'Annual Raw'!X58</f>
        <v>15.55</v>
      </c>
      <c r="X149" s="23">
        <f>'Annual Raw'!Y50+'Annual Raw'!Y58</f>
        <v>16.690000000000001</v>
      </c>
      <c r="Y149" s="23">
        <f>'Annual Raw'!Z50+'Annual Raw'!Z58</f>
        <v>17.600000000000001</v>
      </c>
      <c r="Z149" s="23">
        <f>'Annual Raw'!AA50+'Annual Raw'!AA58</f>
        <v>16.88</v>
      </c>
      <c r="AA149" s="23">
        <f>'Annual Raw'!AB50+'Annual Raw'!AB58</f>
        <v>15.67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10.220000000000001</v>
      </c>
      <c r="AK149" s="23">
        <f t="shared" ref="AK149:CE155" si="1238">+AJ149</f>
        <v>10.220000000000001</v>
      </c>
      <c r="AL149" s="23">
        <f>+'QTR Raw'!F64</f>
        <v>13.42</v>
      </c>
      <c r="AM149" s="23">
        <f t="shared" si="1238"/>
        <v>13.42</v>
      </c>
      <c r="AN149" s="23">
        <f>+'QTR Raw'!H64</f>
        <v>13.59</v>
      </c>
      <c r="AO149" s="23">
        <f t="shared" si="1238"/>
        <v>13.59</v>
      </c>
      <c r="AP149" s="23">
        <f>+'QTR Raw'!J64</f>
        <v>14.64</v>
      </c>
      <c r="AQ149" s="23">
        <f t="shared" si="1238"/>
        <v>14.64</v>
      </c>
      <c r="AR149" s="23">
        <f>+'QTR Raw'!L64</f>
        <v>15.21</v>
      </c>
      <c r="AS149" s="23">
        <f t="shared" si="1238"/>
        <v>15.21</v>
      </c>
      <c r="AT149" s="23">
        <f>+'QTR Raw'!N64</f>
        <v>15.52</v>
      </c>
      <c r="AU149" s="23">
        <f t="shared" si="1238"/>
        <v>15.52</v>
      </c>
      <c r="AV149" s="23">
        <f>+'QTR Raw'!P64</f>
        <v>14.87</v>
      </c>
      <c r="AW149" s="23">
        <f t="shared" si="1238"/>
        <v>14.87</v>
      </c>
      <c r="AX149" s="23">
        <f>+'QTR Raw'!R64</f>
        <v>14.79</v>
      </c>
      <c r="AY149" s="23">
        <f t="shared" si="1238"/>
        <v>14.79</v>
      </c>
      <c r="AZ149" s="23">
        <f>+'QTR Raw'!T64</f>
        <v>14.75</v>
      </c>
      <c r="BA149" s="23">
        <f t="shared" si="1238"/>
        <v>14.75</v>
      </c>
      <c r="BB149" s="23">
        <f>+'QTR Raw'!V64</f>
        <v>20.78</v>
      </c>
      <c r="BC149" s="23">
        <f t="shared" si="1238"/>
        <v>20.78</v>
      </c>
      <c r="BD149" s="23">
        <f>+'QTR Raw'!X64</f>
        <v>15.37</v>
      </c>
      <c r="BE149" s="23">
        <f t="shared" si="1238"/>
        <v>15.37</v>
      </c>
      <c r="BF149" s="23">
        <f>+'QTR Raw'!Z64</f>
        <v>20.39</v>
      </c>
      <c r="BG149" s="23">
        <f t="shared" si="1238"/>
        <v>20.39</v>
      </c>
      <c r="BH149" s="23">
        <f>+'QTR Raw'!AB64</f>
        <v>20.38</v>
      </c>
      <c r="BI149" s="23">
        <f t="shared" si="1238"/>
        <v>20.38</v>
      </c>
      <c r="BJ149" s="23">
        <f>+'QTR Raw'!AD64</f>
        <v>20.29</v>
      </c>
      <c r="BK149" s="23">
        <f t="shared" si="1238"/>
        <v>20.29</v>
      </c>
      <c r="BL149" s="23">
        <f>+'QTR Raw'!AF64</f>
        <v>20.04</v>
      </c>
      <c r="BM149" s="23">
        <f t="shared" si="1238"/>
        <v>20.04</v>
      </c>
      <c r="BN149" s="23">
        <f>+'QTR Raw'!AH64</f>
        <v>19.399999999999999</v>
      </c>
      <c r="BO149" s="23">
        <f t="shared" si="1238"/>
        <v>19.399999999999999</v>
      </c>
      <c r="BP149" s="23">
        <f>+'QTR Raw'!AJ64</f>
        <v>18.059999999999999</v>
      </c>
      <c r="BQ149" s="23">
        <f t="shared" si="1238"/>
        <v>18.059999999999999</v>
      </c>
      <c r="BR149" s="23">
        <f>+'QTR Raw'!AL64</f>
        <v>16.88</v>
      </c>
      <c r="BS149" s="23">
        <f t="shared" si="1238"/>
        <v>16.88</v>
      </c>
      <c r="BT149" s="23">
        <f>+'QTR Raw'!AN64</f>
        <v>16.32</v>
      </c>
      <c r="BU149" s="23">
        <f t="shared" si="1238"/>
        <v>16.32</v>
      </c>
      <c r="BV149" s="23">
        <f>+'QTR Raw'!AP64</f>
        <v>15.55</v>
      </c>
      <c r="BW149" s="23">
        <f t="shared" si="1238"/>
        <v>15.55</v>
      </c>
      <c r="BX149" s="23">
        <f>+'QTR Raw'!AR64</f>
        <v>15.83</v>
      </c>
      <c r="BY149" s="23">
        <f t="shared" si="1238"/>
        <v>15.83</v>
      </c>
      <c r="BZ149" s="23">
        <f>+'QTR Raw'!AT64</f>
        <v>16.690000000000001</v>
      </c>
      <c r="CA149" s="23">
        <f t="shared" si="1238"/>
        <v>16.690000000000001</v>
      </c>
      <c r="CB149" s="23">
        <f>+'QTR Raw'!AV64</f>
        <v>16.649999999999999</v>
      </c>
      <c r="CC149" s="23">
        <f t="shared" si="1238"/>
        <v>16.649999999999999</v>
      </c>
      <c r="CD149" s="23">
        <f>+'QTR Raw'!AX64</f>
        <v>17.600000000000001</v>
      </c>
      <c r="CE149" s="23">
        <f t="shared" si="1238"/>
        <v>17.600000000000001</v>
      </c>
      <c r="CF149" s="23">
        <f>+'QTR Raw'!AZ64</f>
        <v>16.5</v>
      </c>
      <c r="CG149" s="23">
        <f t="shared" ref="CG149:CG152" si="1239">+CF149</f>
        <v>16.5</v>
      </c>
      <c r="CH149" s="23">
        <f t="shared" si="1192"/>
        <v>16.88</v>
      </c>
      <c r="CJ149" s="23">
        <f>+'QTR Raw'!BD64</f>
        <v>17.239999999999998</v>
      </c>
      <c r="CK149" s="24"/>
      <c r="CL149" s="23">
        <f>+'QTR Raw'!BF64</f>
        <v>15.67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15.67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9.9334000000000007</v>
      </c>
      <c r="M151" s="23">
        <f>'Annual Raw'!N52</f>
        <v>9.0863999999999994</v>
      </c>
      <c r="N151" s="23">
        <f>'Annual Raw'!O52</f>
        <v>14.771800000000001</v>
      </c>
      <c r="O151" s="23">
        <f>'Annual Raw'!P52</f>
        <v>11.197800000000001</v>
      </c>
      <c r="P151" s="23">
        <f>'Annual Raw'!Q52</f>
        <v>9.8653999999999993</v>
      </c>
      <c r="Q151" s="23">
        <f>'Annual Raw'!R52</f>
        <v>9.9905000000000008</v>
      </c>
      <c r="R151" s="23">
        <f>'Annual Raw'!S52</f>
        <v>10.78</v>
      </c>
      <c r="S151" s="23">
        <f>'Annual Raw'!T52</f>
        <v>16.55</v>
      </c>
      <c r="T151" s="23">
        <f>'Annual Raw'!U52</f>
        <v>17.920000000000002</v>
      </c>
      <c r="U151" s="23">
        <f>'Annual Raw'!V52</f>
        <v>20.170000000000002</v>
      </c>
      <c r="V151" s="23">
        <f>'Annual Raw'!W52</f>
        <v>16.64</v>
      </c>
      <c r="W151" s="23">
        <f>'Annual Raw'!X52</f>
        <v>18.600000000000001</v>
      </c>
      <c r="X151" s="23">
        <f>'Annual Raw'!Y52</f>
        <v>21.88</v>
      </c>
      <c r="Y151" s="23">
        <f>'Annual Raw'!Z52</f>
        <v>20.32</v>
      </c>
      <c r="Z151" s="23">
        <f>'Annual Raw'!AA52</f>
        <v>21.68</v>
      </c>
      <c r="AA151" s="23">
        <f>'Annual Raw'!AB52</f>
        <v>22.55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9.2799999999999994</v>
      </c>
      <c r="AK151" s="23">
        <f t="shared" si="1238"/>
        <v>9.2799999999999994</v>
      </c>
      <c r="AL151" s="23">
        <f>+'QTR Raw'!F66</f>
        <v>14.77</v>
      </c>
      <c r="AM151" s="23">
        <f t="shared" si="1238"/>
        <v>14.77</v>
      </c>
      <c r="AN151" s="23">
        <f>+'QTR Raw'!H66</f>
        <v>16.239999999999998</v>
      </c>
      <c r="AO151" s="23">
        <f t="shared" si="1238"/>
        <v>16.239999999999998</v>
      </c>
      <c r="AP151" s="23">
        <f>+'QTR Raw'!J66</f>
        <v>11.19</v>
      </c>
      <c r="AQ151" s="23">
        <f t="shared" si="1238"/>
        <v>11.19</v>
      </c>
      <c r="AR151" s="23">
        <f>+'QTR Raw'!L66</f>
        <v>15.16</v>
      </c>
      <c r="AS151" s="23">
        <f t="shared" si="1238"/>
        <v>15.16</v>
      </c>
      <c r="AT151" s="23">
        <f>+'QTR Raw'!N66</f>
        <v>9.8699999999999992</v>
      </c>
      <c r="AU151" s="23">
        <f t="shared" si="1238"/>
        <v>9.8699999999999992</v>
      </c>
      <c r="AV151" s="23">
        <f>+'QTR Raw'!P66</f>
        <v>9.7100000000000009</v>
      </c>
      <c r="AW151" s="23">
        <f t="shared" si="1238"/>
        <v>9.7100000000000009</v>
      </c>
      <c r="AX151" s="23">
        <f>+'QTR Raw'!R66</f>
        <v>9.99</v>
      </c>
      <c r="AY151" s="23">
        <f t="shared" si="1238"/>
        <v>9.99</v>
      </c>
      <c r="AZ151" s="23">
        <f>+'QTR Raw'!T66</f>
        <v>10.45</v>
      </c>
      <c r="BA151" s="23">
        <f t="shared" si="1238"/>
        <v>10.45</v>
      </c>
      <c r="BB151" s="23">
        <f>+'QTR Raw'!V66</f>
        <v>10.78</v>
      </c>
      <c r="BC151" s="23">
        <f t="shared" si="1238"/>
        <v>10.78</v>
      </c>
      <c r="BD151" s="23">
        <f>+'QTR Raw'!X66</f>
        <v>12.83</v>
      </c>
      <c r="BE151" s="23">
        <f t="shared" si="1238"/>
        <v>12.83</v>
      </c>
      <c r="BF151" s="23">
        <f>+'QTR Raw'!Z66</f>
        <v>16.55</v>
      </c>
      <c r="BG151" s="23">
        <f t="shared" si="1238"/>
        <v>16.55</v>
      </c>
      <c r="BH151" s="23">
        <f>+'QTR Raw'!AB66</f>
        <v>17.8</v>
      </c>
      <c r="BI151" s="23">
        <f t="shared" si="1238"/>
        <v>17.8</v>
      </c>
      <c r="BJ151" s="23">
        <f>+'QTR Raw'!AD66</f>
        <v>17.920000000000002</v>
      </c>
      <c r="BK151" s="23">
        <f t="shared" si="1238"/>
        <v>17.920000000000002</v>
      </c>
      <c r="BL151" s="23">
        <f>+'QTR Raw'!AF66</f>
        <v>18.329999999999998</v>
      </c>
      <c r="BM151" s="23">
        <f t="shared" si="1238"/>
        <v>18.329999999999998</v>
      </c>
      <c r="BN151" s="23">
        <f>+'QTR Raw'!AH66</f>
        <v>20.170000000000002</v>
      </c>
      <c r="BO151" s="23">
        <f t="shared" si="1238"/>
        <v>20.170000000000002</v>
      </c>
      <c r="BP151" s="23">
        <f>+'QTR Raw'!AJ66</f>
        <v>20.52</v>
      </c>
      <c r="BQ151" s="23">
        <f t="shared" si="1238"/>
        <v>20.52</v>
      </c>
      <c r="BR151" s="23">
        <f>+'QTR Raw'!AL66</f>
        <v>16.64</v>
      </c>
      <c r="BS151" s="23">
        <f t="shared" si="1238"/>
        <v>16.64</v>
      </c>
      <c r="BT151" s="23">
        <f>+'QTR Raw'!AN66</f>
        <v>16.649999999999999</v>
      </c>
      <c r="BU151" s="23">
        <f t="shared" si="1238"/>
        <v>16.649999999999999</v>
      </c>
      <c r="BV151" s="23">
        <f>+'QTR Raw'!AP66</f>
        <v>18.600000000000001</v>
      </c>
      <c r="BW151" s="23">
        <f t="shared" si="1238"/>
        <v>18.600000000000001</v>
      </c>
      <c r="BX151" s="23">
        <f>+'QTR Raw'!AR66</f>
        <v>18.86</v>
      </c>
      <c r="BY151" s="23">
        <f t="shared" si="1238"/>
        <v>18.86</v>
      </c>
      <c r="BZ151" s="23">
        <f>+'QTR Raw'!AT66</f>
        <v>21.88</v>
      </c>
      <c r="CA151" s="23">
        <f t="shared" si="1238"/>
        <v>21.88</v>
      </c>
      <c r="CB151" s="23">
        <f>+'QTR Raw'!AV66</f>
        <v>21.87</v>
      </c>
      <c r="CC151" s="23">
        <f t="shared" si="1238"/>
        <v>21.87</v>
      </c>
      <c r="CD151" s="23">
        <f>+'QTR Raw'!AX66</f>
        <v>20.32</v>
      </c>
      <c r="CE151" s="23">
        <f t="shared" si="1238"/>
        <v>20.32</v>
      </c>
      <c r="CF151" s="23">
        <f>+'QTR Raw'!AZ66</f>
        <v>20.32</v>
      </c>
      <c r="CG151" s="23">
        <f t="shared" si="1239"/>
        <v>20.32</v>
      </c>
      <c r="CH151" s="23">
        <f t="shared" si="1192"/>
        <v>21.68</v>
      </c>
      <c r="CJ151" s="23">
        <f>+'QTR Raw'!BD66</f>
        <v>21.68</v>
      </c>
      <c r="CK151" s="24"/>
      <c r="CL151" s="23">
        <f>+'QTR Raw'!BF66</f>
        <v>22.55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22.55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99.152375846843455</v>
      </c>
      <c r="AC152" s="24">
        <f t="shared" si="1235"/>
        <v>100.00069479925105</v>
      </c>
      <c r="AD152" s="24">
        <f t="shared" si="1236"/>
        <v>100.57084637427465</v>
      </c>
      <c r="AE152" s="24">
        <f t="shared" si="1237"/>
        <v>101.1177340336359</v>
      </c>
      <c r="AJ152" s="23">
        <f>+'QTR Raw'!D87</f>
        <v>187.17</v>
      </c>
      <c r="AK152" s="23">
        <f t="shared" si="1238"/>
        <v>187.17</v>
      </c>
      <c r="AL152" s="23">
        <f>+'QTR Raw'!F87</f>
        <v>265.36</v>
      </c>
      <c r="AM152" s="23">
        <f t="shared" si="1238"/>
        <v>265.36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57.616283467701827</v>
      </c>
      <c r="CJ152" s="23">
        <f>+'QTR Raw'!BD87</f>
        <v>0</v>
      </c>
      <c r="CK152" s="24">
        <f t="shared" ref="CK152:DB152" si="1240">CK10/90*CK184</f>
        <v>81.214414414414421</v>
      </c>
      <c r="CL152" s="23">
        <f>+'QTR Raw'!BF87</f>
        <v>0</v>
      </c>
      <c r="CM152" s="24">
        <f t="shared" si="1240"/>
        <v>60.392122055779531</v>
      </c>
      <c r="CN152" s="24">
        <f t="shared" si="1240"/>
        <v>54.992537000713611</v>
      </c>
      <c r="CO152" s="24">
        <f t="shared" si="1240"/>
        <v>63.130500081459218</v>
      </c>
      <c r="CP152" s="24">
        <f t="shared" si="1240"/>
        <v>99.152375846843455</v>
      </c>
      <c r="CQ152" s="24">
        <f t="shared" si="1240"/>
        <v>60.035488231100878</v>
      </c>
      <c r="CR152" s="24">
        <f t="shared" si="1240"/>
        <v>55.078144853076097</v>
      </c>
      <c r="CS152" s="24">
        <f t="shared" si="1240"/>
        <v>63.614529353907677</v>
      </c>
      <c r="CT152" s="24">
        <f t="shared" si="1240"/>
        <v>100.00069479925105</v>
      </c>
      <c r="CU152" s="24">
        <f t="shared" si="1240"/>
        <v>60.21370727154892</v>
      </c>
      <c r="CV152" s="24">
        <f t="shared" si="1240"/>
        <v>55.363836723916215</v>
      </c>
      <c r="CW152" s="24">
        <f t="shared" si="1240"/>
        <v>64.00223480756739</v>
      </c>
      <c r="CX152" s="24">
        <f t="shared" si="1240"/>
        <v>100.57084637427465</v>
      </c>
      <c r="CY152" s="24">
        <f t="shared" si="1240"/>
        <v>60.514048289267564</v>
      </c>
      <c r="CZ152" s="24">
        <f t="shared" si="1240"/>
        <v>55.667936813103488</v>
      </c>
      <c r="DA152" s="24">
        <f t="shared" si="1240"/>
        <v>64.358675350062427</v>
      </c>
      <c r="DB152" s="24">
        <f t="shared" si="1240"/>
        <v>101.1177340336359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74.617400000000004</v>
      </c>
      <c r="C153" s="23">
        <f>'Annual Raw'!D54</f>
        <v>78.636600000000001</v>
      </c>
      <c r="D153" s="23">
        <f>'Annual Raw'!E54</f>
        <v>69.644000000000005</v>
      </c>
      <c r="E153" s="23">
        <f>'Annual Raw'!F54</f>
        <v>94.953400000000002</v>
      </c>
      <c r="F153" s="23">
        <f>'Annual Raw'!G54</f>
        <v>111.8272</v>
      </c>
      <c r="G153" s="23">
        <f>'Annual Raw'!H54</f>
        <v>115.1198</v>
      </c>
      <c r="H153" s="23">
        <f>'Annual Raw'!I54</f>
        <v>126.4344</v>
      </c>
      <c r="I153" s="23">
        <f>'Annual Raw'!J54</f>
        <v>150.73480000000001</v>
      </c>
      <c r="J153" s="23">
        <f>'Annual Raw'!K54</f>
        <v>103.18680000000001</v>
      </c>
      <c r="K153" s="23">
        <f>'Annual Raw'!L54</f>
        <v>86.716999999999999</v>
      </c>
      <c r="L153" s="23">
        <f>'Annual Raw'!M54</f>
        <v>74.217200000000005</v>
      </c>
      <c r="M153" s="23">
        <f>'Annual Raw'!N54</f>
        <v>161.4057</v>
      </c>
      <c r="N153" s="23">
        <f>'Annual Raw'!O54</f>
        <v>195.06010000000001</v>
      </c>
      <c r="O153" s="23">
        <f>'Annual Raw'!P54</f>
        <v>176.6506</v>
      </c>
      <c r="P153" s="23">
        <f>'Annual Raw'!Q54</f>
        <v>225.70140000000001</v>
      </c>
      <c r="Q153" s="23">
        <f>'Annual Raw'!R54</f>
        <v>220.53790000000001</v>
      </c>
      <c r="R153" s="23">
        <f>'Annual Raw'!S54</f>
        <v>188.06</v>
      </c>
      <c r="S153" s="23">
        <f>'Annual Raw'!T54</f>
        <v>236.46</v>
      </c>
      <c r="T153" s="23">
        <f>'Annual Raw'!U54</f>
        <v>258.54000000000002</v>
      </c>
      <c r="U153" s="23">
        <f>'Annual Raw'!V54</f>
        <v>195</v>
      </c>
      <c r="V153" s="23">
        <f>'Annual Raw'!W54</f>
        <v>171.3</v>
      </c>
      <c r="W153" s="23">
        <f>'Annual Raw'!X54</f>
        <v>195.59</v>
      </c>
      <c r="X153" s="23">
        <f>'Annual Raw'!Y54</f>
        <v>232.98</v>
      </c>
      <c r="Y153" s="23">
        <f>'Annual Raw'!Z54</f>
        <v>259.36</v>
      </c>
      <c r="Z153" s="23">
        <f>'Annual Raw'!AA54</f>
        <v>246.64</v>
      </c>
      <c r="AA153" s="23">
        <f>'Annual Raw'!AB54</f>
        <v>239</v>
      </c>
      <c r="AB153" s="24">
        <f t="shared" si="1234"/>
        <v>246.38612837799522</v>
      </c>
      <c r="AC153" s="24">
        <f t="shared" si="1235"/>
        <v>248.49413658786645</v>
      </c>
      <c r="AD153" s="24">
        <f t="shared" si="1236"/>
        <v>249.9109199776631</v>
      </c>
      <c r="AE153" s="24">
        <f t="shared" si="1237"/>
        <v>251.26989430275498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200.94</v>
      </c>
      <c r="AO153" s="23">
        <f>+AO183*AO10/90</f>
        <v>200.90037624230951</v>
      </c>
      <c r="AP153" s="23">
        <f>+'QTR Raw'!J89</f>
        <v>176.65</v>
      </c>
      <c r="AQ153" s="23">
        <f>+AQ183*AQ10/90</f>
        <v>131.25590096668751</v>
      </c>
      <c r="AR153" s="23">
        <f>+'QTR Raw'!L89</f>
        <v>200.28</v>
      </c>
      <c r="AS153" s="23">
        <f>+AS183*AS10/90</f>
        <v>225.36831920719777</v>
      </c>
      <c r="AT153" s="23">
        <f>+'QTR Raw'!N89</f>
        <v>225.7</v>
      </c>
      <c r="AU153" s="23">
        <f>+AU183*AU10/90</f>
        <v>172.09371388211122</v>
      </c>
      <c r="AV153" s="23">
        <f>+'QTR Raw'!P89</f>
        <v>217.78</v>
      </c>
      <c r="AW153" s="23">
        <f>+AW183*AW10/90</f>
        <v>201.97128999052987</v>
      </c>
      <c r="AX153" s="23">
        <f>+'QTR Raw'!R89</f>
        <v>220.54</v>
      </c>
      <c r="AY153" s="23">
        <f>+AY183*AY10/90</f>
        <v>151.39431191097992</v>
      </c>
      <c r="AZ153" s="23">
        <f>+'QTR Raw'!T89</f>
        <v>218.3</v>
      </c>
      <c r="BA153" s="23">
        <f>+BA183*BA10/90</f>
        <v>231.46497831869698</v>
      </c>
      <c r="BB153" s="23">
        <f>+'QTR Raw'!V89</f>
        <v>188.06</v>
      </c>
      <c r="BC153" s="23">
        <f>+BC183*BC10/90</f>
        <v>135.80245831694251</v>
      </c>
      <c r="BD153" s="23">
        <f>+'QTR Raw'!X89</f>
        <v>175.78</v>
      </c>
      <c r="BE153" s="23">
        <f>+BE183*BE10/90</f>
        <v>228.01592573037661</v>
      </c>
      <c r="BF153" s="23">
        <f>+'QTR Raw'!Z89</f>
        <v>236.46</v>
      </c>
      <c r="BG153" s="23">
        <f>+BG183*BG10/90</f>
        <v>186.84350100603623</v>
      </c>
      <c r="BH153" s="23">
        <f>+'QTR Raw'!AB89</f>
        <v>199.34</v>
      </c>
      <c r="BI153" s="23">
        <f>+BI183*BI10/90</f>
        <v>213.3292997283429</v>
      </c>
      <c r="BJ153" s="23">
        <f>+'QTR Raw'!AD89</f>
        <v>258.54000000000002</v>
      </c>
      <c r="BK153" s="23">
        <f>+BK183*BK10/90</f>
        <v>197.40644643052968</v>
      </c>
      <c r="BL153" s="23">
        <f>+'QTR Raw'!AF89</f>
        <v>188.96</v>
      </c>
      <c r="BM153" s="23">
        <f>+BM183*BM10/90</f>
        <v>179.83171061843638</v>
      </c>
      <c r="BN153" s="23">
        <f>+'QTR Raw'!AH89</f>
        <v>195</v>
      </c>
      <c r="BO153" s="23">
        <f>+BO183*BO10/90</f>
        <v>84.755876752099397</v>
      </c>
      <c r="BP153" s="23">
        <f>+'QTR Raw'!AJ89</f>
        <v>195.07</v>
      </c>
      <c r="BQ153" s="23">
        <f>+BQ183*BQ10/90</f>
        <v>213.35538093338656</v>
      </c>
      <c r="BR153" s="23">
        <f>+'QTR Raw'!AL89</f>
        <v>171.3</v>
      </c>
      <c r="BS153" s="23">
        <f>+BS183*BS10/90</f>
        <v>113.92136997163685</v>
      </c>
      <c r="BT153" s="23">
        <f>+'QTR Raw'!AN89</f>
        <v>145.01</v>
      </c>
      <c r="BU153" s="23">
        <f>+BU183*BU10/90</f>
        <v>145.95343855421686</v>
      </c>
      <c r="BV153" s="23">
        <f>+'QTR Raw'!AP89</f>
        <v>195.59</v>
      </c>
      <c r="BW153" s="23">
        <f>+BW183*BW10/90</f>
        <v>178.94960911291352</v>
      </c>
      <c r="BX153" s="23">
        <f>+'QTR Raw'!AR89</f>
        <v>187.09</v>
      </c>
      <c r="BY153" s="23">
        <f>+BY183*BY10/90</f>
        <v>198.86116712244939</v>
      </c>
      <c r="BZ153" s="23">
        <f>+'QTR Raw'!AT89</f>
        <v>232.98</v>
      </c>
      <c r="CA153" s="23">
        <f>+CA183*CA10/90</f>
        <v>173.39057975818693</v>
      </c>
      <c r="CB153" s="23">
        <f>+'QTR Raw'!AV89</f>
        <v>209.35</v>
      </c>
      <c r="CC153" s="23">
        <f>+CC183*CC10/90</f>
        <v>273.54273236560323</v>
      </c>
      <c r="CD153" s="23">
        <f>+'QTR Raw'!AX89</f>
        <v>259.36</v>
      </c>
      <c r="CE153" s="23">
        <f>+CE183*CE10/90</f>
        <v>203.00979330033559</v>
      </c>
      <c r="CF153" s="23">
        <f>+'QTR Raw'!AZ89</f>
        <v>192.27</v>
      </c>
      <c r="CG153" s="23">
        <f>+CG183*CG10/90</f>
        <v>208.12562827816396</v>
      </c>
      <c r="CH153" s="23">
        <f t="shared" si="1192"/>
        <v>246.64</v>
      </c>
      <c r="CI153" s="23">
        <f>+CI183*CI10/90</f>
        <v>189.2207743605056</v>
      </c>
      <c r="CJ153" s="23">
        <f>+'QTR Raw'!BD89</f>
        <v>192.38</v>
      </c>
      <c r="CK153" s="24">
        <f t="shared" ref="CK153:DB153" si="1241">+CK183*CK10/90</f>
        <v>214.910990990991</v>
      </c>
      <c r="CL153" s="23">
        <f>+'QTR Raw'!BF89</f>
        <v>239</v>
      </c>
      <c r="CM153" s="24">
        <f t="shared" si="1241"/>
        <v>150.06983958547835</v>
      </c>
      <c r="CN153" s="24">
        <f t="shared" si="1241"/>
        <v>136.65228054866446</v>
      </c>
      <c r="CO153" s="24">
        <f t="shared" si="1241"/>
        <v>156.87450113816541</v>
      </c>
      <c r="CP153" s="24">
        <f t="shared" si="1241"/>
        <v>246.38612837799522</v>
      </c>
      <c r="CQ153" s="24">
        <f t="shared" si="1241"/>
        <v>149.18363159942925</v>
      </c>
      <c r="CR153" s="24">
        <f t="shared" si="1241"/>
        <v>136.86500956420446</v>
      </c>
      <c r="CS153" s="24">
        <f t="shared" si="1241"/>
        <v>158.07727714269006</v>
      </c>
      <c r="CT153" s="24">
        <f t="shared" si="1241"/>
        <v>248.49413658786645</v>
      </c>
      <c r="CU153" s="24">
        <f t="shared" si="1241"/>
        <v>149.62649238823238</v>
      </c>
      <c r="CV153" s="24">
        <f t="shared" si="1241"/>
        <v>137.57493217941331</v>
      </c>
      <c r="CW153" s="24">
        <f t="shared" si="1241"/>
        <v>159.04069576844046</v>
      </c>
      <c r="CX153" s="24">
        <f t="shared" si="1241"/>
        <v>249.9109199776631</v>
      </c>
      <c r="CY153" s="24">
        <f t="shared" si="1241"/>
        <v>150.37281702157355</v>
      </c>
      <c r="CZ153" s="24">
        <f t="shared" si="1241"/>
        <v>138.33059782004295</v>
      </c>
      <c r="DA153" s="24">
        <f t="shared" si="1241"/>
        <v>159.9264234629332</v>
      </c>
      <c r="DB153" s="24">
        <f t="shared" si="1241"/>
        <v>251.26989430275498</v>
      </c>
      <c r="DE153" s="123"/>
      <c r="DF153" s="23">
        <v>239</v>
      </c>
    </row>
    <row r="154" spans="1:110" s="23" customFormat="1" outlineLevel="1" x14ac:dyDescent="0.2">
      <c r="A154" s="23" t="s">
        <v>71</v>
      </c>
      <c r="B154" s="23">
        <f>'Annual Raw'!C55-Template!B126</f>
        <v>2.8534000000000002</v>
      </c>
      <c r="C154" s="23">
        <f>'Annual Raw'!D55-Template!C126</f>
        <v>2.6497000000000002</v>
      </c>
      <c r="D154" s="23">
        <f>'Annual Raw'!E55-Template!D126</f>
        <v>6.8650000000000002</v>
      </c>
      <c r="E154" s="23">
        <f>'Annual Raw'!F55-Template!E126</f>
        <v>7.6779999999999902</v>
      </c>
      <c r="F154" s="23">
        <f>'Annual Raw'!G55-Template!F126</f>
        <v>8.1604000000000099</v>
      </c>
      <c r="G154" s="23">
        <f>'Annual Raw'!H55-Template!G126</f>
        <v>8.7065999999999999</v>
      </c>
      <c r="H154" s="23">
        <f>'Annual Raw'!I55-Template!H126</f>
        <v>9.0660000000000203</v>
      </c>
      <c r="I154" s="23">
        <f>'Annual Raw'!J55-Template!I126</f>
        <v>10.3141</v>
      </c>
      <c r="J154" s="23">
        <f>'Annual Raw'!K55-Template!J126</f>
        <v>10.394600000000001</v>
      </c>
      <c r="K154" s="23">
        <f>'Annual Raw'!L55-Template!K126</f>
        <v>11.2484</v>
      </c>
      <c r="L154" s="23">
        <f>'Annual Raw'!M55-Template!L126</f>
        <v>4.6435000000000031</v>
      </c>
      <c r="M154" s="23">
        <f>'Annual Raw'!N55-Template!M126</f>
        <v>4.5043000000000006</v>
      </c>
      <c r="N154" s="23">
        <f>'Annual Raw'!O55-Template!N126</f>
        <v>7.9395999999999987</v>
      </c>
      <c r="O154" s="23">
        <f>'Annual Raw'!P55-Template!O126</f>
        <v>13.1496</v>
      </c>
      <c r="P154" s="23">
        <f>'Annual Raw'!Q55-Template!P126</f>
        <v>14.560299999999998</v>
      </c>
      <c r="Q154" s="23">
        <f>'Annual Raw'!R55-Template!Q126</f>
        <v>13.813600000000001</v>
      </c>
      <c r="R154" s="23">
        <f>'Annual Raw'!S55-Template!R126</f>
        <v>30.779999999999994</v>
      </c>
      <c r="S154" s="23">
        <f>'Annual Raw'!T55-Template!S126</f>
        <v>28.760000000000005</v>
      </c>
      <c r="T154" s="23">
        <f>'Annual Raw'!U55-Template!T126</f>
        <v>22.849999999999994</v>
      </c>
      <c r="U154" s="23">
        <f>'Annual Raw'!V55-Template!U126</f>
        <v>28.82</v>
      </c>
      <c r="V154" s="23">
        <f>'Annual Raw'!W55-Template!V126</f>
        <v>35.67</v>
      </c>
      <c r="W154" s="23">
        <f>'Annual Raw'!X55-Template!W126</f>
        <v>36.799999999999997</v>
      </c>
      <c r="X154" s="23">
        <f>'Annual Raw'!Y55-Template!X126</f>
        <v>28.95</v>
      </c>
      <c r="Y154" s="23">
        <f>'Annual Raw'!Z55-Template!Y126</f>
        <v>29.8</v>
      </c>
      <c r="Z154" s="23">
        <f>'Annual Raw'!AA55-Template!Z126</f>
        <v>29.92</v>
      </c>
      <c r="AA154" s="23">
        <f>'Annual Raw'!AB55-Template!AA126</f>
        <v>46.49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53.1</v>
      </c>
      <c r="AO154" s="23">
        <f t="shared" si="1238"/>
        <v>53.1</v>
      </c>
      <c r="AP154" s="23">
        <f>+'QTR Raw'!J91</f>
        <v>45.86</v>
      </c>
      <c r="AQ154" s="23">
        <f t="shared" si="1238"/>
        <v>45.86</v>
      </c>
      <c r="AR154" s="23">
        <f>+'QTR Raw'!L91</f>
        <v>53.56</v>
      </c>
      <c r="AS154" s="23">
        <f t="shared" si="1238"/>
        <v>53.56</v>
      </c>
      <c r="AT154" s="23">
        <f>+'QTR Raw'!N91</f>
        <v>59.84</v>
      </c>
      <c r="AU154" s="23">
        <f t="shared" si="1238"/>
        <v>59.84</v>
      </c>
      <c r="AV154" s="23">
        <f>+'QTR Raw'!P91</f>
        <v>61.72</v>
      </c>
      <c r="AW154" s="23">
        <f t="shared" si="1238"/>
        <v>61.72</v>
      </c>
      <c r="AX154" s="23">
        <f>+'QTR Raw'!R91</f>
        <v>60.94</v>
      </c>
      <c r="AY154" s="23">
        <f t="shared" si="1238"/>
        <v>60.94</v>
      </c>
      <c r="AZ154" s="23">
        <f>+'QTR Raw'!T91</f>
        <v>55.42</v>
      </c>
      <c r="BA154" s="23">
        <f t="shared" si="1238"/>
        <v>55.42</v>
      </c>
      <c r="BB154" s="23">
        <f>+'QTR Raw'!V91</f>
        <v>84.66</v>
      </c>
      <c r="BC154" s="23">
        <f t="shared" si="1238"/>
        <v>84.66</v>
      </c>
      <c r="BD154" s="23">
        <f>+'QTR Raw'!X91</f>
        <v>88.14</v>
      </c>
      <c r="BE154" s="23">
        <f t="shared" si="1238"/>
        <v>88.14</v>
      </c>
      <c r="BF154" s="23">
        <f>+'QTR Raw'!Z91</f>
        <v>86.89</v>
      </c>
      <c r="BG154" s="23">
        <f t="shared" si="1238"/>
        <v>86.89</v>
      </c>
      <c r="BH154" s="23">
        <f>+'QTR Raw'!AB91</f>
        <v>89.86</v>
      </c>
      <c r="BI154" s="23">
        <f t="shared" si="1238"/>
        <v>89.86</v>
      </c>
      <c r="BJ154" s="23">
        <f>+'QTR Raw'!AD91</f>
        <v>69.430000000000007</v>
      </c>
      <c r="BK154" s="23">
        <f t="shared" si="1238"/>
        <v>69.430000000000007</v>
      </c>
      <c r="BL154" s="23">
        <f>+'QTR Raw'!AF91</f>
        <v>49.79</v>
      </c>
      <c r="BM154" s="23">
        <f t="shared" si="1238"/>
        <v>49.79</v>
      </c>
      <c r="BN154" s="23">
        <f>+'QTR Raw'!AH91</f>
        <v>33.799999999999997</v>
      </c>
      <c r="BO154" s="23">
        <f t="shared" si="1238"/>
        <v>33.799999999999997</v>
      </c>
      <c r="BP154" s="23">
        <f>+'QTR Raw'!AJ91</f>
        <v>33.229999999999997</v>
      </c>
      <c r="BQ154" s="23">
        <f t="shared" si="1238"/>
        <v>33.229999999999997</v>
      </c>
      <c r="BR154" s="23">
        <f>+'QTR Raw'!AL91</f>
        <v>37.99</v>
      </c>
      <c r="BS154" s="23">
        <f t="shared" si="1238"/>
        <v>37.99</v>
      </c>
      <c r="BT154" s="23">
        <f>+'QTR Raw'!AN91</f>
        <v>51.89</v>
      </c>
      <c r="BU154" s="23">
        <f t="shared" si="1238"/>
        <v>51.89</v>
      </c>
      <c r="BV154" s="23">
        <f>+'QTR Raw'!AP91</f>
        <v>44.53</v>
      </c>
      <c r="BW154" s="23">
        <f t="shared" si="1238"/>
        <v>44.53</v>
      </c>
      <c r="BX154" s="23">
        <f>+'QTR Raw'!AR91</f>
        <v>57.48</v>
      </c>
      <c r="BY154" s="23">
        <f t="shared" si="1238"/>
        <v>57.48</v>
      </c>
      <c r="BZ154" s="23">
        <f>+'QTR Raw'!AT91</f>
        <v>37.51</v>
      </c>
      <c r="CA154" s="23">
        <f t="shared" si="1238"/>
        <v>37.51</v>
      </c>
      <c r="CB154" s="23">
        <f>+'QTR Raw'!AV91</f>
        <v>42.74</v>
      </c>
      <c r="CC154" s="23">
        <f t="shared" si="1238"/>
        <v>42.74</v>
      </c>
      <c r="CD154" s="23">
        <f>+'QTR Raw'!AX91</f>
        <v>29.8</v>
      </c>
      <c r="CE154" s="23">
        <f t="shared" si="1238"/>
        <v>29.8</v>
      </c>
      <c r="CF154" s="23">
        <f>+'QTR Raw'!AZ91</f>
        <v>31.82</v>
      </c>
      <c r="CG154" s="23">
        <f t="shared" ref="CG154:CG155" si="1242">+CF154</f>
        <v>31.82</v>
      </c>
      <c r="CH154" s="23">
        <f t="shared" si="1192"/>
        <v>29.92</v>
      </c>
      <c r="CJ154" s="23">
        <f>+'QTR Raw'!BD91</f>
        <v>29.09</v>
      </c>
      <c r="CK154" s="24"/>
      <c r="CL154" s="23">
        <f>+'QTR Raw'!BF91</f>
        <v>48.9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48.9</v>
      </c>
    </row>
    <row r="155" spans="1:110" s="23" customFormat="1" outlineLevel="1" x14ac:dyDescent="0.2">
      <c r="A155" s="23" t="s">
        <v>72</v>
      </c>
      <c r="B155" s="23">
        <f>'Annual Raw'!C57</f>
        <v>1.4877</v>
      </c>
      <c r="C155" s="23">
        <f>'Annual Raw'!D57</f>
        <v>1.35</v>
      </c>
      <c r="D155" s="23">
        <f>'Annual Raw'!E57</f>
        <v>2.2845</v>
      </c>
      <c r="E155" s="23">
        <f>'Annual Raw'!F57</f>
        <v>2.2845</v>
      </c>
      <c r="F155" s="23">
        <f>'Annual Raw'!G57</f>
        <v>2.3090000000000002</v>
      </c>
      <c r="G155" s="23">
        <f>'Annual Raw'!H57</f>
        <v>3.2069999999999999</v>
      </c>
      <c r="H155" s="23">
        <f>'Annual Raw'!I57</f>
        <v>4.6067</v>
      </c>
      <c r="I155" s="23">
        <f>'Annual Raw'!J57</f>
        <v>5.2648000000000001</v>
      </c>
      <c r="J155" s="23">
        <f>'Annual Raw'!K57</f>
        <v>4.6067</v>
      </c>
      <c r="K155" s="23">
        <f>'Annual Raw'!L57</f>
        <v>7.8711000000000002</v>
      </c>
      <c r="L155" s="23">
        <f>'Annual Raw'!M57</f>
        <v>11.3317</v>
      </c>
      <c r="M155" s="23">
        <f>'Annual Raw'!N57</f>
        <v>11.653</v>
      </c>
      <c r="N155" s="23">
        <f>'Annual Raw'!O57</f>
        <v>11.0373</v>
      </c>
      <c r="O155" s="23">
        <f>'Annual Raw'!P57</f>
        <v>11.714399999999999</v>
      </c>
      <c r="P155" s="23">
        <f>'Annual Raw'!Q57</f>
        <v>13.687200000000001</v>
      </c>
      <c r="Q155" s="23">
        <f>'Annual Raw'!R57</f>
        <v>16.074300000000001</v>
      </c>
      <c r="R155" s="23">
        <f>'Annual Raw'!S57</f>
        <v>9.27</v>
      </c>
      <c r="S155" s="23">
        <f>'Annual Raw'!T57</f>
        <v>6.67</v>
      </c>
      <c r="T155" s="23">
        <f>'Annual Raw'!U57</f>
        <v>4.82</v>
      </c>
      <c r="U155" s="23">
        <f>'Annual Raw'!V57</f>
        <v>5.99</v>
      </c>
      <c r="V155" s="23">
        <f>'Annual Raw'!W57</f>
        <v>6.63</v>
      </c>
      <c r="W155" s="23">
        <f>'Annual Raw'!X57</f>
        <v>9.7899999999999991</v>
      </c>
      <c r="X155" s="23">
        <f>'Annual Raw'!Y57</f>
        <v>21.41</v>
      </c>
      <c r="Y155" s="23">
        <f>'Annual Raw'!Z57</f>
        <v>4.3600000000000003</v>
      </c>
      <c r="Z155" s="23">
        <f>'Annual Raw'!AA57</f>
        <v>6.62</v>
      </c>
      <c r="AA155" s="23">
        <f>'Annual Raw'!AB57</f>
        <v>11.47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5.9</v>
      </c>
      <c r="AK155" s="23">
        <f t="shared" si="1238"/>
        <v>5.9</v>
      </c>
      <c r="AL155" s="23">
        <f>+'QTR Raw'!F92</f>
        <v>11.03</v>
      </c>
      <c r="AM155" s="23">
        <f t="shared" si="1238"/>
        <v>11.03</v>
      </c>
      <c r="AN155" s="23">
        <f>+'QTR Raw'!H92</f>
        <v>5.05</v>
      </c>
      <c r="AO155" s="23">
        <f t="shared" si="1238"/>
        <v>5.05</v>
      </c>
      <c r="AP155" s="23">
        <f>+'QTR Raw'!J92</f>
        <v>11.72</v>
      </c>
      <c r="AQ155" s="23">
        <f t="shared" si="1238"/>
        <v>11.72</v>
      </c>
      <c r="AR155" s="23">
        <f>+'QTR Raw'!L92</f>
        <v>2.61</v>
      </c>
      <c r="AS155" s="23">
        <f t="shared" si="1238"/>
        <v>2.61</v>
      </c>
      <c r="AT155" s="23">
        <f>+'QTR Raw'!N92</f>
        <v>13.69</v>
      </c>
      <c r="AU155" s="23">
        <f t="shared" si="1238"/>
        <v>13.69</v>
      </c>
      <c r="AV155" s="23">
        <f>+'QTR Raw'!P92</f>
        <v>8.59</v>
      </c>
      <c r="AW155" s="23">
        <f t="shared" si="1238"/>
        <v>8.59</v>
      </c>
      <c r="AX155" s="23">
        <f>+'QTR Raw'!R92</f>
        <v>16.079999999999998</v>
      </c>
      <c r="AY155" s="23">
        <f t="shared" si="1238"/>
        <v>16.079999999999998</v>
      </c>
      <c r="AZ155" s="23">
        <f>+'QTR Raw'!T92</f>
        <v>8.92</v>
      </c>
      <c r="BA155" s="23">
        <f t="shared" si="1238"/>
        <v>8.92</v>
      </c>
      <c r="BB155" s="23">
        <f>+'QTR Raw'!V92</f>
        <v>9.27</v>
      </c>
      <c r="BC155" s="23">
        <f t="shared" si="1238"/>
        <v>9.27</v>
      </c>
      <c r="BD155" s="23">
        <f>+'QTR Raw'!X92</f>
        <v>8.0399999999999991</v>
      </c>
      <c r="BE155" s="23">
        <f t="shared" si="1238"/>
        <v>8.0399999999999991</v>
      </c>
      <c r="BF155" s="23">
        <f>+'QTR Raw'!Z92</f>
        <v>5.95</v>
      </c>
      <c r="BG155" s="23">
        <f t="shared" si="1238"/>
        <v>5.95</v>
      </c>
      <c r="BH155" s="23">
        <f>+'QTR Raw'!AB92</f>
        <v>8.58</v>
      </c>
      <c r="BI155" s="23">
        <f t="shared" si="1238"/>
        <v>8.58</v>
      </c>
      <c r="BJ155" s="23">
        <f>+'QTR Raw'!AD92</f>
        <v>3.69</v>
      </c>
      <c r="BK155" s="23">
        <f t="shared" si="1238"/>
        <v>3.69</v>
      </c>
      <c r="BL155" s="23">
        <f>+'QTR Raw'!AF92</f>
        <v>7.26</v>
      </c>
      <c r="BM155" s="23">
        <f t="shared" si="1238"/>
        <v>7.26</v>
      </c>
      <c r="BN155" s="23">
        <f>+'QTR Raw'!AH92</f>
        <v>4.59</v>
      </c>
      <c r="BO155" s="23">
        <f t="shared" si="1238"/>
        <v>4.59</v>
      </c>
      <c r="BP155" s="23">
        <f>+'QTR Raw'!AJ92</f>
        <v>8.34</v>
      </c>
      <c r="BQ155" s="23">
        <f t="shared" si="1238"/>
        <v>8.34</v>
      </c>
      <c r="BR155" s="23">
        <f>+'QTR Raw'!AL92</f>
        <v>4.57</v>
      </c>
      <c r="BS155" s="23">
        <f t="shared" si="1238"/>
        <v>4.57</v>
      </c>
      <c r="BT155" s="23">
        <f>+'QTR Raw'!AN92</f>
        <v>7.26</v>
      </c>
      <c r="BU155" s="23">
        <f t="shared" si="1238"/>
        <v>7.26</v>
      </c>
      <c r="BV155" s="23">
        <f>+'QTR Raw'!AP92</f>
        <v>2.06</v>
      </c>
      <c r="BW155" s="23">
        <f t="shared" si="1238"/>
        <v>2.06</v>
      </c>
      <c r="BX155" s="23">
        <f>+'QTR Raw'!AR92</f>
        <v>7.75</v>
      </c>
      <c r="BY155" s="23">
        <f t="shared" si="1238"/>
        <v>7.75</v>
      </c>
      <c r="BZ155" s="23">
        <f>+'QTR Raw'!AT92</f>
        <v>12.85</v>
      </c>
      <c r="CA155" s="23">
        <f t="shared" si="1238"/>
        <v>12.85</v>
      </c>
      <c r="CB155" s="23">
        <f>+'QTR Raw'!AV92</f>
        <v>15.87</v>
      </c>
      <c r="CC155" s="23">
        <f t="shared" si="1238"/>
        <v>15.87</v>
      </c>
      <c r="CD155" s="23">
        <f>+'QTR Raw'!AX92</f>
        <v>4.3600000000000003</v>
      </c>
      <c r="CE155" s="23">
        <f t="shared" si="1238"/>
        <v>4.3600000000000003</v>
      </c>
      <c r="CF155" s="23">
        <f>+'QTR Raw'!AZ92</f>
        <v>7.57</v>
      </c>
      <c r="CG155" s="23">
        <f t="shared" si="1242"/>
        <v>7.57</v>
      </c>
      <c r="CH155" s="23">
        <f t="shared" si="1192"/>
        <v>6.62</v>
      </c>
      <c r="CJ155" s="23">
        <f>+'QTR Raw'!BD92</f>
        <v>4.6900000000000004</v>
      </c>
      <c r="CK155" s="24"/>
      <c r="CL155" s="23">
        <f>+'QTR Raw'!BF92</f>
        <v>9.06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9.06</v>
      </c>
    </row>
    <row r="156" spans="1:110" s="22" customFormat="1" x14ac:dyDescent="0.2">
      <c r="A156" s="22" t="s">
        <v>73</v>
      </c>
      <c r="B156" s="22">
        <f>SUM(B149:B155)</f>
        <v>78.958500000000001</v>
      </c>
      <c r="C156" s="22">
        <f t="shared" ref="C156:V156" si="1243">SUM(C149:C155)</f>
        <v>82.636299999999991</v>
      </c>
      <c r="D156" s="22">
        <f t="shared" si="1243"/>
        <v>78.793499999999995</v>
      </c>
      <c r="E156" s="22">
        <f t="shared" si="1243"/>
        <v>104.91589999999998</v>
      </c>
      <c r="F156" s="22">
        <f t="shared" si="1243"/>
        <v>122.29660000000001</v>
      </c>
      <c r="G156" s="22">
        <f t="shared" si="1243"/>
        <v>127.03339999999999</v>
      </c>
      <c r="H156" s="22">
        <f t="shared" si="1243"/>
        <v>140.1071</v>
      </c>
      <c r="I156" s="22">
        <f t="shared" si="1243"/>
        <v>166.31370000000001</v>
      </c>
      <c r="J156" s="22">
        <f t="shared" si="1243"/>
        <v>118.18810000000001</v>
      </c>
      <c r="K156" s="22">
        <f t="shared" si="1243"/>
        <v>105.8365</v>
      </c>
      <c r="L156" s="22">
        <f t="shared" si="1243"/>
        <v>110.21690000000001</v>
      </c>
      <c r="M156" s="22">
        <f t="shared" si="1243"/>
        <v>196.71849999999998</v>
      </c>
      <c r="N156" s="22">
        <f t="shared" si="1243"/>
        <v>242.23099999999997</v>
      </c>
      <c r="O156" s="22">
        <f t="shared" si="1243"/>
        <v>227.35240000000002</v>
      </c>
      <c r="P156" s="22">
        <f t="shared" si="1243"/>
        <v>279.3338</v>
      </c>
      <c r="Q156" s="22">
        <f t="shared" si="1243"/>
        <v>275.20679999999999</v>
      </c>
      <c r="R156" s="22">
        <f t="shared" si="1243"/>
        <v>259.67</v>
      </c>
      <c r="S156" s="22">
        <f t="shared" si="1243"/>
        <v>308.83</v>
      </c>
      <c r="T156" s="22">
        <f t="shared" si="1243"/>
        <v>324.42</v>
      </c>
      <c r="U156" s="22">
        <f t="shared" si="1243"/>
        <v>269.38</v>
      </c>
      <c r="V156" s="22">
        <f t="shared" si="1243"/>
        <v>247.12</v>
      </c>
      <c r="W156" s="22">
        <f t="shared" ref="W156" si="1244">SUM(W149:W155)</f>
        <v>276.33000000000004</v>
      </c>
      <c r="X156" s="22">
        <f t="shared" ref="X156:Y156" si="1245">SUM(X149:X155)</f>
        <v>321.91000000000003</v>
      </c>
      <c r="Y156" s="22">
        <f t="shared" si="1245"/>
        <v>331.44000000000005</v>
      </c>
      <c r="Z156" s="22">
        <f t="shared" ref="Z156:AA156" si="1246">SUM(Z149:Z155)</f>
        <v>321.74</v>
      </c>
      <c r="AA156" s="22">
        <f t="shared" si="1246"/>
        <v>335.18000000000006</v>
      </c>
      <c r="AB156" s="21">
        <f t="shared" ref="AA156:AD156" si="1247">SUM(AB149:AB155)</f>
        <v>345.53850422483868</v>
      </c>
      <c r="AC156" s="21">
        <f t="shared" si="1247"/>
        <v>348.49483138711753</v>
      </c>
      <c r="AD156" s="21">
        <f t="shared" si="1247"/>
        <v>350.48176635193772</v>
      </c>
      <c r="AE156" s="21">
        <f t="shared" ref="AE156" si="1248">SUM(AE149:AE155)</f>
        <v>352.38762833639089</v>
      </c>
      <c r="AJ156" s="22">
        <f t="shared" ref="AJ156" si="1249">SUM(AJ149:AJ155)</f>
        <v>212.57</v>
      </c>
      <c r="AK156" s="22">
        <f t="shared" ref="AK156" si="1250">SUM(AK149:AK155)</f>
        <v>212.57</v>
      </c>
      <c r="AL156" s="22">
        <f t="shared" ref="AL156:AM156" si="1251">SUM(AL149:AL155)</f>
        <v>304.58</v>
      </c>
      <c r="AM156" s="22">
        <f t="shared" si="1251"/>
        <v>304.58</v>
      </c>
      <c r="AN156" s="22">
        <f t="shared" ref="AN156:AO156" si="1252">SUM(AN149:AN155)</f>
        <v>288.92</v>
      </c>
      <c r="AO156" s="22">
        <f t="shared" si="1252"/>
        <v>288.88037624230952</v>
      </c>
      <c r="AP156" s="22">
        <f t="shared" ref="AP156:CE156" si="1253">SUM(AP149:AP155)</f>
        <v>260.06000000000006</v>
      </c>
      <c r="AQ156" s="22">
        <f t="shared" si="1253"/>
        <v>214.66590096668753</v>
      </c>
      <c r="AR156" s="22">
        <f t="shared" si="1253"/>
        <v>286.82000000000005</v>
      </c>
      <c r="AS156" s="22">
        <f t="shared" si="1253"/>
        <v>311.90831920719779</v>
      </c>
      <c r="AT156" s="22">
        <f t="shared" si="1253"/>
        <v>324.61999999999995</v>
      </c>
      <c r="AU156" s="22">
        <f t="shared" si="1253"/>
        <v>271.01371388211118</v>
      </c>
      <c r="AV156" s="22">
        <f t="shared" si="1253"/>
        <v>312.67</v>
      </c>
      <c r="AW156" s="22">
        <f t="shared" si="1253"/>
        <v>296.86128999052988</v>
      </c>
      <c r="AX156" s="22">
        <f t="shared" si="1253"/>
        <v>322.33999999999997</v>
      </c>
      <c r="AY156" s="22">
        <f t="shared" si="1253"/>
        <v>253.19431191097993</v>
      </c>
      <c r="AZ156" s="22">
        <f t="shared" si="1253"/>
        <v>307.84000000000003</v>
      </c>
      <c r="BA156" s="22">
        <f t="shared" si="1253"/>
        <v>321.004978318697</v>
      </c>
      <c r="BB156" s="22">
        <f t="shared" si="1253"/>
        <v>313.54999999999995</v>
      </c>
      <c r="BC156" s="22">
        <f t="shared" si="1253"/>
        <v>261.29245831694249</v>
      </c>
      <c r="BD156" s="22">
        <f t="shared" si="1253"/>
        <v>300.16000000000003</v>
      </c>
      <c r="BE156" s="22">
        <f t="shared" si="1253"/>
        <v>352.39592573037663</v>
      </c>
      <c r="BF156" s="22">
        <f t="shared" si="1253"/>
        <v>366.23999999999995</v>
      </c>
      <c r="BG156" s="22">
        <f t="shared" si="1253"/>
        <v>316.62350100603624</v>
      </c>
      <c r="BH156" s="22">
        <f t="shared" ref="BH156" si="1254">SUM(BH149:BH155)</f>
        <v>335.96</v>
      </c>
      <c r="BI156" s="22">
        <f t="shared" si="1253"/>
        <v>349.94929972834291</v>
      </c>
      <c r="BJ156" s="22">
        <f t="shared" si="1253"/>
        <v>369.87</v>
      </c>
      <c r="BK156" s="22">
        <f t="shared" si="1253"/>
        <v>308.73644643052972</v>
      </c>
      <c r="BL156" s="22">
        <f t="shared" si="1253"/>
        <v>284.38</v>
      </c>
      <c r="BM156" s="22">
        <f t="shared" si="1253"/>
        <v>275.25171061843639</v>
      </c>
      <c r="BN156" s="22">
        <f t="shared" si="1253"/>
        <v>272.95999999999998</v>
      </c>
      <c r="BO156" s="22">
        <f t="shared" si="1253"/>
        <v>162.71587675209938</v>
      </c>
      <c r="BP156" s="22">
        <f t="shared" si="1253"/>
        <v>275.21999999999997</v>
      </c>
      <c r="BQ156" s="22">
        <f t="shared" si="1253"/>
        <v>293.50538093338656</v>
      </c>
      <c r="BR156" s="22">
        <f t="shared" si="1253"/>
        <v>247.38</v>
      </c>
      <c r="BS156" s="22">
        <f t="shared" si="1253"/>
        <v>190.00136997163685</v>
      </c>
      <c r="BT156" s="22">
        <f t="shared" si="1253"/>
        <v>237.13</v>
      </c>
      <c r="BU156" s="22">
        <f t="shared" si="1253"/>
        <v>238.07343855421686</v>
      </c>
      <c r="BV156" s="22">
        <f t="shared" si="1253"/>
        <v>276.33</v>
      </c>
      <c r="BW156" s="22">
        <f t="shared" si="1253"/>
        <v>259.6896091129135</v>
      </c>
      <c r="BX156" s="22">
        <f t="shared" si="1253"/>
        <v>287.01</v>
      </c>
      <c r="BY156" s="22">
        <f t="shared" si="1253"/>
        <v>298.7811671224494</v>
      </c>
      <c r="BZ156" s="22">
        <f t="shared" si="1253"/>
        <v>321.91000000000003</v>
      </c>
      <c r="CA156" s="22">
        <f t="shared" si="1253"/>
        <v>262.32057975818691</v>
      </c>
      <c r="CB156" s="22">
        <f t="shared" si="1253"/>
        <v>306.48</v>
      </c>
      <c r="CC156" s="22">
        <f t="shared" si="1253"/>
        <v>370.67273236560322</v>
      </c>
      <c r="CD156" s="22">
        <f t="shared" si="1253"/>
        <v>331.44000000000005</v>
      </c>
      <c r="CE156" s="22">
        <f t="shared" si="1253"/>
        <v>275.0897933003356</v>
      </c>
      <c r="CF156" s="22">
        <f t="shared" ref="CF156:CG156" si="1255">SUM(CF149:CF155)</f>
        <v>268.48</v>
      </c>
      <c r="CG156" s="22">
        <f t="shared" si="1255"/>
        <v>284.33562827816394</v>
      </c>
      <c r="CH156" s="22">
        <f t="shared" ref="CH156:CI156" si="1256">SUM(CH149:CH155)</f>
        <v>321.74</v>
      </c>
      <c r="CI156" s="22">
        <f t="shared" si="1256"/>
        <v>246.83705782820743</v>
      </c>
      <c r="CJ156" s="22">
        <f t="shared" ref="CJ156:DB156" si="1257">SUM(CJ149:CJ155)</f>
        <v>265.08</v>
      </c>
      <c r="CK156" s="21">
        <f t="shared" si="1257"/>
        <v>296.12540540540544</v>
      </c>
      <c r="CL156" s="22">
        <f t="shared" ref="CL156" si="1258">SUM(CL149:CL155)</f>
        <v>335.18</v>
      </c>
      <c r="CM156" s="21">
        <f t="shared" si="1257"/>
        <v>210.46196164125789</v>
      </c>
      <c r="CN156" s="21">
        <f t="shared" si="1257"/>
        <v>191.64481754937808</v>
      </c>
      <c r="CO156" s="21">
        <f t="shared" si="1257"/>
        <v>220.00500121962463</v>
      </c>
      <c r="CP156" s="21">
        <f t="shared" si="1257"/>
        <v>345.53850422483868</v>
      </c>
      <c r="CQ156" s="21">
        <f t="shared" si="1257"/>
        <v>209.21911983053013</v>
      </c>
      <c r="CR156" s="21">
        <f t="shared" si="1257"/>
        <v>191.94315441728054</v>
      </c>
      <c r="CS156" s="21">
        <f t="shared" si="1257"/>
        <v>221.69180649659774</v>
      </c>
      <c r="CT156" s="21">
        <f t="shared" si="1257"/>
        <v>348.49483138711753</v>
      </c>
      <c r="CU156" s="21">
        <f t="shared" si="1257"/>
        <v>209.84019965978129</v>
      </c>
      <c r="CV156" s="21">
        <f t="shared" si="1257"/>
        <v>192.93876890332953</v>
      </c>
      <c r="CW156" s="21">
        <f t="shared" si="1257"/>
        <v>223.04293057600785</v>
      </c>
      <c r="CX156" s="21">
        <f t="shared" si="1257"/>
        <v>350.48176635193772</v>
      </c>
      <c r="CY156" s="21">
        <f t="shared" si="1257"/>
        <v>210.88686531084113</v>
      </c>
      <c r="CZ156" s="21">
        <f t="shared" si="1257"/>
        <v>193.99853463314645</v>
      </c>
      <c r="DA156" s="21">
        <f t="shared" si="1257"/>
        <v>224.28509881299561</v>
      </c>
      <c r="DB156" s="21">
        <f t="shared" si="1257"/>
        <v>352.38762833639089</v>
      </c>
      <c r="DE156" s="126"/>
      <c r="DF156" s="22">
        <v>335.18</v>
      </c>
    </row>
    <row r="157" spans="1:110" s="22" customFormat="1" x14ac:dyDescent="0.2">
      <c r="A157" s="22" t="s">
        <v>74</v>
      </c>
      <c r="B157" s="22">
        <f>B148-B156</f>
        <v>25.474000000000004</v>
      </c>
      <c r="C157" s="22">
        <f t="shared" ref="C157:V157" si="1259">C148-C156</f>
        <v>21.945600000000027</v>
      </c>
      <c r="D157" s="22">
        <f t="shared" si="1259"/>
        <v>17.096000000000004</v>
      </c>
      <c r="E157" s="22">
        <f t="shared" si="1259"/>
        <v>-1.0967999999999734</v>
      </c>
      <c r="F157" s="22">
        <f t="shared" si="1259"/>
        <v>-9.3567000000000178</v>
      </c>
      <c r="G157" s="22">
        <f t="shared" si="1259"/>
        <v>-9.7290999999999741</v>
      </c>
      <c r="H157" s="22">
        <f t="shared" si="1259"/>
        <v>2.9139999999999873</v>
      </c>
      <c r="I157" s="22">
        <f t="shared" si="1259"/>
        <v>-11.423700000000025</v>
      </c>
      <c r="J157" s="22">
        <f t="shared" si="1259"/>
        <v>29.862199999999987</v>
      </c>
      <c r="K157" s="22">
        <f t="shared" si="1259"/>
        <v>29.575199999999995</v>
      </c>
      <c r="L157" s="22">
        <f t="shared" si="1259"/>
        <v>228.30869999999999</v>
      </c>
      <c r="M157" s="22">
        <f t="shared" si="1259"/>
        <v>127.03990000000002</v>
      </c>
      <c r="N157" s="22">
        <f t="shared" si="1259"/>
        <v>62.934600000000017</v>
      </c>
      <c r="O157" s="22">
        <f t="shared" si="1259"/>
        <v>129.00879999999998</v>
      </c>
      <c r="P157" s="22">
        <f t="shared" si="1259"/>
        <v>115.697</v>
      </c>
      <c r="Q157" s="22">
        <f t="shared" si="1259"/>
        <v>113.57659999999998</v>
      </c>
      <c r="R157" s="22">
        <f t="shared" si="1259"/>
        <v>54.849999999999966</v>
      </c>
      <c r="S157" s="22">
        <f t="shared" si="1259"/>
        <v>7.5800000000000409</v>
      </c>
      <c r="T157" s="22">
        <f t="shared" si="1259"/>
        <v>-14.46999999999997</v>
      </c>
      <c r="U157" s="22">
        <f t="shared" si="1259"/>
        <v>30.260000000000048</v>
      </c>
      <c r="V157" s="22">
        <f t="shared" si="1259"/>
        <v>131.33999999999997</v>
      </c>
      <c r="W157" s="22">
        <f t="shared" ref="W157" si="1260">W148-W156</f>
        <v>32.899999999999977</v>
      </c>
      <c r="X157" s="22">
        <f t="shared" ref="X157:Y157" si="1261">X148-X156</f>
        <v>234.42000000000002</v>
      </c>
      <c r="Y157" s="22">
        <f t="shared" si="1261"/>
        <v>379.38000000000011</v>
      </c>
      <c r="Z157" s="22">
        <f t="shared" ref="Z157:AA157" si="1262">Z148-Z156</f>
        <v>409.18999999999994</v>
      </c>
      <c r="AA157" s="22">
        <f t="shared" si="1262"/>
        <v>864.81999999999994</v>
      </c>
      <c r="AB157" s="21">
        <f t="shared" ref="AA157:AD157" si="1263">AB148-AB156</f>
        <v>891.54665917932095</v>
      </c>
      <c r="AC157" s="21">
        <f t="shared" si="1263"/>
        <v>899.17447365656312</v>
      </c>
      <c r="AD157" s="21">
        <f t="shared" si="1263"/>
        <v>904.30109546059634</v>
      </c>
      <c r="AE157" s="21">
        <f t="shared" ref="AE157" si="1264">AE148-AE156</f>
        <v>909.21853552681364</v>
      </c>
      <c r="AJ157" s="22">
        <f t="shared" ref="AJ157" si="1265">AJ148-AJ156</f>
        <v>99.44</v>
      </c>
      <c r="AK157" s="22">
        <f t="shared" ref="AK157" si="1266">AK148-AK156</f>
        <v>98.285712028441651</v>
      </c>
      <c r="AL157" s="22">
        <f t="shared" ref="AL157:AM157" si="1267">AL148-AL156</f>
        <v>0.59000000000003183</v>
      </c>
      <c r="AM157" s="22">
        <f t="shared" si="1267"/>
        <v>-10.216229579234778</v>
      </c>
      <c r="AN157" s="22">
        <f t="shared" ref="AN157:AO157" si="1268">AN148-AN156</f>
        <v>32.149999999999977</v>
      </c>
      <c r="AO157" s="22">
        <f t="shared" si="1268"/>
        <v>32.151820082031861</v>
      </c>
      <c r="AP157" s="22">
        <f t="shared" ref="AP157:CE157" si="1269">AP148-AP156</f>
        <v>96.299999999999955</v>
      </c>
      <c r="AQ157" s="22">
        <f t="shared" si="1269"/>
        <v>81.886442033521092</v>
      </c>
      <c r="AR157" s="22">
        <f t="shared" si="1269"/>
        <v>105.25999999999999</v>
      </c>
      <c r="AS157" s="22">
        <f t="shared" si="1269"/>
        <v>113.55888729517108</v>
      </c>
      <c r="AT157" s="22">
        <f t="shared" si="1269"/>
        <v>70.410000000000025</v>
      </c>
      <c r="AU157" s="22">
        <f t="shared" si="1269"/>
        <v>62.747887504815765</v>
      </c>
      <c r="AV157" s="22">
        <f t="shared" si="1269"/>
        <v>101.87999999999994</v>
      </c>
      <c r="AW157" s="22">
        <f t="shared" si="1269"/>
        <v>98.528507020216523</v>
      </c>
      <c r="AX157" s="22">
        <f t="shared" si="1269"/>
        <v>66.449999999999989</v>
      </c>
      <c r="AY157" s="22">
        <f t="shared" si="1269"/>
        <v>59.28272680822073</v>
      </c>
      <c r="AZ157" s="22">
        <f t="shared" si="1269"/>
        <v>106.77999999999997</v>
      </c>
      <c r="BA157" s="22">
        <f t="shared" si="1269"/>
        <v>109.12111066574346</v>
      </c>
      <c r="BB157" s="22">
        <f t="shared" si="1269"/>
        <v>0.97000000000002728</v>
      </c>
      <c r="BC157" s="22">
        <f t="shared" si="1269"/>
        <v>-11.98462402033465</v>
      </c>
      <c r="BD157" s="22">
        <f t="shared" si="1269"/>
        <v>13.979999999999961</v>
      </c>
      <c r="BE157" s="22">
        <f t="shared" si="1269"/>
        <v>35.961405315029822</v>
      </c>
      <c r="BF157" s="22">
        <f t="shared" si="1269"/>
        <v>-49.829999999999927</v>
      </c>
      <c r="BG157" s="22">
        <f t="shared" si="1269"/>
        <v>-55.743020983041106</v>
      </c>
      <c r="BH157" s="22">
        <f t="shared" ref="BH157" si="1270">BH148-BH156</f>
        <v>-47.79000000000002</v>
      </c>
      <c r="BI157" s="22">
        <f t="shared" si="1269"/>
        <v>-45.330258074252924</v>
      </c>
      <c r="BJ157" s="22">
        <f t="shared" si="1269"/>
        <v>-59.919999999999959</v>
      </c>
      <c r="BK157" s="22">
        <f t="shared" si="1269"/>
        <v>-49.444961618598597</v>
      </c>
      <c r="BL157" s="22">
        <f t="shared" si="1269"/>
        <v>33.279999999999973</v>
      </c>
      <c r="BM157" s="22">
        <f t="shared" si="1269"/>
        <v>31.721582263710559</v>
      </c>
      <c r="BN157" s="22">
        <f t="shared" si="1269"/>
        <v>26.680000000000064</v>
      </c>
      <c r="BO157" s="22">
        <f t="shared" si="1269"/>
        <v>-4.6689058158773662</v>
      </c>
      <c r="BP157" s="22">
        <f t="shared" si="1269"/>
        <v>191.19</v>
      </c>
      <c r="BQ157" s="22">
        <f t="shared" si="1269"/>
        <v>209.48569206222572</v>
      </c>
      <c r="BR157" s="22">
        <f t="shared" si="1269"/>
        <v>131.07999999999998</v>
      </c>
      <c r="BS157" s="22">
        <f t="shared" si="1269"/>
        <v>84.982819238159095</v>
      </c>
      <c r="BT157" s="22">
        <f t="shared" si="1269"/>
        <v>168.58999999999997</v>
      </c>
      <c r="BU157" s="22">
        <f t="shared" si="1269"/>
        <v>169.86505060240961</v>
      </c>
      <c r="BV157" s="22">
        <f t="shared" si="1269"/>
        <v>32.900000000000034</v>
      </c>
      <c r="BW157" s="22">
        <f t="shared" si="1269"/>
        <v>30.349363879570262</v>
      </c>
      <c r="BX157" s="22">
        <f t="shared" si="1269"/>
        <v>335.89</v>
      </c>
      <c r="BY157" s="22">
        <f t="shared" si="1269"/>
        <v>338.05372033428313</v>
      </c>
      <c r="BZ157" s="22">
        <f t="shared" si="1269"/>
        <v>234.42000000000002</v>
      </c>
      <c r="CA157" s="22">
        <f t="shared" si="1269"/>
        <v>208.00913411378832</v>
      </c>
      <c r="CB157" s="22">
        <f t="shared" si="1269"/>
        <v>256.5200000000001</v>
      </c>
      <c r="CC157" s="22">
        <f t="shared" si="1269"/>
        <v>305.40275803068778</v>
      </c>
      <c r="CD157" s="22">
        <f t="shared" si="1269"/>
        <v>379.38000000000011</v>
      </c>
      <c r="CE157" s="22">
        <f t="shared" si="1269"/>
        <v>347.27889327623609</v>
      </c>
      <c r="CF157" s="22">
        <f t="shared" ref="CF157:CG157" si="1271">CF148-CF156</f>
        <v>331.53999999999996</v>
      </c>
      <c r="CG157" s="22">
        <f t="shared" si="1271"/>
        <v>350.60105955278931</v>
      </c>
      <c r="CH157" s="22">
        <f t="shared" ref="CH157:CI157" si="1272">CH148-CH156</f>
        <v>409.18999999999994</v>
      </c>
      <c r="CI157" s="22">
        <f t="shared" si="1272"/>
        <v>313.92818950930609</v>
      </c>
      <c r="CJ157" s="22">
        <f t="shared" ref="CJ157:DB157" si="1273">CJ148-CJ156</f>
        <v>518.73</v>
      </c>
      <c r="CK157" s="21">
        <f t="shared" si="1273"/>
        <v>579.48216216216224</v>
      </c>
      <c r="CL157" s="22">
        <f t="shared" ref="CL157" si="1274">CL148-CL156</f>
        <v>864.81999999999971</v>
      </c>
      <c r="CM157" s="21">
        <f t="shared" si="1273"/>
        <v>543.02677267913521</v>
      </c>
      <c r="CN157" s="21">
        <f t="shared" si="1273"/>
        <v>494.47541951504581</v>
      </c>
      <c r="CO157" s="21">
        <f t="shared" si="1273"/>
        <v>567.64939780045245</v>
      </c>
      <c r="CP157" s="21">
        <f t="shared" si="1273"/>
        <v>891.54665917932095</v>
      </c>
      <c r="CQ157" s="21">
        <f t="shared" si="1273"/>
        <v>539.8200346435915</v>
      </c>
      <c r="CR157" s="21">
        <f t="shared" si="1273"/>
        <v>495.24517812265799</v>
      </c>
      <c r="CS157" s="21">
        <f t="shared" si="1273"/>
        <v>572.00163522402158</v>
      </c>
      <c r="CT157" s="21">
        <f t="shared" si="1273"/>
        <v>899.17447365656312</v>
      </c>
      <c r="CU157" s="21">
        <f t="shared" si="1273"/>
        <v>541.42252362841441</v>
      </c>
      <c r="CV157" s="21">
        <f t="shared" si="1273"/>
        <v>497.81402865020993</v>
      </c>
      <c r="CW157" s="21">
        <f t="shared" si="1273"/>
        <v>575.48775947473905</v>
      </c>
      <c r="CX157" s="21">
        <f t="shared" si="1273"/>
        <v>904.30109546059634</v>
      </c>
      <c r="CY157" s="21">
        <f t="shared" si="1273"/>
        <v>544.12309463011377</v>
      </c>
      <c r="CZ157" s="21">
        <f t="shared" si="1273"/>
        <v>500.54840002815689</v>
      </c>
      <c r="DA157" s="21">
        <f t="shared" si="1273"/>
        <v>578.69275957830064</v>
      </c>
      <c r="DB157" s="21">
        <f t="shared" si="1273"/>
        <v>909.21853552681364</v>
      </c>
      <c r="DE157" s="126"/>
      <c r="DF157" s="22">
        <v>864.81999999999971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1.5379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1.54</v>
      </c>
      <c r="AT159" s="23">
        <f>+'QTR Raw'!N80</f>
        <v>1.54</v>
      </c>
      <c r="AV159" s="23">
        <f>+'QTR Raw'!P80</f>
        <v>1.54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12.9823</v>
      </c>
      <c r="C160" s="23">
        <f>'Annual Raw'!D78</f>
        <v>25.604399999999998</v>
      </c>
      <c r="D160" s="23">
        <f>'Annual Raw'!E78</f>
        <v>46.034500000000001</v>
      </c>
      <c r="E160" s="23">
        <f>'Annual Raw'!F78</f>
        <v>47.889400000000002</v>
      </c>
      <c r="F160" s="23">
        <f>'Annual Raw'!G78</f>
        <v>59.569499999999998</v>
      </c>
      <c r="G160" s="23">
        <f>'Annual Raw'!H78</f>
        <v>61.889899999999997</v>
      </c>
      <c r="H160" s="23">
        <f>'Annual Raw'!I78</f>
        <v>72.101799999999997</v>
      </c>
      <c r="I160" s="23">
        <f>'Annual Raw'!J78</f>
        <v>80.456400000000002</v>
      </c>
      <c r="J160" s="23">
        <f>'Annual Raw'!K78</f>
        <v>64.409400000000005</v>
      </c>
      <c r="K160" s="23">
        <f>'Annual Raw'!L78</f>
        <v>91.682199999999995</v>
      </c>
      <c r="L160" s="23">
        <f>'Annual Raw'!M78</f>
        <v>28.8445</v>
      </c>
      <c r="M160" s="23">
        <f>'Annual Raw'!N78</f>
        <v>6.4896000000000003</v>
      </c>
      <c r="N160" s="23">
        <f>'Annual Raw'!O78</f>
        <v>74.0244</v>
      </c>
      <c r="O160" s="23">
        <f>'Annual Raw'!P78</f>
        <v>29.9605</v>
      </c>
      <c r="P160" s="23">
        <f>'Annual Raw'!Q78</f>
        <v>10.3446</v>
      </c>
      <c r="Q160" s="23">
        <f>'Annual Raw'!R78</f>
        <v>10.4033</v>
      </c>
      <c r="R160" s="23">
        <f>'Annual Raw'!S78</f>
        <v>20.11</v>
      </c>
      <c r="S160" s="23">
        <f>'Annual Raw'!T78</f>
        <v>143.81</v>
      </c>
      <c r="T160" s="23">
        <f>'Annual Raw'!U78</f>
        <v>311.5</v>
      </c>
      <c r="U160" s="23">
        <f>'Annual Raw'!V78</f>
        <v>326.35000000000002</v>
      </c>
      <c r="V160" s="23">
        <f>'Annual Raw'!W78</f>
        <v>206.96</v>
      </c>
      <c r="W160" s="23">
        <f>'Annual Raw'!X78</f>
        <v>330.55</v>
      </c>
      <c r="X160" s="23">
        <f>'Annual Raw'!Y78</f>
        <v>497.26</v>
      </c>
      <c r="Y160" s="23">
        <f>'Annual Raw'!Z78</f>
        <v>608.46</v>
      </c>
      <c r="Z160" s="23">
        <f>'Annual Raw'!AA78</f>
        <v>672.93</v>
      </c>
      <c r="AA160" s="23">
        <f>'Annual Raw'!AB78</f>
        <v>146.07</v>
      </c>
      <c r="AB160" s="24">
        <f t="shared" si="1275"/>
        <v>268.8358419803568</v>
      </c>
      <c r="AC160" s="24">
        <f t="shared" si="1276"/>
        <v>420.65193183861589</v>
      </c>
      <c r="AD160" s="24">
        <f t="shared" si="1277"/>
        <v>586.36595289550792</v>
      </c>
      <c r="AE160" s="24">
        <f t="shared" si="1278"/>
        <v>764.76126696350093</v>
      </c>
      <c r="AJ160" s="23">
        <f>+'QTR Raw'!D83</f>
        <v>4.5199999999999996</v>
      </c>
      <c r="AK160" s="23">
        <f t="shared" ref="AK160:AM160" si="1280">+AK210</f>
        <v>7.694287971558321</v>
      </c>
      <c r="AL160" s="23">
        <f>+'QTR Raw'!F83</f>
        <v>74.02</v>
      </c>
      <c r="AM160" s="23">
        <f t="shared" si="1280"/>
        <v>91.616229579234812</v>
      </c>
      <c r="AN160" s="23">
        <f>+'QTR Raw'!H83</f>
        <v>78.63</v>
      </c>
      <c r="AO160" s="23">
        <f t="shared" ref="AO160" si="1281">+AO210</f>
        <v>80.728179917968092</v>
      </c>
      <c r="AP160" s="23">
        <f>+'QTR Raw'!J83</f>
        <v>29.96</v>
      </c>
      <c r="AQ160" s="23">
        <f t="shared" ref="AQ160" si="1282">+AQ210</f>
        <v>49.403557966478935</v>
      </c>
      <c r="AR160" s="23">
        <f>+'QTR Raw'!L83</f>
        <v>3.76</v>
      </c>
      <c r="AS160" s="23">
        <f t="shared" ref="AS160" si="1283">+AS210</f>
        <v>-0.3488872951711377</v>
      </c>
      <c r="AT160" s="23">
        <f>+'QTR Raw'!N83</f>
        <v>10.34</v>
      </c>
      <c r="AU160" s="23">
        <f t="shared" ref="AU160" si="1284">+AU210</f>
        <v>24.932112495184228</v>
      </c>
      <c r="AV160" s="23">
        <f>+'QTR Raw'!P83</f>
        <v>8.1</v>
      </c>
      <c r="AW160" s="23">
        <f t="shared" ref="AW160" si="1285">+AW210</f>
        <v>17.121492979783422</v>
      </c>
      <c r="AX160" s="23">
        <f>+'QTR Raw'!R83</f>
        <v>10.4</v>
      </c>
      <c r="AY160" s="23">
        <f t="shared" ref="AY160" si="1286">+AY210</f>
        <v>41.687273191779227</v>
      </c>
      <c r="AZ160" s="23">
        <f>+'QTR Raw'!T83</f>
        <v>3.33</v>
      </c>
      <c r="BA160" s="23">
        <f t="shared" ref="BA160" si="1287">+BA210</f>
        <v>35.478889334256607</v>
      </c>
      <c r="BB160" s="23">
        <f>+'QTR Raw'!V83</f>
        <v>20.11</v>
      </c>
      <c r="BC160" s="23">
        <f t="shared" ref="BC160" si="1288">+BC210</f>
        <v>54.814624020334648</v>
      </c>
      <c r="BD160" s="23">
        <f>+'QTR Raw'!X83</f>
        <v>23.8</v>
      </c>
      <c r="BE160" s="23">
        <f t="shared" ref="BE160" si="1289">+BE210</f>
        <v>32.738594684970138</v>
      </c>
      <c r="BF160" s="23">
        <f>+'QTR Raw'!Z83</f>
        <v>143.81</v>
      </c>
      <c r="BG160" s="23">
        <f t="shared" ref="BG160" si="1290">+BG210</f>
        <v>176.18302098304119</v>
      </c>
      <c r="BH160" s="23">
        <f>+'QTR Raw'!AB83</f>
        <v>183.48</v>
      </c>
      <c r="BI160" s="23">
        <f t="shared" ref="BI160" si="1291">+BI210</f>
        <v>231.25025807425291</v>
      </c>
      <c r="BJ160" s="23">
        <f>+'QTR Raw'!AD83</f>
        <v>311.5</v>
      </c>
      <c r="BK160" s="23">
        <f t="shared" ref="BK160" si="1292">+BK210</f>
        <v>340.03496161859857</v>
      </c>
      <c r="BL160" s="23">
        <f>+'QTR Raw'!AF83</f>
        <v>259.87</v>
      </c>
      <c r="BM160" s="23">
        <f t="shared" ref="BM160" si="1293">+BM210</f>
        <v>307.28841773628938</v>
      </c>
      <c r="BN160" s="23">
        <f>+'QTR Raw'!AH83</f>
        <v>326.35000000000002</v>
      </c>
      <c r="BO160" s="23">
        <f t="shared" ref="BO160" si="1294">+BO210</f>
        <v>376.99890581587749</v>
      </c>
      <c r="BP160" s="23">
        <f>+'QTR Raw'!AJ83</f>
        <v>158.38</v>
      </c>
      <c r="BQ160" s="23">
        <f t="shared" ref="BQ160" si="1295">+BQ210</f>
        <v>144.73430793777422</v>
      </c>
      <c r="BR160" s="23">
        <f>+'QTR Raw'!AL83</f>
        <v>206.96</v>
      </c>
      <c r="BS160" s="23">
        <f t="shared" ref="BS160" si="1296">+BS210</f>
        <v>272.91718076184088</v>
      </c>
      <c r="BT160" s="23">
        <f>+'QTR Raw'!AN83</f>
        <v>168.45</v>
      </c>
      <c r="BU160" s="23">
        <f t="shared" ref="BU160" si="1297">+BU210</f>
        <v>173.2149493975904</v>
      </c>
      <c r="BV160" s="23">
        <f>+'QTR Raw'!AP83</f>
        <v>330.55</v>
      </c>
      <c r="BW160" s="23">
        <f t="shared" ref="BW160" si="1298">+BW210</f>
        <v>393.40063612042979</v>
      </c>
      <c r="BX160" s="23">
        <f>+'QTR Raw'!AR83</f>
        <v>178.89</v>
      </c>
      <c r="BY160" s="23">
        <f t="shared" ref="BY160" si="1299">+BY210</f>
        <v>288.29627966571684</v>
      </c>
      <c r="BZ160" s="23">
        <f>+'QTR Raw'!AT83</f>
        <v>497.26</v>
      </c>
      <c r="CA160" s="23">
        <f t="shared" ref="CA160" si="1300">+CA210</f>
        <v>595.42086588621169</v>
      </c>
      <c r="CB160" s="23">
        <f>+'QTR Raw'!AV83</f>
        <v>590.05999999999995</v>
      </c>
      <c r="CC160" s="23">
        <f t="shared" ref="CC160" si="1301">+CC210</f>
        <v>610.15724196931228</v>
      </c>
      <c r="CD160" s="23">
        <f>+'QTR Raw'!AX83</f>
        <v>608.46</v>
      </c>
      <c r="CE160" s="23">
        <f t="shared" ref="CE160" si="1302">+CE210</f>
        <v>677.56110672376406</v>
      </c>
      <c r="CF160" s="23">
        <f>+'QTR Raw'!AZ83</f>
        <v>742.05</v>
      </c>
      <c r="CG160" s="23">
        <f t="shared" ref="CG160:CI160" si="1303">+CG210</f>
        <v>739.61894044721055</v>
      </c>
      <c r="CH160" s="23">
        <f t="shared" si="1279"/>
        <v>672.93</v>
      </c>
      <c r="CI160" s="23">
        <f t="shared" si="1303"/>
        <v>795.16181049069382</v>
      </c>
      <c r="CJ160" s="23">
        <f>+'QTR Raw'!BD83</f>
        <v>544.51</v>
      </c>
      <c r="CK160" s="24">
        <f t="shared" ref="CK160:DB160" si="1304">+CK210</f>
        <v>513.65783783783786</v>
      </c>
      <c r="CL160" s="23">
        <f>+'QTR Raw'!BF83</f>
        <v>146.07</v>
      </c>
      <c r="CM160" s="24">
        <f t="shared" si="1304"/>
        <v>498.14850777625441</v>
      </c>
      <c r="CN160" s="24">
        <f t="shared" si="1304"/>
        <v>582.24150387669488</v>
      </c>
      <c r="CO160" s="24">
        <f t="shared" si="1304"/>
        <v>547.15494481952214</v>
      </c>
      <c r="CP160" s="24">
        <f t="shared" si="1304"/>
        <v>268.8358419803568</v>
      </c>
      <c r="CQ160" s="24">
        <f t="shared" si="1304"/>
        <v>652.35114361776709</v>
      </c>
      <c r="CR160" s="24">
        <f t="shared" si="1304"/>
        <v>734.36309083723836</v>
      </c>
      <c r="CS160" s="24">
        <f t="shared" si="1304"/>
        <v>698.4715492330098</v>
      </c>
      <c r="CT160" s="24">
        <f t="shared" si="1304"/>
        <v>420.65193183861589</v>
      </c>
      <c r="CU160" s="24">
        <f t="shared" si="1304"/>
        <v>812.68111922760249</v>
      </c>
      <c r="CV160" s="24">
        <f t="shared" si="1304"/>
        <v>896.48652901643231</v>
      </c>
      <c r="CW160" s="24">
        <f t="shared" si="1304"/>
        <v>862.67984812548525</v>
      </c>
      <c r="CX160" s="24">
        <f t="shared" si="1304"/>
        <v>586.36595289550792</v>
      </c>
      <c r="CY160" s="24">
        <f t="shared" si="1304"/>
        <v>983.75944154723641</v>
      </c>
      <c r="CZ160" s="24">
        <f t="shared" si="1304"/>
        <v>1070.6105181554319</v>
      </c>
      <c r="DA160" s="24">
        <f t="shared" si="1304"/>
        <v>1039.5137631481114</v>
      </c>
      <c r="DB160" s="24">
        <f t="shared" si="1304"/>
        <v>764.76126696350093</v>
      </c>
      <c r="DE160" s="123"/>
      <c r="DF160" s="23">
        <v>146.07</v>
      </c>
    </row>
    <row r="161" spans="1:110" s="22" customFormat="1" x14ac:dyDescent="0.2">
      <c r="A161" s="22" t="s">
        <v>77</v>
      </c>
      <c r="B161" s="22">
        <f>B159+B160</f>
        <v>12.9823</v>
      </c>
      <c r="C161" s="22">
        <f t="shared" ref="C161:V161" si="1305">C159+C160</f>
        <v>25.604399999999998</v>
      </c>
      <c r="D161" s="22">
        <f t="shared" si="1305"/>
        <v>46.034500000000001</v>
      </c>
      <c r="E161" s="22">
        <f t="shared" si="1305"/>
        <v>47.889400000000002</v>
      </c>
      <c r="F161" s="22">
        <f t="shared" si="1305"/>
        <v>59.569499999999998</v>
      </c>
      <c r="G161" s="22">
        <f t="shared" si="1305"/>
        <v>61.889899999999997</v>
      </c>
      <c r="H161" s="22">
        <f t="shared" si="1305"/>
        <v>72.101799999999997</v>
      </c>
      <c r="I161" s="22">
        <f t="shared" si="1305"/>
        <v>80.456400000000002</v>
      </c>
      <c r="J161" s="22">
        <f t="shared" si="1305"/>
        <v>64.409400000000005</v>
      </c>
      <c r="K161" s="22">
        <f t="shared" si="1305"/>
        <v>91.682199999999995</v>
      </c>
      <c r="L161" s="22">
        <f t="shared" si="1305"/>
        <v>28.8445</v>
      </c>
      <c r="M161" s="22">
        <f t="shared" si="1305"/>
        <v>6.4896000000000003</v>
      </c>
      <c r="N161" s="22">
        <f t="shared" si="1305"/>
        <v>74.0244</v>
      </c>
      <c r="O161" s="22">
        <f t="shared" si="1305"/>
        <v>29.9605</v>
      </c>
      <c r="P161" s="22">
        <f t="shared" si="1305"/>
        <v>11.8825</v>
      </c>
      <c r="Q161" s="22">
        <f t="shared" si="1305"/>
        <v>10.4033</v>
      </c>
      <c r="R161" s="22">
        <f t="shared" si="1305"/>
        <v>20.11</v>
      </c>
      <c r="S161" s="22">
        <f t="shared" si="1305"/>
        <v>143.81</v>
      </c>
      <c r="T161" s="22">
        <f t="shared" si="1305"/>
        <v>311.5</v>
      </c>
      <c r="U161" s="22">
        <f t="shared" si="1305"/>
        <v>326.35000000000002</v>
      </c>
      <c r="V161" s="22">
        <f t="shared" si="1305"/>
        <v>206.96</v>
      </c>
      <c r="W161" s="22">
        <f t="shared" ref="W161" si="1306">W159+W160</f>
        <v>330.55</v>
      </c>
      <c r="X161" s="22">
        <f t="shared" ref="X161:Y161" si="1307">X159+X160</f>
        <v>497.26</v>
      </c>
      <c r="Y161" s="22">
        <f t="shared" si="1307"/>
        <v>608.46</v>
      </c>
      <c r="Z161" s="22">
        <f t="shared" ref="Z161:AA161" si="1308">Z159+Z160</f>
        <v>672.93</v>
      </c>
      <c r="AA161" s="22">
        <f t="shared" si="1308"/>
        <v>146.07</v>
      </c>
      <c r="AB161" s="21">
        <f t="shared" ref="AA161:AD161" si="1309">AB159+AB160</f>
        <v>268.8358419803568</v>
      </c>
      <c r="AC161" s="21">
        <f t="shared" si="1309"/>
        <v>420.65193183861589</v>
      </c>
      <c r="AD161" s="21">
        <f t="shared" si="1309"/>
        <v>586.36595289550792</v>
      </c>
      <c r="AE161" s="21">
        <f t="shared" ref="AE161" si="1310">AE159+AE160</f>
        <v>764.76126696350093</v>
      </c>
      <c r="AJ161" s="22">
        <f t="shared" ref="AJ161" si="1311">AJ159+AJ160</f>
        <v>4.5199999999999996</v>
      </c>
      <c r="AK161" s="22">
        <f t="shared" ref="AK161" si="1312">AK159+AK160</f>
        <v>7.694287971558321</v>
      </c>
      <c r="AL161" s="22">
        <f t="shared" ref="AL161:AM161" si="1313">AL159+AL160</f>
        <v>74.02</v>
      </c>
      <c r="AM161" s="22">
        <f t="shared" si="1313"/>
        <v>91.616229579234812</v>
      </c>
      <c r="AN161" s="22">
        <f t="shared" ref="AN161:AO161" si="1314">AN159+AN160</f>
        <v>78.63</v>
      </c>
      <c r="AO161" s="22">
        <f t="shared" si="1314"/>
        <v>80.728179917968092</v>
      </c>
      <c r="AP161" s="22">
        <f t="shared" ref="AP161:CE161" si="1315">AP159+AP160</f>
        <v>29.96</v>
      </c>
      <c r="AQ161" s="22">
        <f t="shared" si="1315"/>
        <v>49.403557966478935</v>
      </c>
      <c r="AR161" s="22">
        <f t="shared" si="1315"/>
        <v>5.3</v>
      </c>
      <c r="AS161" s="22">
        <f t="shared" si="1315"/>
        <v>-0.3488872951711377</v>
      </c>
      <c r="AT161" s="22">
        <f t="shared" si="1315"/>
        <v>11.879999999999999</v>
      </c>
      <c r="AU161" s="22">
        <f t="shared" si="1315"/>
        <v>24.932112495184228</v>
      </c>
      <c r="AV161" s="22">
        <f t="shared" si="1315"/>
        <v>9.64</v>
      </c>
      <c r="AW161" s="22">
        <f t="shared" si="1315"/>
        <v>17.121492979783422</v>
      </c>
      <c r="AX161" s="22">
        <f t="shared" si="1315"/>
        <v>10.4</v>
      </c>
      <c r="AY161" s="22">
        <f t="shared" si="1315"/>
        <v>41.687273191779227</v>
      </c>
      <c r="AZ161" s="22">
        <f t="shared" si="1315"/>
        <v>3.33</v>
      </c>
      <c r="BA161" s="22">
        <f t="shared" si="1315"/>
        <v>35.478889334256607</v>
      </c>
      <c r="BB161" s="22">
        <f t="shared" si="1315"/>
        <v>20.11</v>
      </c>
      <c r="BC161" s="22">
        <f t="shared" si="1315"/>
        <v>54.814624020334648</v>
      </c>
      <c r="BD161" s="22">
        <f t="shared" si="1315"/>
        <v>23.8</v>
      </c>
      <c r="BE161" s="22">
        <f t="shared" si="1315"/>
        <v>32.738594684970138</v>
      </c>
      <c r="BF161" s="22">
        <f t="shared" si="1315"/>
        <v>143.81</v>
      </c>
      <c r="BG161" s="22">
        <f t="shared" si="1315"/>
        <v>176.18302098304119</v>
      </c>
      <c r="BH161" s="22">
        <f t="shared" si="1315"/>
        <v>183.48</v>
      </c>
      <c r="BI161" s="22">
        <f t="shared" si="1315"/>
        <v>231.25025807425291</v>
      </c>
      <c r="BJ161" s="22">
        <f t="shared" si="1315"/>
        <v>311.5</v>
      </c>
      <c r="BK161" s="22">
        <f t="shared" si="1315"/>
        <v>340.03496161859857</v>
      </c>
      <c r="BL161" s="22">
        <f t="shared" si="1315"/>
        <v>259.87</v>
      </c>
      <c r="BM161" s="22">
        <f t="shared" si="1315"/>
        <v>307.28841773628938</v>
      </c>
      <c r="BN161" s="22">
        <f t="shared" si="1315"/>
        <v>326.35000000000002</v>
      </c>
      <c r="BO161" s="22">
        <f t="shared" si="1315"/>
        <v>376.99890581587749</v>
      </c>
      <c r="BP161" s="22">
        <f t="shared" si="1315"/>
        <v>158.38</v>
      </c>
      <c r="BQ161" s="22">
        <f t="shared" si="1315"/>
        <v>144.73430793777422</v>
      </c>
      <c r="BR161" s="22">
        <f t="shared" si="1315"/>
        <v>206.96</v>
      </c>
      <c r="BS161" s="22">
        <f t="shared" si="1315"/>
        <v>272.91718076184088</v>
      </c>
      <c r="BT161" s="22">
        <f t="shared" si="1315"/>
        <v>168.45</v>
      </c>
      <c r="BU161" s="22">
        <f t="shared" si="1315"/>
        <v>173.2149493975904</v>
      </c>
      <c r="BV161" s="22">
        <f t="shared" si="1315"/>
        <v>330.55</v>
      </c>
      <c r="BW161" s="22">
        <f t="shared" si="1315"/>
        <v>393.40063612042979</v>
      </c>
      <c r="BX161" s="22">
        <f t="shared" si="1315"/>
        <v>178.89</v>
      </c>
      <c r="BY161" s="22">
        <f t="shared" si="1315"/>
        <v>288.29627966571684</v>
      </c>
      <c r="BZ161" s="22">
        <f t="shared" si="1315"/>
        <v>497.26</v>
      </c>
      <c r="CA161" s="22">
        <f t="shared" si="1315"/>
        <v>595.42086588621169</v>
      </c>
      <c r="CB161" s="22">
        <f t="shared" si="1315"/>
        <v>590.05999999999995</v>
      </c>
      <c r="CC161" s="22">
        <f t="shared" si="1315"/>
        <v>610.15724196931228</v>
      </c>
      <c r="CD161" s="22">
        <f t="shared" si="1315"/>
        <v>608.46</v>
      </c>
      <c r="CE161" s="22">
        <f t="shared" si="1315"/>
        <v>677.56110672376406</v>
      </c>
      <c r="CF161" s="22">
        <f t="shared" ref="CF161:CG161" si="1316">CF159+CF160</f>
        <v>742.05</v>
      </c>
      <c r="CG161" s="22">
        <f t="shared" si="1316"/>
        <v>739.61894044721055</v>
      </c>
      <c r="CH161" s="22">
        <f t="shared" ref="CH161:CI161" si="1317">CH159+CH160</f>
        <v>672.93</v>
      </c>
      <c r="CI161" s="22">
        <f t="shared" si="1317"/>
        <v>795.16181049069382</v>
      </c>
      <c r="CJ161" s="22">
        <f t="shared" ref="CJ161:DB161" si="1318">CJ159+CJ160</f>
        <v>544.51</v>
      </c>
      <c r="CK161" s="21">
        <f t="shared" si="1318"/>
        <v>513.65783783783786</v>
      </c>
      <c r="CL161" s="22">
        <f t="shared" ref="CL161" si="1319">CL159+CL160</f>
        <v>146.07</v>
      </c>
      <c r="CM161" s="21">
        <f t="shared" si="1318"/>
        <v>498.14850777625441</v>
      </c>
      <c r="CN161" s="21">
        <f t="shared" si="1318"/>
        <v>582.24150387669488</v>
      </c>
      <c r="CO161" s="21">
        <f t="shared" si="1318"/>
        <v>547.15494481952214</v>
      </c>
      <c r="CP161" s="21">
        <f t="shared" si="1318"/>
        <v>268.8358419803568</v>
      </c>
      <c r="CQ161" s="21">
        <f t="shared" si="1318"/>
        <v>652.35114361776709</v>
      </c>
      <c r="CR161" s="21">
        <f t="shared" si="1318"/>
        <v>734.36309083723836</v>
      </c>
      <c r="CS161" s="21">
        <f t="shared" si="1318"/>
        <v>698.4715492330098</v>
      </c>
      <c r="CT161" s="21">
        <f t="shared" si="1318"/>
        <v>420.65193183861589</v>
      </c>
      <c r="CU161" s="21">
        <f t="shared" si="1318"/>
        <v>812.68111922760249</v>
      </c>
      <c r="CV161" s="21">
        <f t="shared" si="1318"/>
        <v>896.48652901643231</v>
      </c>
      <c r="CW161" s="21">
        <f t="shared" si="1318"/>
        <v>862.67984812548525</v>
      </c>
      <c r="CX161" s="21">
        <f t="shared" si="1318"/>
        <v>586.36595289550792</v>
      </c>
      <c r="CY161" s="21">
        <f t="shared" si="1318"/>
        <v>983.75944154723641</v>
      </c>
      <c r="CZ161" s="21">
        <f t="shared" si="1318"/>
        <v>1070.6105181554319</v>
      </c>
      <c r="DA161" s="21">
        <f t="shared" si="1318"/>
        <v>1039.5137631481114</v>
      </c>
      <c r="DB161" s="21">
        <f t="shared" si="1318"/>
        <v>764.76126696350093</v>
      </c>
      <c r="DE161" s="126"/>
      <c r="DF161" s="22">
        <v>146.07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-1.9271</v>
      </c>
      <c r="C163" s="23">
        <f>-'Annual Raw'!D49</f>
        <v>-24.805</v>
      </c>
      <c r="D163" s="23">
        <f>-'Annual Raw'!E49</f>
        <v>-32.734999999999999</v>
      </c>
      <c r="E163" s="23">
        <f>-'Annual Raw'!F49</f>
        <v>-42.295000000000002</v>
      </c>
      <c r="F163" s="23">
        <f>-'Annual Raw'!G49</f>
        <v>-46.414999999999999</v>
      </c>
      <c r="G163" s="23">
        <f>-'Annual Raw'!H49</f>
        <v>-54.594999999999999</v>
      </c>
      <c r="H163" s="23">
        <f>-'Annual Raw'!I49</f>
        <v>-50.984999999999999</v>
      </c>
      <c r="I163" s="23">
        <f>-'Annual Raw'!J49</f>
        <v>-58.884999999999998</v>
      </c>
      <c r="J163" s="23">
        <f>-'Annual Raw'!K49</f>
        <v>-67.465000000000003</v>
      </c>
      <c r="K163" s="23">
        <f>-'Annual Raw'!L49</f>
        <v>-87.245000000000005</v>
      </c>
      <c r="L163" s="23">
        <f>-'Annual Raw'!M49</f>
        <v>-83.015000000000001</v>
      </c>
      <c r="M163" s="23">
        <f>-'Annual Raw'!N49</f>
        <v>-82.194999999999993</v>
      </c>
      <c r="N163" s="23">
        <f>-'Annual Raw'!O49</f>
        <v>-78.151300000000006</v>
      </c>
      <c r="O163" s="23">
        <f>-'Annual Raw'!P49</f>
        <v>-92.600200000000001</v>
      </c>
      <c r="P163" s="23">
        <f>-'Annual Raw'!Q49</f>
        <v>-100.6656</v>
      </c>
      <c r="Q163" s="23">
        <f>-'Annual Raw'!R49</f>
        <v>-115.37</v>
      </c>
      <c r="R163" s="23">
        <f>-'Annual Raw'!S49</f>
        <v>-83.07</v>
      </c>
      <c r="S163" s="23">
        <f>-'Annual Raw'!T49</f>
        <v>-97.48</v>
      </c>
      <c r="T163" s="23">
        <f>-'Annual Raw'!U49</f>
        <v>-121.6</v>
      </c>
      <c r="U163" s="23">
        <f>-'Annual Raw'!V49</f>
        <v>-149.22999999999999</v>
      </c>
      <c r="V163" s="23">
        <f>-'Annual Raw'!W49</f>
        <v>-119.88</v>
      </c>
      <c r="W163" s="23">
        <f>-'Annual Raw'!X49</f>
        <v>-123.98</v>
      </c>
      <c r="X163" s="23">
        <f>-'Annual Raw'!Y49</f>
        <v>-121.56</v>
      </c>
      <c r="Y163" s="23">
        <f>-'Annual Raw'!Z49</f>
        <v>-127.66</v>
      </c>
      <c r="Z163" s="23">
        <f>-'Annual Raw'!AA49</f>
        <v>-129.77000000000001</v>
      </c>
      <c r="AA163" s="23">
        <f>-'Annual Raw'!AB49</f>
        <v>-124.68</v>
      </c>
      <c r="AB163" s="24">
        <f t="shared" ref="AB163:AB164" si="1320">+CP163</f>
        <v>-124.68</v>
      </c>
      <c r="AC163" s="24">
        <f t="shared" ref="AC163:AC164" si="1321">+CT163</f>
        <v>-124.68</v>
      </c>
      <c r="AD163" s="24">
        <f t="shared" ref="AD163:AD164" si="1322">+CX163</f>
        <v>-124.68</v>
      </c>
      <c r="AE163" s="24">
        <f t="shared" ref="AE163:AE164" si="1323">+DB163</f>
        <v>-124.68</v>
      </c>
      <c r="AJ163" s="23">
        <f>+'QTR Raw'!D96</f>
        <v>-81.510000000000005</v>
      </c>
      <c r="AK163" s="23">
        <f t="shared" ref="AK163:CE163" si="1324">+AJ163</f>
        <v>-81.510000000000005</v>
      </c>
      <c r="AL163" s="23">
        <f>+'QTR Raw'!F96</f>
        <v>-78.150000000000006</v>
      </c>
      <c r="AM163" s="23">
        <f t="shared" si="1324"/>
        <v>-78.150000000000006</v>
      </c>
      <c r="AN163" s="23">
        <f>+'QTR Raw'!H96</f>
        <v>-84.29</v>
      </c>
      <c r="AO163" s="23">
        <f t="shared" si="1324"/>
        <v>-84.29</v>
      </c>
      <c r="AP163" s="23">
        <f>+'QTR Raw'!J96</f>
        <v>-92.6</v>
      </c>
      <c r="AQ163" s="23">
        <f t="shared" si="1324"/>
        <v>-92.6</v>
      </c>
      <c r="AR163" s="23">
        <f>+'QTR Raw'!L96</f>
        <v>-98.47</v>
      </c>
      <c r="AS163" s="23">
        <f t="shared" si="1324"/>
        <v>-98.47</v>
      </c>
      <c r="AT163" s="23">
        <f>+'QTR Raw'!N96</f>
        <v>-100.66</v>
      </c>
      <c r="AU163" s="23">
        <f t="shared" si="1324"/>
        <v>-100.66</v>
      </c>
      <c r="AV163" s="23">
        <f>+'QTR Raw'!P96</f>
        <v>-106.76</v>
      </c>
      <c r="AW163" s="23">
        <f t="shared" si="1324"/>
        <v>-106.76</v>
      </c>
      <c r="AX163" s="23">
        <f>+'QTR Raw'!R96</f>
        <v>-115.37</v>
      </c>
      <c r="AY163" s="23">
        <f t="shared" si="1324"/>
        <v>-115.37</v>
      </c>
      <c r="AZ163" s="23">
        <f>+'QTR Raw'!T96</f>
        <v>-129.07</v>
      </c>
      <c r="BA163" s="23">
        <f t="shared" si="1324"/>
        <v>-129.07</v>
      </c>
      <c r="BB163" s="23">
        <f>+'QTR Raw'!V96</f>
        <v>-83.07</v>
      </c>
      <c r="BC163" s="23">
        <f t="shared" si="1324"/>
        <v>-83.07</v>
      </c>
      <c r="BD163" s="23">
        <f>+'QTR Raw'!X96</f>
        <v>-88.5</v>
      </c>
      <c r="BE163" s="23">
        <f t="shared" si="1324"/>
        <v>-88.5</v>
      </c>
      <c r="BF163" s="23">
        <f>+'QTR Raw'!Z96</f>
        <v>-97.48</v>
      </c>
      <c r="BG163" s="23">
        <f t="shared" si="1324"/>
        <v>-97.48</v>
      </c>
      <c r="BH163" s="23">
        <f>+'QTR Raw'!AB96</f>
        <v>-108.11</v>
      </c>
      <c r="BI163" s="23">
        <f t="shared" si="1324"/>
        <v>-108.11</v>
      </c>
      <c r="BJ163" s="23">
        <f>+'QTR Raw'!AD96</f>
        <v>-121.6</v>
      </c>
      <c r="BK163" s="23">
        <f t="shared" si="1324"/>
        <v>-121.6</v>
      </c>
      <c r="BL163" s="23">
        <f>+'QTR Raw'!AF96</f>
        <v>-138.26</v>
      </c>
      <c r="BM163" s="23">
        <f t="shared" si="1324"/>
        <v>-138.26</v>
      </c>
      <c r="BN163" s="23">
        <f>+'QTR Raw'!AH96</f>
        <v>-149.22999999999999</v>
      </c>
      <c r="BO163" s="23">
        <f t="shared" si="1324"/>
        <v>-149.22999999999999</v>
      </c>
      <c r="BP163" s="23">
        <f>+'QTR Raw'!AJ96</f>
        <v>-154.81</v>
      </c>
      <c r="BQ163" s="23">
        <f t="shared" si="1324"/>
        <v>-154.81</v>
      </c>
      <c r="BR163" s="23">
        <f>+'QTR Raw'!AL96</f>
        <v>-119.88</v>
      </c>
      <c r="BS163" s="23">
        <f t="shared" si="1324"/>
        <v>-119.88</v>
      </c>
      <c r="BT163" s="23">
        <f>+'QTR Raw'!AN96</f>
        <v>-124.58</v>
      </c>
      <c r="BU163" s="23">
        <f t="shared" si="1324"/>
        <v>-124.58</v>
      </c>
      <c r="BV163" s="23">
        <f>+'QTR Raw'!AP96</f>
        <v>-123.98</v>
      </c>
      <c r="BW163" s="23">
        <f t="shared" si="1324"/>
        <v>-123.98</v>
      </c>
      <c r="BX163" s="23">
        <f>+'QTR Raw'!AR96</f>
        <v>-124.13</v>
      </c>
      <c r="BY163" s="23">
        <f t="shared" si="1324"/>
        <v>-124.13</v>
      </c>
      <c r="BZ163" s="23">
        <f>+'QTR Raw'!AT96</f>
        <v>-121.56</v>
      </c>
      <c r="CA163" s="23">
        <f t="shared" si="1324"/>
        <v>-121.56</v>
      </c>
      <c r="CB163" s="23">
        <f>+'QTR Raw'!AV96</f>
        <v>-124.54</v>
      </c>
      <c r="CC163" s="23">
        <f t="shared" si="1324"/>
        <v>-124.54</v>
      </c>
      <c r="CD163" s="23">
        <f>+'QTR Raw'!AX96</f>
        <v>-127.66</v>
      </c>
      <c r="CE163" s="23">
        <f t="shared" si="1324"/>
        <v>-127.66</v>
      </c>
      <c r="CF163" s="23">
        <f>+'QTR Raw'!AZ96</f>
        <v>-133.12</v>
      </c>
      <c r="CG163" s="23">
        <f t="shared" ref="CG163:CI164" si="1325">+CF163</f>
        <v>-133.12</v>
      </c>
      <c r="CH163" s="23">
        <f t="shared" ref="CH163:CH164" si="1326">Z163</f>
        <v>-129.77000000000001</v>
      </c>
      <c r="CI163" s="23">
        <f t="shared" si="1325"/>
        <v>-129.77000000000001</v>
      </c>
      <c r="CJ163" s="23">
        <f>+'QTR Raw'!BD96</f>
        <v>-129.25</v>
      </c>
      <c r="CK163" s="24">
        <f t="shared" ref="CK163:CK164" si="1327">+CJ163</f>
        <v>-129.25</v>
      </c>
      <c r="CL163" s="23">
        <f>+'QTR Raw'!BF96</f>
        <v>-124.68</v>
      </c>
      <c r="CM163" s="24">
        <f t="shared" ref="CM163:CM164" si="1328">+CL163</f>
        <v>-124.68</v>
      </c>
      <c r="CN163" s="24">
        <f t="shared" ref="CN163:CN164" si="1329">+CM163</f>
        <v>-124.68</v>
      </c>
      <c r="CO163" s="24">
        <f t="shared" ref="CO163:CO164" si="1330">+CN163</f>
        <v>-124.68</v>
      </c>
      <c r="CP163" s="24">
        <f t="shared" ref="CP163:CP164" si="1331">+CO163</f>
        <v>-124.68</v>
      </c>
      <c r="CQ163" s="24">
        <f t="shared" ref="CQ163:CQ164" si="1332">+CP163</f>
        <v>-124.68</v>
      </c>
      <c r="CR163" s="24">
        <f t="shared" ref="CR163:CR164" si="1333">+CQ163</f>
        <v>-124.68</v>
      </c>
      <c r="CS163" s="24">
        <f t="shared" ref="CS163:CS164" si="1334">+CR163</f>
        <v>-124.68</v>
      </c>
      <c r="CT163" s="24">
        <f t="shared" ref="CT163:CT164" si="1335">+CS163</f>
        <v>-124.68</v>
      </c>
      <c r="CU163" s="24">
        <f t="shared" ref="CU163:CU164" si="1336">+CT163</f>
        <v>-124.68</v>
      </c>
      <c r="CV163" s="24">
        <f t="shared" ref="CV163:CV164" si="1337">+CU163</f>
        <v>-124.68</v>
      </c>
      <c r="CW163" s="24">
        <f t="shared" ref="CW163:CW164" si="1338">+CV163</f>
        <v>-124.68</v>
      </c>
      <c r="CX163" s="24">
        <f t="shared" ref="CX163:CX164" si="1339">+CW163</f>
        <v>-124.68</v>
      </c>
      <c r="CY163" s="24">
        <f t="shared" ref="CY163:CY164" si="1340">+CX163</f>
        <v>-124.68</v>
      </c>
      <c r="CZ163" s="24">
        <f t="shared" ref="CZ163:CZ164" si="1341">+CY163</f>
        <v>-124.68</v>
      </c>
      <c r="DA163" s="24">
        <f t="shared" ref="DA163:DA164" si="1342">+CZ163</f>
        <v>-124.68</v>
      </c>
      <c r="DB163" s="24">
        <f t="shared" ref="DB163:DB164" si="1343">+DA163</f>
        <v>-124.68</v>
      </c>
      <c r="DE163" s="123"/>
      <c r="DF163" s="23">
        <v>-124.68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248.60890000000001</v>
      </c>
      <c r="C165" s="26">
        <f t="shared" si="1345"/>
        <v>228.45079999999996</v>
      </c>
      <c r="D165" s="26">
        <f t="shared" si="1345"/>
        <v>217.99639999999999</v>
      </c>
      <c r="E165" s="26">
        <f t="shared" si="1345"/>
        <v>196.60560000000007</v>
      </c>
      <c r="F165" s="26">
        <f t="shared" si="1345"/>
        <v>236.78569999999999</v>
      </c>
      <c r="G165" s="26">
        <f t="shared" si="1345"/>
        <v>229.37580000000003</v>
      </c>
      <c r="H165" s="26">
        <f t="shared" si="1345"/>
        <v>384.86810000000003</v>
      </c>
      <c r="I165" s="26">
        <f t="shared" si="1345"/>
        <v>522.86929999999995</v>
      </c>
      <c r="J165" s="26">
        <f t="shared" si="1345"/>
        <v>562.95180000000005</v>
      </c>
      <c r="K165" s="26">
        <f t="shared" si="1345"/>
        <v>549.98689999999999</v>
      </c>
      <c r="L165" s="26">
        <f t="shared" si="1345"/>
        <v>680.59929999999986</v>
      </c>
      <c r="M165" s="26">
        <f t="shared" si="1345"/>
        <v>530.30930000000012</v>
      </c>
      <c r="N165" s="26">
        <f t="shared" si="1345"/>
        <v>797.67240000000004</v>
      </c>
      <c r="O165" s="26">
        <f t="shared" si="1345"/>
        <v>773.59929999999986</v>
      </c>
      <c r="P165" s="26">
        <f t="shared" si="1345"/>
        <v>742.82549999999992</v>
      </c>
      <c r="Q165" s="26">
        <f t="shared" si="1345"/>
        <v>744.20920000000001</v>
      </c>
      <c r="R165" s="26">
        <f t="shared" si="1345"/>
        <v>775.67</v>
      </c>
      <c r="S165" s="26">
        <f t="shared" si="1345"/>
        <v>874.68000000000006</v>
      </c>
      <c r="T165" s="26">
        <f t="shared" si="1345"/>
        <v>990.13000000000011</v>
      </c>
      <c r="U165" s="26">
        <f t="shared" si="1345"/>
        <v>1029.46</v>
      </c>
      <c r="V165" s="26">
        <f t="shared" si="1345"/>
        <v>1150.51</v>
      </c>
      <c r="W165" s="26">
        <f t="shared" si="1345"/>
        <v>1259.3600000000001</v>
      </c>
      <c r="X165" s="26">
        <f t="shared" ref="X165:Y165" si="1346">X163+X161+X157+X140+X138+X164</f>
        <v>1635.3600000000001</v>
      </c>
      <c r="Y165" s="26">
        <f t="shared" si="1346"/>
        <v>1932.3100000000002</v>
      </c>
      <c r="Z165" s="26">
        <f t="shared" ref="Z165:AA165" si="1347">Z163+Z161+Z157+Z140+Z138+Z164</f>
        <v>2070.2599999999998</v>
      </c>
      <c r="AA165" s="26">
        <f t="shared" si="1347"/>
        <v>2041.97</v>
      </c>
      <c r="AB165" s="27">
        <f t="shared" ref="AA165:AD165" si="1348">AB163+AB161+AB157+AB140+AB138+AB164</f>
        <v>2148.3645774985021</v>
      </c>
      <c r="AC165" s="27">
        <f t="shared" si="1348"/>
        <v>2267.2040554059222</v>
      </c>
      <c r="AD165" s="27">
        <f t="shared" si="1348"/>
        <v>2399.7895039211703</v>
      </c>
      <c r="AE165" s="27">
        <f t="shared" ref="AE165" si="1349">AE163+AE161+AE157+AE140+AE138+AE164</f>
        <v>2547.0603773255134</v>
      </c>
      <c r="AJ165" s="26">
        <f t="shared" ref="AJ165" si="1350">AJ163+AJ161+AJ157+AJ140+AJ138+AJ164</f>
        <v>489.89</v>
      </c>
      <c r="AK165" s="26">
        <f t="shared" ref="AK165:AL165" si="1351">AK163+AK161+AK157+AK140+AK138+AK164</f>
        <v>491.90999999999997</v>
      </c>
      <c r="AL165" s="26">
        <f t="shared" si="1351"/>
        <v>735.31999999999994</v>
      </c>
      <c r="AM165" s="26">
        <f t="shared" ref="AM165:AO165" si="1352">AM163+AM161+AM157+AM140+AM138+AM164</f>
        <v>742.11</v>
      </c>
      <c r="AN165" s="26">
        <f t="shared" si="1352"/>
        <v>745.19999999999993</v>
      </c>
      <c r="AO165" s="26">
        <f t="shared" si="1352"/>
        <v>747.3</v>
      </c>
      <c r="AP165" s="26">
        <f t="shared" ref="AP165:CE165" si="1353">AP163+AP161+AP157+AP140+AP138+AP164</f>
        <v>740.89</v>
      </c>
      <c r="AQ165" s="26">
        <f t="shared" si="1353"/>
        <v>745.92000000000007</v>
      </c>
      <c r="AR165" s="26">
        <f t="shared" si="1353"/>
        <v>708.23</v>
      </c>
      <c r="AS165" s="26">
        <f t="shared" si="1353"/>
        <v>710.87999999999988</v>
      </c>
      <c r="AT165" s="26">
        <f t="shared" si="1353"/>
        <v>697.54000000000008</v>
      </c>
      <c r="AU165" s="26">
        <f t="shared" si="1353"/>
        <v>702.93000000000006</v>
      </c>
      <c r="AV165" s="26">
        <f t="shared" si="1353"/>
        <v>705.28999999999985</v>
      </c>
      <c r="AW165" s="26">
        <f t="shared" si="1353"/>
        <v>709.41999999999985</v>
      </c>
      <c r="AX165" s="26">
        <f t="shared" si="1353"/>
        <v>697.08</v>
      </c>
      <c r="AY165" s="26">
        <f t="shared" si="1353"/>
        <v>721.19999999999993</v>
      </c>
      <c r="AZ165" s="26">
        <f t="shared" si="1353"/>
        <v>698.70999999999992</v>
      </c>
      <c r="BA165" s="26">
        <f t="shared" si="1353"/>
        <v>733.2</v>
      </c>
      <c r="BB165" s="26">
        <f t="shared" si="1353"/>
        <v>721.79000000000008</v>
      </c>
      <c r="BC165" s="26">
        <f t="shared" si="1353"/>
        <v>743.54</v>
      </c>
      <c r="BD165" s="26">
        <f t="shared" si="1353"/>
        <v>741.68999999999994</v>
      </c>
      <c r="BE165" s="26">
        <f t="shared" si="1353"/>
        <v>772.6099999999999</v>
      </c>
      <c r="BF165" s="26">
        <f t="shared" si="1353"/>
        <v>817.2700000000001</v>
      </c>
      <c r="BG165" s="26">
        <f t="shared" si="1353"/>
        <v>843.73</v>
      </c>
      <c r="BH165" s="26">
        <f t="shared" ref="BH165" si="1354">BH163+BH161+BH157+BH140+BH138+BH164</f>
        <v>838.89999999999986</v>
      </c>
      <c r="BI165" s="26">
        <f t="shared" si="1353"/>
        <v>889.12999999999988</v>
      </c>
      <c r="BJ165" s="26">
        <f t="shared" si="1353"/>
        <v>944.68000000000006</v>
      </c>
      <c r="BK165" s="26">
        <f t="shared" si="1353"/>
        <v>983.69</v>
      </c>
      <c r="BL165" s="26">
        <f t="shared" si="1353"/>
        <v>982.44999999999993</v>
      </c>
      <c r="BM165" s="26">
        <f t="shared" si="1353"/>
        <v>1028.31</v>
      </c>
      <c r="BN165" s="26">
        <f t="shared" si="1353"/>
        <v>1025.8800000000001</v>
      </c>
      <c r="BO165" s="26">
        <f t="shared" si="1353"/>
        <v>1045.18</v>
      </c>
      <c r="BP165" s="26">
        <f t="shared" si="1353"/>
        <v>1051.69</v>
      </c>
      <c r="BQ165" s="26">
        <f t="shared" si="1353"/>
        <v>1056.3399999999999</v>
      </c>
      <c r="BR165" s="26">
        <f t="shared" si="1353"/>
        <v>1150.25</v>
      </c>
      <c r="BS165" s="26">
        <f t="shared" si="1353"/>
        <v>1170.1100000000001</v>
      </c>
      <c r="BT165" s="26">
        <f t="shared" si="1353"/>
        <v>1218.03</v>
      </c>
      <c r="BU165" s="26">
        <f t="shared" si="1353"/>
        <v>1224.0700000000002</v>
      </c>
      <c r="BV165" s="26">
        <f t="shared" si="1353"/>
        <v>1259.3599999999999</v>
      </c>
      <c r="BW165" s="26">
        <f t="shared" si="1353"/>
        <v>1319.6599999999999</v>
      </c>
      <c r="BX165" s="26">
        <f t="shared" si="1353"/>
        <v>1408.17</v>
      </c>
      <c r="BY165" s="26">
        <f t="shared" si="1353"/>
        <v>1519.74</v>
      </c>
      <c r="BZ165" s="26">
        <f t="shared" si="1353"/>
        <v>1635.3600000000001</v>
      </c>
      <c r="CA165" s="26">
        <f t="shared" si="1353"/>
        <v>1707.1100000000001</v>
      </c>
      <c r="CB165" s="26">
        <f t="shared" si="1353"/>
        <v>1771.18</v>
      </c>
      <c r="CC165" s="26">
        <f t="shared" si="1353"/>
        <v>1840.16</v>
      </c>
      <c r="CD165" s="26">
        <f t="shared" si="1353"/>
        <v>1932.3100000000002</v>
      </c>
      <c r="CE165" s="26">
        <f t="shared" si="1353"/>
        <v>1969.3100000000002</v>
      </c>
      <c r="CF165" s="26">
        <f t="shared" ref="CF165:CG165" si="1355">CF163+CF161+CF157+CF140+CF138+CF164</f>
        <v>2047.23</v>
      </c>
      <c r="CG165" s="26">
        <f t="shared" si="1355"/>
        <v>2063.8599999999997</v>
      </c>
      <c r="CH165" s="26">
        <f t="shared" ref="CH165:CI165" si="1356">CH163+CH161+CH157+CH140+CH138+CH164</f>
        <v>2070.2599999999998</v>
      </c>
      <c r="CI165" s="26">
        <f t="shared" si="1356"/>
        <v>2085.6899999999996</v>
      </c>
      <c r="CJ165" s="26">
        <f t="shared" ref="CJ165:DB165" si="1357">CJ163+CJ161+CJ157+CJ140+CJ138+CJ164</f>
        <v>2092.83</v>
      </c>
      <c r="CK165" s="27">
        <f t="shared" si="1357"/>
        <v>2111.4700000000003</v>
      </c>
      <c r="CL165" s="26">
        <f t="shared" ref="CL165" si="1358">CL163+CL161+CL157+CL140+CL138+CL164</f>
        <v>2041.9699999999996</v>
      </c>
      <c r="CM165" s="27">
        <f t="shared" si="1357"/>
        <v>2061.2388165862058</v>
      </c>
      <c r="CN165" s="27">
        <f t="shared" si="1357"/>
        <v>2085.9269179878579</v>
      </c>
      <c r="CO165" s="27">
        <f t="shared" si="1357"/>
        <v>2113.3213085596867</v>
      </c>
      <c r="CP165" s="27">
        <f t="shared" si="1357"/>
        <v>2148.3645774985021</v>
      </c>
      <c r="CQ165" s="27">
        <f t="shared" si="1357"/>
        <v>2169.7741653384687</v>
      </c>
      <c r="CR165" s="27">
        <f t="shared" si="1357"/>
        <v>2196.9856629853671</v>
      </c>
      <c r="CS165" s="27">
        <f t="shared" si="1357"/>
        <v>2227.7762115875726</v>
      </c>
      <c r="CT165" s="27">
        <f t="shared" si="1357"/>
        <v>2267.2040554059222</v>
      </c>
      <c r="CU165" s="27">
        <f t="shared" si="1357"/>
        <v>2291.7027018158137</v>
      </c>
      <c r="CV165" s="27">
        <f t="shared" si="1357"/>
        <v>2322.2656411242078</v>
      </c>
      <c r="CW165" s="27">
        <f t="shared" si="1357"/>
        <v>2356.6411922883685</v>
      </c>
      <c r="CX165" s="27">
        <f t="shared" si="1357"/>
        <v>2399.7895039211703</v>
      </c>
      <c r="CY165" s="27">
        <f t="shared" si="1357"/>
        <v>2427.7921563408891</v>
      </c>
      <c r="CZ165" s="27">
        <f t="shared" si="1357"/>
        <v>2461.9919514431817</v>
      </c>
      <c r="DA165" s="27">
        <f t="shared" si="1357"/>
        <v>2500.0972026024615</v>
      </c>
      <c r="DB165" s="27">
        <f t="shared" si="1357"/>
        <v>2547.0603773255134</v>
      </c>
      <c r="DE165" s="121"/>
      <c r="DF165" s="26">
        <v>2041.9699999999993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161.5224</v>
      </c>
      <c r="C168" s="22">
        <f t="shared" si="1374"/>
        <v>149.51560000000001</v>
      </c>
      <c r="D168" s="22">
        <f t="shared" si="1374"/>
        <v>104.03219999999999</v>
      </c>
      <c r="E168" s="22">
        <f t="shared" si="1374"/>
        <v>63.409199999999991</v>
      </c>
      <c r="F168" s="22">
        <f t="shared" si="1374"/>
        <v>87.633800000000008</v>
      </c>
      <c r="G168" s="22">
        <f t="shared" si="1374"/>
        <v>63.197500000000005</v>
      </c>
      <c r="H168" s="22">
        <f t="shared" si="1374"/>
        <v>171.68290000000002</v>
      </c>
      <c r="I168" s="22">
        <f t="shared" si="1374"/>
        <v>260.30399999999997</v>
      </c>
      <c r="J168" s="22">
        <f t="shared" si="1374"/>
        <v>306.0129</v>
      </c>
      <c r="K168" s="22">
        <f t="shared" si="1374"/>
        <v>233.71669999999997</v>
      </c>
      <c r="L168" s="22">
        <f t="shared" si="1374"/>
        <v>368.702</v>
      </c>
      <c r="M168" s="22">
        <f t="shared" si="1374"/>
        <v>213.209</v>
      </c>
      <c r="N168" s="22">
        <f t="shared" si="1374"/>
        <v>360.39329999999995</v>
      </c>
      <c r="O168" s="22">
        <f t="shared" si="1374"/>
        <v>359.50990000000002</v>
      </c>
      <c r="P168" s="22">
        <f t="shared" si="1374"/>
        <v>317.03090000000003</v>
      </c>
      <c r="Q168" s="22">
        <f t="shared" si="1374"/>
        <v>291.43959999999998</v>
      </c>
      <c r="R168" s="22">
        <f t="shared" si="1374"/>
        <v>150.61000000000001</v>
      </c>
      <c r="S168" s="22">
        <f t="shared" si="1374"/>
        <v>5.3999999999999773</v>
      </c>
      <c r="T168" s="22">
        <f t="shared" si="1374"/>
        <v>-214.57</v>
      </c>
      <c r="U168" s="22">
        <f t="shared" si="1374"/>
        <v>-316.14000000000004</v>
      </c>
      <c r="V168" s="22">
        <f t="shared" si="1374"/>
        <v>-199.18</v>
      </c>
      <c r="W168" s="22">
        <f t="shared" si="1374"/>
        <v>-326.45</v>
      </c>
      <c r="X168" s="22">
        <f t="shared" ref="X168:Y168" si="1375">X128-X161</f>
        <v>-497.26</v>
      </c>
      <c r="Y168" s="22">
        <f t="shared" si="1375"/>
        <v>-587.46</v>
      </c>
      <c r="Z168" s="22">
        <f t="shared" ref="Z168:AA168" si="1376">Z128-Z161</f>
        <v>-591.06999999999994</v>
      </c>
      <c r="AA168" s="22">
        <f t="shared" si="1376"/>
        <v>-146.07</v>
      </c>
      <c r="AB168" s="21">
        <f t="shared" ref="AA168:AD168" si="1377">AB128-AB161</f>
        <v>-268.8358419803568</v>
      </c>
      <c r="AC168" s="21">
        <f t="shared" si="1377"/>
        <v>-420.65193183861589</v>
      </c>
      <c r="AD168" s="21">
        <f t="shared" si="1377"/>
        <v>-586.36595289550792</v>
      </c>
      <c r="AE168" s="21">
        <f t="shared" ref="AE168" si="1378">AE128-AE161</f>
        <v>-764.76126696350093</v>
      </c>
      <c r="AJ168" s="22">
        <f t="shared" ref="AJ168:AM168" si="1379">AJ128-AJ161</f>
        <v>152.9</v>
      </c>
      <c r="AK168" s="22">
        <f t="shared" si="1379"/>
        <v>149.72571202844171</v>
      </c>
      <c r="AL168" s="22">
        <f t="shared" si="1379"/>
        <v>298.05</v>
      </c>
      <c r="AM168" s="22">
        <f t="shared" si="1379"/>
        <v>280.45377042076518</v>
      </c>
      <c r="AN168" s="22">
        <f t="shared" ref="AN168:AO168" si="1380">AN128-AN161</f>
        <v>290.86</v>
      </c>
      <c r="AO168" s="22">
        <f t="shared" si="1380"/>
        <v>288.76182008203193</v>
      </c>
      <c r="AP168" s="22">
        <f t="shared" ref="AP168:CE168" si="1381">AP128-AP161</f>
        <v>326.8</v>
      </c>
      <c r="AQ168" s="22">
        <f t="shared" si="1381"/>
        <v>307.35644203352103</v>
      </c>
      <c r="AR168" s="22">
        <f t="shared" si="1381"/>
        <v>306.90000000000003</v>
      </c>
      <c r="AS168" s="22">
        <f t="shared" si="1381"/>
        <v>312.5488872951712</v>
      </c>
      <c r="AT168" s="22">
        <f t="shared" si="1381"/>
        <v>271.75</v>
      </c>
      <c r="AU168" s="22">
        <f t="shared" si="1381"/>
        <v>258.69788750481575</v>
      </c>
      <c r="AV168" s="22">
        <f t="shared" si="1381"/>
        <v>290.08000000000004</v>
      </c>
      <c r="AW168" s="22">
        <f t="shared" si="1381"/>
        <v>282.59850702021663</v>
      </c>
      <c r="AX168" s="22">
        <f t="shared" si="1381"/>
        <v>244.32</v>
      </c>
      <c r="AY168" s="22">
        <f t="shared" si="1381"/>
        <v>213.03272680822079</v>
      </c>
      <c r="AZ168" s="22">
        <f t="shared" si="1381"/>
        <v>219.58999999999997</v>
      </c>
      <c r="BA168" s="22">
        <f t="shared" si="1381"/>
        <v>187.44111066574339</v>
      </c>
      <c r="BB168" s="22">
        <f t="shared" si="1381"/>
        <v>96.73</v>
      </c>
      <c r="BC168" s="22">
        <f t="shared" si="1381"/>
        <v>62.025375979665355</v>
      </c>
      <c r="BD168" s="22">
        <f t="shared" si="1381"/>
        <v>94.070000000000007</v>
      </c>
      <c r="BE168" s="22">
        <f t="shared" si="1381"/>
        <v>85.131405315029866</v>
      </c>
      <c r="BF168" s="22">
        <f t="shared" si="1381"/>
        <v>-52.010000000000005</v>
      </c>
      <c r="BG168" s="22">
        <f t="shared" si="1381"/>
        <v>-84.383020983041192</v>
      </c>
      <c r="BH168" s="22">
        <f t="shared" si="1381"/>
        <v>-121.04999999999998</v>
      </c>
      <c r="BI168" s="22">
        <f t="shared" si="1381"/>
        <v>-168.82025807425291</v>
      </c>
      <c r="BJ168" s="22">
        <f t="shared" si="1381"/>
        <v>-260.02</v>
      </c>
      <c r="BK168" s="22">
        <f t="shared" si="1381"/>
        <v>-288.55496161859855</v>
      </c>
      <c r="BL168" s="22">
        <f t="shared" si="1381"/>
        <v>-227.12</v>
      </c>
      <c r="BM168" s="22">
        <f t="shared" si="1381"/>
        <v>-274.53841773628938</v>
      </c>
      <c r="BN168" s="22">
        <f t="shared" si="1381"/>
        <v>-319.72000000000003</v>
      </c>
      <c r="BO168" s="22">
        <f t="shared" si="1381"/>
        <v>-370.3689058158775</v>
      </c>
      <c r="BP168" s="22">
        <f t="shared" si="1381"/>
        <v>-148.62</v>
      </c>
      <c r="BQ168" s="22">
        <f t="shared" si="1381"/>
        <v>-134.97430793777423</v>
      </c>
      <c r="BR168" s="22">
        <f t="shared" si="1381"/>
        <v>-199.44</v>
      </c>
      <c r="BS168" s="22">
        <f t="shared" si="1381"/>
        <v>-265.3971807618409</v>
      </c>
      <c r="BT168" s="22">
        <f t="shared" si="1381"/>
        <v>-161.39999999999998</v>
      </c>
      <c r="BU168" s="22">
        <f t="shared" si="1381"/>
        <v>-166.16494939759039</v>
      </c>
      <c r="BV168" s="22">
        <f t="shared" si="1381"/>
        <v>-326.45</v>
      </c>
      <c r="BW168" s="22">
        <f t="shared" si="1381"/>
        <v>-389.30063612042977</v>
      </c>
      <c r="BX168" s="22">
        <f t="shared" si="1381"/>
        <v>-175.41</v>
      </c>
      <c r="BY168" s="22">
        <f t="shared" si="1381"/>
        <v>-284.81627966571682</v>
      </c>
      <c r="BZ168" s="22">
        <f t="shared" si="1381"/>
        <v>-497.26</v>
      </c>
      <c r="CA168" s="22">
        <f t="shared" si="1381"/>
        <v>-595.42086588621169</v>
      </c>
      <c r="CB168" s="22">
        <f t="shared" si="1381"/>
        <v>-590.05999999999995</v>
      </c>
      <c r="CC168" s="22">
        <f t="shared" si="1381"/>
        <v>-610.15724196931228</v>
      </c>
      <c r="CD168" s="22">
        <f t="shared" si="1381"/>
        <v>-587.46</v>
      </c>
      <c r="CE168" s="22">
        <f t="shared" si="1381"/>
        <v>-656.56110672376406</v>
      </c>
      <c r="CF168" s="22">
        <f t="shared" ref="CF168:CG168" si="1382">CF128-CF161</f>
        <v>-659.59999999999991</v>
      </c>
      <c r="CG168" s="22">
        <f t="shared" si="1382"/>
        <v>-657.1689404472105</v>
      </c>
      <c r="CH168" s="22">
        <f t="shared" ref="CH168:CI168" si="1383">CH128-CH161</f>
        <v>-591.06999999999994</v>
      </c>
      <c r="CI168" s="22">
        <f t="shared" si="1383"/>
        <v>-713.30181049069381</v>
      </c>
      <c r="CJ168" s="22">
        <f t="shared" ref="CJ168:DB168" si="1384">CJ128-CJ161</f>
        <v>-467.76</v>
      </c>
      <c r="CK168" s="21">
        <f t="shared" si="1384"/>
        <v>-436.90783783783786</v>
      </c>
      <c r="CL168" s="22">
        <f t="shared" ref="CL168" si="1385">CL128-CL161</f>
        <v>-146.07</v>
      </c>
      <c r="CM168" s="21">
        <f t="shared" si="1384"/>
        <v>-498.14850777625441</v>
      </c>
      <c r="CN168" s="21">
        <f t="shared" si="1384"/>
        <v>-582.24150387669488</v>
      </c>
      <c r="CO168" s="21">
        <f t="shared" si="1384"/>
        <v>-547.15494481952214</v>
      </c>
      <c r="CP168" s="21">
        <f t="shared" si="1384"/>
        <v>-268.8358419803568</v>
      </c>
      <c r="CQ168" s="21">
        <f t="shared" si="1384"/>
        <v>-652.35114361776709</v>
      </c>
      <c r="CR168" s="21">
        <f t="shared" si="1384"/>
        <v>-734.36309083723836</v>
      </c>
      <c r="CS168" s="21">
        <f t="shared" si="1384"/>
        <v>-698.4715492330098</v>
      </c>
      <c r="CT168" s="21">
        <f t="shared" si="1384"/>
        <v>-420.65193183861589</v>
      </c>
      <c r="CU168" s="21">
        <f t="shared" si="1384"/>
        <v>-812.68111922760249</v>
      </c>
      <c r="CV168" s="21">
        <f t="shared" si="1384"/>
        <v>-896.48652901643231</v>
      </c>
      <c r="CW168" s="21">
        <f t="shared" si="1384"/>
        <v>-862.67984812548525</v>
      </c>
      <c r="CX168" s="21">
        <f t="shared" si="1384"/>
        <v>-586.36595289550792</v>
      </c>
      <c r="CY168" s="21">
        <f t="shared" si="1384"/>
        <v>-983.75944154723641</v>
      </c>
      <c r="CZ168" s="21">
        <f t="shared" si="1384"/>
        <v>-1070.6105181554319</v>
      </c>
      <c r="DA168" s="21">
        <f t="shared" si="1384"/>
        <v>-1039.5137631481114</v>
      </c>
      <c r="DB168" s="21">
        <f t="shared" si="1384"/>
        <v>-764.76126696350093</v>
      </c>
      <c r="DE168" s="126"/>
      <c r="DF168" s="22">
        <v>-146.07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1.4500000000000001E-2</v>
      </c>
      <c r="C170" s="49">
        <f>'Annual Raw'!D85</f>
        <v>1.4500000000000001E-2</v>
      </c>
      <c r="D170" s="49">
        <f>'Annual Raw'!E85</f>
        <v>1.4500000000000001E-2</v>
      </c>
      <c r="E170" s="49">
        <f>'Annual Raw'!F85</f>
        <v>0.96279999999999999</v>
      </c>
      <c r="F170" s="49">
        <f>'Annual Raw'!G85</f>
        <v>0.23519999999999999</v>
      </c>
      <c r="G170" s="49">
        <f>'Annual Raw'!H85</f>
        <v>0.3448</v>
      </c>
      <c r="H170" s="49">
        <f>'Annual Raw'!I85</f>
        <v>9.0499999999999997E-2</v>
      </c>
      <c r="I170" s="49">
        <f>'Annual Raw'!J85</f>
        <v>0.42270000000000002</v>
      </c>
      <c r="J170" s="49">
        <f>'Annual Raw'!K85</f>
        <v>0.4577</v>
      </c>
      <c r="K170" s="49">
        <f>'Annual Raw'!L85</f>
        <v>0.37359999999999999</v>
      </c>
      <c r="L170" s="49">
        <f>'Annual Raw'!M85</f>
        <v>17.929099999999998</v>
      </c>
      <c r="M170" s="49">
        <f>'Annual Raw'!N85</f>
        <v>14.6877</v>
      </c>
      <c r="N170" s="49">
        <f>'Annual Raw'!O85</f>
        <v>15.483599999999999</v>
      </c>
      <c r="O170" s="49">
        <f>'Annual Raw'!P85</f>
        <v>53.873899999999999</v>
      </c>
      <c r="P170" s="49">
        <f>'Annual Raw'!Q85</f>
        <v>59.384700000000002</v>
      </c>
      <c r="Q170" s="49">
        <f>'Annual Raw'!R85</f>
        <v>60.543300000000002</v>
      </c>
      <c r="R170" s="49">
        <f>'Annual Raw'!S85</f>
        <v>52.91</v>
      </c>
      <c r="S170" s="49">
        <f>'Annual Raw'!T85</f>
        <v>47.64</v>
      </c>
      <c r="T170" s="49">
        <f>'Annual Raw'!U85</f>
        <v>50.76</v>
      </c>
      <c r="U170" s="49">
        <f>'Annual Raw'!V85</f>
        <v>51.22</v>
      </c>
      <c r="V170" s="49">
        <f>'Annual Raw'!W85</f>
        <v>53.63</v>
      </c>
      <c r="W170" s="49">
        <f>'Annual Raw'!X85</f>
        <v>73.89</v>
      </c>
      <c r="X170" s="49">
        <f>'Annual Raw'!Y85</f>
        <v>76.23</v>
      </c>
      <c r="Y170" s="49">
        <f>'Annual Raw'!Z85</f>
        <v>82.89</v>
      </c>
      <c r="Z170" s="49">
        <f>'Annual Raw'!AA85</f>
        <v>87.48</v>
      </c>
      <c r="AA170" s="49">
        <f>'Annual Raw'!AB85</f>
        <v>63.39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1.4500000000000001E-2</v>
      </c>
      <c r="C171" s="29">
        <f>'Annual Raw'!D95</f>
        <v>1.4500000000000001E-2</v>
      </c>
      <c r="D171" s="29">
        <f>'Annual Raw'!E95</f>
        <v>1.4500000000000001E-2</v>
      </c>
      <c r="E171" s="29">
        <f>'Annual Raw'!F95</f>
        <v>0.96279999999999999</v>
      </c>
      <c r="F171" s="29">
        <f>'Annual Raw'!G95</f>
        <v>0.23519999999999999</v>
      </c>
      <c r="G171" s="29">
        <f>'Annual Raw'!H95</f>
        <v>0.3448</v>
      </c>
      <c r="H171" s="29">
        <f>'Annual Raw'!I95</f>
        <v>9.0499999999999997E-2</v>
      </c>
      <c r="I171" s="29">
        <f>'Annual Raw'!J95</f>
        <v>0.42270000000000002</v>
      </c>
      <c r="J171" s="29">
        <f>'Annual Raw'!K95</f>
        <v>0.4577</v>
      </c>
      <c r="K171" s="29">
        <f>'Annual Raw'!L95</f>
        <v>0.37359999999999999</v>
      </c>
      <c r="L171" s="29">
        <f>'Annual Raw'!M95</f>
        <v>0.12429999999999999</v>
      </c>
      <c r="M171" s="29">
        <f>'Annual Raw'!N95</f>
        <v>0.1125</v>
      </c>
      <c r="N171" s="29">
        <f>'Annual Raw'!O95</f>
        <v>9.5000000000000001E-2</v>
      </c>
      <c r="O171" s="29">
        <f>'Annual Raw'!P95</f>
        <v>0.09</v>
      </c>
      <c r="P171" s="29">
        <f>'Annual Raw'!Q95</f>
        <v>0.19500000000000001</v>
      </c>
      <c r="Q171" s="29">
        <f>'Annual Raw'!R95</f>
        <v>0.09</v>
      </c>
      <c r="R171" s="29">
        <f>'Annual Raw'!S95</f>
        <v>7.0000000000000007E-2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17.8048</v>
      </c>
      <c r="M172" s="29">
        <f>'Annual Raw'!N93</f>
        <v>14.575200000000001</v>
      </c>
      <c r="N172" s="29">
        <f>'Annual Raw'!O93</f>
        <v>15.3886</v>
      </c>
      <c r="O172" s="29">
        <f>'Annual Raw'!P93</f>
        <v>53.783900000000003</v>
      </c>
      <c r="P172" s="29">
        <f>'Annual Raw'!Q93</f>
        <v>59.189700000000002</v>
      </c>
      <c r="Q172" s="29">
        <f>'Annual Raw'!R93</f>
        <v>60.453299999999999</v>
      </c>
      <c r="R172" s="29">
        <f>'Annual Raw'!S93</f>
        <v>52.84</v>
      </c>
      <c r="S172" s="29">
        <f>'Annual Raw'!T93</f>
        <v>47.64</v>
      </c>
      <c r="T172" s="29">
        <f>'Annual Raw'!U93</f>
        <v>50.76</v>
      </c>
      <c r="U172" s="29">
        <f>'Annual Raw'!V93</f>
        <v>51.22</v>
      </c>
      <c r="V172" s="29">
        <f>'Annual Raw'!W93</f>
        <v>53.63</v>
      </c>
      <c r="W172" s="29">
        <f>'Annual Raw'!X93</f>
        <v>73.89</v>
      </c>
      <c r="X172" s="29">
        <f>'Annual Raw'!Y93</f>
        <v>76.23</v>
      </c>
      <c r="Y172" s="29">
        <f>'Annual Raw'!Z93</f>
        <v>82.89</v>
      </c>
      <c r="Z172" s="29">
        <f>'Annual Raw'!AA93</f>
        <v>87.48</v>
      </c>
      <c r="AA172" s="29">
        <f>'Annual Raw'!AB93</f>
        <v>63.39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1.9567042083984447E-4</v>
      </c>
      <c r="C175" s="95">
        <f t="shared" si="1392"/>
        <v>2.7188791467594708E-4</v>
      </c>
      <c r="D175" s="95">
        <f t="shared" si="1392"/>
        <v>2.134559699218457E-4</v>
      </c>
      <c r="E175" s="95">
        <f t="shared" si="1392"/>
        <v>1.1286295380214988E-2</v>
      </c>
      <c r="F175" s="95">
        <f t="shared" si="1392"/>
        <v>2.6255157263033809E-3</v>
      </c>
      <c r="G175" s="95">
        <f t="shared" si="1392"/>
        <v>3.3062162234726009E-3</v>
      </c>
      <c r="H175" s="95">
        <f t="shared" si="1392"/>
        <v>6.4146455217268649E-4</v>
      </c>
      <c r="I175" s="95">
        <f t="shared" si="1392"/>
        <v>2.3211386154108888E-3</v>
      </c>
      <c r="J175" s="95">
        <f t="shared" si="1392"/>
        <v>2.3772980244585891E-3</v>
      </c>
      <c r="K175" s="95">
        <f t="shared" si="1392"/>
        <v>1.663490480346234E-3</v>
      </c>
      <c r="L175" s="95">
        <f t="shared" si="1392"/>
        <v>6.3341892396047664E-2</v>
      </c>
      <c r="M175" s="95">
        <f t="shared" si="1392"/>
        <v>4.7286522969105696E-2</v>
      </c>
      <c r="N175" s="95">
        <f t="shared" si="1392"/>
        <v>4.262463775417083E-2</v>
      </c>
      <c r="O175" s="95">
        <f t="shared" si="1392"/>
        <v>0.14024953602814053</v>
      </c>
      <c r="P175" s="95">
        <f t="shared" si="1392"/>
        <v>0.14347176610686183</v>
      </c>
      <c r="Q175" s="95">
        <f t="shared" si="1392"/>
        <v>0.13686236948881503</v>
      </c>
      <c r="R175" s="95">
        <f t="shared" si="1392"/>
        <v>8.7461773700305792E-2</v>
      </c>
      <c r="S175" s="95">
        <f t="shared" si="1392"/>
        <v>6.5667773994789583E-2</v>
      </c>
      <c r="T175" s="95">
        <f t="shared" si="1392"/>
        <v>5.6829377519032685E-2</v>
      </c>
      <c r="U175" s="95">
        <f t="shared" si="1392"/>
        <v>5.0252636742702965E-2</v>
      </c>
      <c r="V175" s="95">
        <f t="shared" si="1392"/>
        <v>4.6931471126162784E-2</v>
      </c>
      <c r="W175" s="95">
        <f t="shared" si="1392"/>
        <v>5.8864299029683091E-2</v>
      </c>
      <c r="X175" s="95">
        <f t="shared" ref="X175:Y175" si="1393">X170/X120</f>
        <v>4.6613589668329916E-2</v>
      </c>
      <c r="Y175" s="95">
        <f t="shared" si="1393"/>
        <v>4.3368161104164159E-2</v>
      </c>
      <c r="Z175" s="95">
        <f t="shared" ref="Z175:AA175" si="1394">Z170/Z120</f>
        <v>4.3995171997586006E-2</v>
      </c>
      <c r="AA175" s="95">
        <f t="shared" si="1394"/>
        <v>3.1043551080574151E-2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69.184817542640275</v>
      </c>
      <c r="C179" s="67">
        <f t="shared" si="1397"/>
        <v>31.148193846172536</v>
      </c>
      <c r="D179" s="67">
        <f t="shared" si="1397"/>
        <v>26.108551914404948</v>
      </c>
      <c r="E179" s="67">
        <f t="shared" si="1397"/>
        <v>37.908651091532882</v>
      </c>
      <c r="F179" s="67">
        <f t="shared" si="1397"/>
        <v>39.660556295056594</v>
      </c>
      <c r="G179" s="67">
        <f t="shared" si="1397"/>
        <v>38.859959155934774</v>
      </c>
      <c r="H179" s="67">
        <f t="shared" si="1397"/>
        <v>39.818417563496844</v>
      </c>
      <c r="I179" s="67">
        <f t="shared" si="1397"/>
        <v>47.037321229223316</v>
      </c>
      <c r="J179" s="67">
        <f t="shared" si="1397"/>
        <v>44.519692622096322</v>
      </c>
      <c r="K179" s="67">
        <f t="shared" si="1397"/>
        <v>32.989516653329481</v>
      </c>
      <c r="L179" s="67">
        <f t="shared" si="1397"/>
        <v>27.52491410493715</v>
      </c>
      <c r="M179" s="67">
        <f t="shared" si="1397"/>
        <v>49.229767188458837</v>
      </c>
      <c r="N179" s="67">
        <f t="shared" si="1397"/>
        <v>36.105469201482229</v>
      </c>
      <c r="O179" s="67">
        <f t="shared" si="1397"/>
        <v>38.511161046521238</v>
      </c>
      <c r="P179" s="67">
        <f t="shared" si="1397"/>
        <v>45.918215458563751</v>
      </c>
      <c r="Q179" s="67">
        <f t="shared" si="1397"/>
        <v>38.649999438383581</v>
      </c>
      <c r="R179" s="67">
        <f t="shared" si="1397"/>
        <v>40.335932479328221</v>
      </c>
      <c r="S179" s="67">
        <f t="shared" si="1397"/>
        <v>49.2611220884977</v>
      </c>
      <c r="T179" s="67">
        <f t="shared" si="1397"/>
        <v>35.533053128074542</v>
      </c>
      <c r="U179" s="67">
        <f t="shared" si="1397"/>
        <v>49.721507589400574</v>
      </c>
      <c r="V179" s="67">
        <f t="shared" si="1397"/>
        <v>100.9410025190756</v>
      </c>
      <c r="W179" s="67">
        <f t="shared" si="1397"/>
        <v>31.922293702745936</v>
      </c>
      <c r="X179" s="67">
        <f t="shared" si="1397"/>
        <v>40.091198022826866</v>
      </c>
      <c r="Y179" s="67">
        <f t="shared" si="1397"/>
        <v>55.109761021988923</v>
      </c>
      <c r="Z179" s="67">
        <f t="shared" si="1397"/>
        <v>69.400317925749306</v>
      </c>
      <c r="AA179" s="67">
        <f t="shared" ref="AA179" si="1398">AA144/AA8*365</f>
        <v>72.206674167787256</v>
      </c>
      <c r="AB179" s="18">
        <f t="shared" si="1397"/>
        <v>79.375687988514031</v>
      </c>
      <c r="AC179" s="18">
        <f t="shared" si="1397"/>
        <v>79.749976831149795</v>
      </c>
      <c r="AD179" s="18">
        <f t="shared" si="1397"/>
        <v>79.79762971667904</v>
      </c>
      <c r="AE179" s="18">
        <f t="shared" si="1397"/>
        <v>79.802061743246227</v>
      </c>
      <c r="AI179" s="67">
        <f>AJ144/AI8*90</f>
        <v>27.642276422764233</v>
      </c>
      <c r="AJ179" s="67">
        <f>AJ144/AJ8*90</f>
        <v>27.197313845546116</v>
      </c>
      <c r="AK179" s="67">
        <f t="shared" ref="AK179:CE179" si="1399">+AJ179</f>
        <v>27.197313845546116</v>
      </c>
      <c r="AL179" s="67">
        <f>AL144/AL8*90</f>
        <v>33.980586731377564</v>
      </c>
      <c r="AM179" s="67">
        <f t="shared" ref="AM179:AM180" si="1400">+AL179</f>
        <v>33.980586731377564</v>
      </c>
      <c r="AN179" s="67">
        <f>AN144/AN8*90</f>
        <v>37.240889730241364</v>
      </c>
      <c r="AO179" s="67">
        <f t="shared" ref="AO179:AO180" si="1401">+AN179</f>
        <v>37.240889730241364</v>
      </c>
      <c r="AP179" s="67">
        <f>AP144/AP8*90</f>
        <v>35.141873565616521</v>
      </c>
      <c r="AQ179" s="67">
        <f t="shared" ref="AQ179:AQ180" si="1402">+AP179</f>
        <v>35.141873565616521</v>
      </c>
      <c r="AR179" s="67">
        <f>AR144/AR8*90</f>
        <v>72.263658886425873</v>
      </c>
      <c r="AS179" s="67">
        <f t="shared" ref="AS179:AS180" si="1403">+AR179</f>
        <v>72.263658886425873</v>
      </c>
      <c r="AT179" s="67">
        <f>AT144/AT8*90</f>
        <v>38.839732888146912</v>
      </c>
      <c r="AU179" s="67">
        <f t="shared" ref="AU179:AU180" si="1404">+AT179</f>
        <v>38.839732888146912</v>
      </c>
      <c r="AV179" s="67">
        <f>AV144/AV8*90</f>
        <v>69.129575493062134</v>
      </c>
      <c r="AW179" s="67">
        <f t="shared" ref="AW179:AW180" si="1405">+AV179</f>
        <v>69.129575493062134</v>
      </c>
      <c r="AX179" s="67">
        <f>AX144/AX8*90</f>
        <v>29.142443510843648</v>
      </c>
      <c r="AY179" s="67">
        <f t="shared" ref="AY179:AY180" si="1406">+AX179</f>
        <v>29.142443510843648</v>
      </c>
      <c r="AZ179" s="67">
        <f>AZ144/AZ8*90</f>
        <v>53.849797762635276</v>
      </c>
      <c r="BA179" s="67">
        <f t="shared" ref="BA179:BA180" si="1407">+AZ179</f>
        <v>53.849797762635276</v>
      </c>
      <c r="BB179" s="67">
        <f>BB144/BB8*90</f>
        <v>35.123611825581747</v>
      </c>
      <c r="BC179" s="67">
        <f t="shared" ref="BC179:BC180" si="1408">+BB179</f>
        <v>35.123611825581747</v>
      </c>
      <c r="BD179" s="67">
        <f>BD144/BD8*90</f>
        <v>63.536166842661025</v>
      </c>
      <c r="BE179" s="67">
        <f t="shared" ref="BE179:BE180" si="1409">+BD179</f>
        <v>63.536166842661025</v>
      </c>
      <c r="BF179" s="67">
        <f>BF144/BF8*90</f>
        <v>40.816901408450704</v>
      </c>
      <c r="BG179" s="67">
        <f t="shared" ref="BG179:BG180" si="1410">+BF179</f>
        <v>40.816901408450704</v>
      </c>
      <c r="BH179" s="67">
        <f>BH144/BH8*90</f>
        <v>40.444310292785993</v>
      </c>
      <c r="BI179" s="67">
        <f t="shared" ref="BI179:BI180" si="1411">+BH179</f>
        <v>40.444310292785993</v>
      </c>
      <c r="BJ179" s="67">
        <f>BJ144/BJ8*90</f>
        <v>33.203476258361661</v>
      </c>
      <c r="BK179" s="67">
        <f t="shared" ref="BK179:BK180" si="1412">+BJ179</f>
        <v>33.203476258361661</v>
      </c>
      <c r="BL179" s="67">
        <f>BL144/BL8*90</f>
        <v>51.143523920653436</v>
      </c>
      <c r="BM179" s="67">
        <f t="shared" ref="BM179:BM180" si="1413">+BL179</f>
        <v>51.143523920653436</v>
      </c>
      <c r="BN179" s="67">
        <f>BN144/BN8*90</f>
        <v>47.605906409015702</v>
      </c>
      <c r="BO179" s="67">
        <f t="shared" ref="BO179:BO180" si="1414">+BN179</f>
        <v>47.605906409015702</v>
      </c>
      <c r="BP179" s="67">
        <f>BP144/BP8*90</f>
        <v>201.42600717989629</v>
      </c>
      <c r="BQ179" s="67">
        <f t="shared" ref="BQ179:BQ180" si="1415">+BP179</f>
        <v>201.42600717989629</v>
      </c>
      <c r="BR179" s="67">
        <f>BR144/BR8*90</f>
        <v>62.376101741437679</v>
      </c>
      <c r="BS179" s="67">
        <f t="shared" ref="BS179:BS180" si="1416">+BR179</f>
        <v>62.376101741437679</v>
      </c>
      <c r="BT179" s="67">
        <f>BT144/BT8*90</f>
        <v>70.869578313253015</v>
      </c>
      <c r="BU179" s="67">
        <f t="shared" ref="BU179:BU180" si="1417">+BT179</f>
        <v>70.869578313253015</v>
      </c>
      <c r="BV179" s="67">
        <f>BV144/BV8*90</f>
        <v>23.718204594674933</v>
      </c>
      <c r="BW179" s="67">
        <f t="shared" ref="BW179:BW180" si="1418">+BV179</f>
        <v>23.718204594674933</v>
      </c>
      <c r="BX179" s="67">
        <f>BX144/BX8*90</f>
        <v>28.328201793807736</v>
      </c>
      <c r="BY179" s="67">
        <f t="shared" ref="BY179:BY180" si="1419">+BX179</f>
        <v>28.328201793807736</v>
      </c>
      <c r="BZ179" s="67">
        <f>BZ144/BZ8*90</f>
        <v>37.823333391489442</v>
      </c>
      <c r="CA179" s="67">
        <f t="shared" ref="CA179:CA180" si="1420">+BZ179</f>
        <v>37.823333391489442</v>
      </c>
      <c r="CB179" s="67">
        <f>CB144/CB8*90</f>
        <v>74.737553813886748</v>
      </c>
      <c r="CC179" s="67">
        <f t="shared" ref="CC179:CC180" si="1421">+CB179</f>
        <v>74.737553813886748</v>
      </c>
      <c r="CD179" s="67">
        <f>CD144/CD8*90</f>
        <v>48.035704354596525</v>
      </c>
      <c r="CE179" s="67">
        <f t="shared" si="1399"/>
        <v>48.035704354596525</v>
      </c>
      <c r="CF179" s="67">
        <f>CF144/CF8*90</f>
        <v>75.415966070218573</v>
      </c>
      <c r="CG179" s="67">
        <f t="shared" ref="CG179:CI180" si="1422">+CF179</f>
        <v>75.415966070218573</v>
      </c>
      <c r="CH179" s="67">
        <f>CH144/CH8*90</f>
        <v>63.430874888026274</v>
      </c>
      <c r="CI179" s="67">
        <f t="shared" si="1422"/>
        <v>63.430874888026274</v>
      </c>
      <c r="CJ179" s="67">
        <f>CJ144/CJ8*90</f>
        <v>121.95426195426195</v>
      </c>
      <c r="CK179" s="30">
        <f t="shared" ref="CK179:CK180" si="1423">+CJ179</f>
        <v>121.95426195426195</v>
      </c>
      <c r="CL179" s="67">
        <f>CL144/CL8*90</f>
        <v>54.80991484184915</v>
      </c>
      <c r="CM179" s="30">
        <f t="shared" ref="CM179:CM180" si="1424">+CL179</f>
        <v>54.80991484184915</v>
      </c>
      <c r="CN179" s="30">
        <f t="shared" ref="CN179:CN180" si="1425">+CM179</f>
        <v>54.80991484184915</v>
      </c>
      <c r="CO179" s="30">
        <f t="shared" ref="CO179:CO180" si="1426">+CN179</f>
        <v>54.80991484184915</v>
      </c>
      <c r="CP179" s="30">
        <f t="shared" ref="CP179:CP180" si="1427">+CO179</f>
        <v>54.80991484184915</v>
      </c>
      <c r="CQ179" s="30">
        <f t="shared" ref="CQ179:CQ180" si="1428">+CP179</f>
        <v>54.80991484184915</v>
      </c>
      <c r="CR179" s="30">
        <f t="shared" ref="CR179:CR180" si="1429">+CQ179</f>
        <v>54.80991484184915</v>
      </c>
      <c r="CS179" s="30">
        <f t="shared" ref="CS179:CS180" si="1430">+CR179</f>
        <v>54.80991484184915</v>
      </c>
      <c r="CT179" s="30">
        <f t="shared" ref="CT179:CT180" si="1431">+CS179</f>
        <v>54.80991484184915</v>
      </c>
      <c r="CU179" s="30">
        <f t="shared" ref="CU179:CU180" si="1432">+CT179</f>
        <v>54.80991484184915</v>
      </c>
      <c r="CV179" s="30">
        <f t="shared" ref="CV179:CV180" si="1433">+CU179</f>
        <v>54.80991484184915</v>
      </c>
      <c r="CW179" s="30">
        <f t="shared" ref="CW179:CW180" si="1434">+CV179</f>
        <v>54.80991484184915</v>
      </c>
      <c r="CX179" s="30">
        <f t="shared" ref="CX179:CX180" si="1435">+CW179</f>
        <v>54.80991484184915</v>
      </c>
      <c r="CY179" s="30">
        <f t="shared" ref="CY179:CY180" si="1436">+CX179</f>
        <v>54.80991484184915</v>
      </c>
      <c r="CZ179" s="30">
        <f t="shared" ref="CZ179:CZ180" si="1437">+CY179</f>
        <v>54.80991484184915</v>
      </c>
      <c r="DA179" s="30">
        <f t="shared" ref="DA179:DA180" si="1438">+CZ179</f>
        <v>54.80991484184915</v>
      </c>
      <c r="DB179" s="30">
        <f t="shared" ref="DB179:DB180" si="1439">+DA179</f>
        <v>54.80991484184915</v>
      </c>
      <c r="DE179" s="139"/>
      <c r="DF179" s="62">
        <v>76.914098126797782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45.267732175888753</v>
      </c>
      <c r="C180" s="67">
        <f t="shared" si="1440"/>
        <v>46.65976119310681</v>
      </c>
      <c r="D180" s="67">
        <f t="shared" si="1440"/>
        <v>37.515300440719152</v>
      </c>
      <c r="E180" s="67">
        <f t="shared" si="1440"/>
        <v>38.559707218042703</v>
      </c>
      <c r="F180" s="67">
        <f t="shared" si="1440"/>
        <v>36.479626643512773</v>
      </c>
      <c r="G180" s="67">
        <f t="shared" si="1440"/>
        <v>34.871195003240288</v>
      </c>
      <c r="H180" s="67">
        <f t="shared" si="1440"/>
        <v>36.867169377118373</v>
      </c>
      <c r="I180" s="67">
        <f t="shared" si="1440"/>
        <v>33.314489645215055</v>
      </c>
      <c r="J180" s="67">
        <f t="shared" si="1440"/>
        <v>31.892003412934006</v>
      </c>
      <c r="K180" s="67">
        <f t="shared" si="1440"/>
        <v>31.031730773048039</v>
      </c>
      <c r="L180" s="67">
        <f t="shared" si="1440"/>
        <v>32.060484272062865</v>
      </c>
      <c r="M180" s="67">
        <f t="shared" si="1440"/>
        <v>57.225106232372191</v>
      </c>
      <c r="N180" s="67">
        <f t="shared" si="1440"/>
        <v>41.072080023669947</v>
      </c>
      <c r="O180" s="67">
        <f t="shared" si="1440"/>
        <v>41.311993337462809</v>
      </c>
      <c r="P180" s="67">
        <f t="shared" si="1440"/>
        <v>42.19931943312298</v>
      </c>
      <c r="Q180" s="67">
        <f t="shared" si="1440"/>
        <v>43.819440505651585</v>
      </c>
      <c r="R180" s="67">
        <f t="shared" si="1440"/>
        <v>33.061265584165206</v>
      </c>
      <c r="S180" s="67">
        <f t="shared" si="1440"/>
        <v>33.363186122302345</v>
      </c>
      <c r="T180" s="67">
        <f t="shared" si="1440"/>
        <v>21.036771514555245</v>
      </c>
      <c r="U180" s="67">
        <f t="shared" si="1440"/>
        <v>23.772068754823778</v>
      </c>
      <c r="V180" s="67">
        <f t="shared" si="1440"/>
        <v>36.276575030727855</v>
      </c>
      <c r="W180" s="67">
        <f t="shared" si="1440"/>
        <v>26.091819981820617</v>
      </c>
      <c r="X180" s="67">
        <f t="shared" si="1440"/>
        <v>15.871374308604988</v>
      </c>
      <c r="Y180" s="67">
        <f t="shared" si="1440"/>
        <v>22.816447896290786</v>
      </c>
      <c r="Z180" s="67">
        <f t="shared" si="1440"/>
        <v>29.042087569210612</v>
      </c>
      <c r="AA180" s="67">
        <f t="shared" ref="AA180" si="1441">AA145/AA8*365</f>
        <v>38.091660034578332</v>
      </c>
      <c r="AB180" s="18">
        <f t="shared" si="1440"/>
        <v>41.87357687799588</v>
      </c>
      <c r="AC180" s="18">
        <f t="shared" si="1440"/>
        <v>42.071027924076297</v>
      </c>
      <c r="AD180" s="18">
        <f t="shared" si="1440"/>
        <v>42.096166563075627</v>
      </c>
      <c r="AE180" s="18">
        <f t="shared" si="1440"/>
        <v>42.098504619096182</v>
      </c>
      <c r="AI180" s="67">
        <f>AJ145/AI8*90</f>
        <v>54.84643179765132</v>
      </c>
      <c r="AJ180" s="67">
        <f>AJ145/AJ8*90</f>
        <v>53.963559154651399</v>
      </c>
      <c r="AK180" s="67">
        <f>+AJ180</f>
        <v>53.963559154651399</v>
      </c>
      <c r="AL180" s="67">
        <f>AL145/AL8*90</f>
        <v>38.65277115742947</v>
      </c>
      <c r="AM180" s="67">
        <f t="shared" si="1400"/>
        <v>38.65277115742947</v>
      </c>
      <c r="AN180" s="67">
        <f>AN145/AN8*90</f>
        <v>30.805726455276861</v>
      </c>
      <c r="AO180" s="67">
        <f t="shared" si="1401"/>
        <v>30.805726455276861</v>
      </c>
      <c r="AP180" s="67">
        <f>AP145/AP8*90</f>
        <v>37.69559774671395</v>
      </c>
      <c r="AQ180" s="67">
        <f t="shared" si="1402"/>
        <v>37.69559774671395</v>
      </c>
      <c r="AR180" s="67">
        <f>AR145/AR8*90</f>
        <v>31.998956839222849</v>
      </c>
      <c r="AS180" s="67">
        <f t="shared" si="1403"/>
        <v>31.998956839222849</v>
      </c>
      <c r="AT180" s="67">
        <f>AT145/AT8*90</f>
        <v>35.696031847951723</v>
      </c>
      <c r="AU180" s="67">
        <f t="shared" si="1404"/>
        <v>35.696031847951723</v>
      </c>
      <c r="AV180" s="67">
        <f>AV145/AV8*90</f>
        <v>28.682010952361345</v>
      </c>
      <c r="AW180" s="67">
        <f t="shared" si="1405"/>
        <v>28.682010952361345</v>
      </c>
      <c r="AX180" s="67">
        <f>AX145/AX8*90</f>
        <v>33.041046894515731</v>
      </c>
      <c r="AY180" s="67">
        <f t="shared" si="1406"/>
        <v>33.041046894515731</v>
      </c>
      <c r="AZ180" s="67">
        <f>AZ145/AZ8*90</f>
        <v>30.473344750938306</v>
      </c>
      <c r="BA180" s="67">
        <f t="shared" si="1407"/>
        <v>30.473344750938306</v>
      </c>
      <c r="BB180" s="67">
        <f>BB145/BB8*90</f>
        <v>28.788997488425569</v>
      </c>
      <c r="BC180" s="67">
        <f t="shared" si="1408"/>
        <v>28.788997488425569</v>
      </c>
      <c r="BD180" s="67">
        <f>BD145/BD8*90</f>
        <v>35.36166842661035</v>
      </c>
      <c r="BE180" s="67">
        <f t="shared" si="1409"/>
        <v>35.36166842661035</v>
      </c>
      <c r="BF180" s="67">
        <f>BF145/BF8*90</f>
        <v>27.644150617993677</v>
      </c>
      <c r="BG180" s="67">
        <f t="shared" si="1410"/>
        <v>27.644150617993677</v>
      </c>
      <c r="BH180" s="67">
        <f>BH145/BH8*90</f>
        <v>23.229399335949292</v>
      </c>
      <c r="BI180" s="67">
        <f t="shared" si="1411"/>
        <v>23.229399335949292</v>
      </c>
      <c r="BJ180" s="67">
        <f>BJ145/BJ8*90</f>
        <v>19.657583068318893</v>
      </c>
      <c r="BK180" s="67">
        <f t="shared" si="1412"/>
        <v>19.657583068318893</v>
      </c>
      <c r="BL180" s="67">
        <f>BL145/BL8*90</f>
        <v>15.23353892315386</v>
      </c>
      <c r="BM180" s="67">
        <f t="shared" si="1413"/>
        <v>15.23353892315386</v>
      </c>
      <c r="BN180" s="67">
        <f>BN145/BN8*90</f>
        <v>22.760590640901572</v>
      </c>
      <c r="BO180" s="67">
        <f t="shared" si="1414"/>
        <v>22.760590640901572</v>
      </c>
      <c r="BP180" s="67">
        <f>BP145/BP8*90</f>
        <v>32.070203430394898</v>
      </c>
      <c r="BQ180" s="67">
        <f t="shared" si="1415"/>
        <v>32.070203430394898</v>
      </c>
      <c r="BR180" s="67">
        <f>BR145/BR8*90</f>
        <v>22.416969105492697</v>
      </c>
      <c r="BS180" s="67">
        <f t="shared" si="1416"/>
        <v>22.416969105492697</v>
      </c>
      <c r="BT180" s="67">
        <f>BT145/BT8*90</f>
        <v>21.567469879518072</v>
      </c>
      <c r="BU180" s="67">
        <f t="shared" si="1417"/>
        <v>21.567469879518072</v>
      </c>
      <c r="BV180" s="67">
        <f>BV145/BV8*90</f>
        <v>19.386173510552464</v>
      </c>
      <c r="BW180" s="67">
        <f t="shared" si="1418"/>
        <v>19.386173510552464</v>
      </c>
      <c r="BX180" s="67">
        <f>BX145/BX8*90</f>
        <v>9.7915511273450502</v>
      </c>
      <c r="BY180" s="67">
        <f t="shared" si="1419"/>
        <v>9.7915511273450502</v>
      </c>
      <c r="BZ180" s="67">
        <f>BZ145/BZ8*90</f>
        <v>14.97356805136347</v>
      </c>
      <c r="CA180" s="67">
        <f t="shared" si="1420"/>
        <v>14.97356805136347</v>
      </c>
      <c r="CB180" s="67">
        <f>CB145/CB8*90</f>
        <v>16.854509327740367</v>
      </c>
      <c r="CC180" s="67">
        <f t="shared" si="1421"/>
        <v>16.854509327740367</v>
      </c>
      <c r="CD180" s="67">
        <f>CD145/CD8*90</f>
        <v>19.887659195817811</v>
      </c>
      <c r="CE180" s="114">
        <f t="shared" ref="CE180" si="1442">+CD180</f>
        <v>19.887659195817811</v>
      </c>
      <c r="CF180" s="67">
        <f>CF145/CF8*90</f>
        <v>20.217080332270935</v>
      </c>
      <c r="CG180" s="67">
        <f t="shared" si="1422"/>
        <v>20.217080332270935</v>
      </c>
      <c r="CH180" s="67">
        <f>CH145/CH8*90</f>
        <v>26.544042997909823</v>
      </c>
      <c r="CI180" s="67">
        <f t="shared" si="1422"/>
        <v>26.544042997909823</v>
      </c>
      <c r="CJ180" s="67">
        <f>CJ145/CJ8*90</f>
        <v>21.756756756756754</v>
      </c>
      <c r="CK180" s="30">
        <f t="shared" si="1423"/>
        <v>21.756756756756754</v>
      </c>
      <c r="CL180" s="67">
        <f>CL145/CL8*90</f>
        <v>28.914233576642332</v>
      </c>
      <c r="CM180" s="30">
        <f t="shared" si="1424"/>
        <v>28.914233576642332</v>
      </c>
      <c r="CN180" s="30">
        <f t="shared" si="1425"/>
        <v>28.914233576642332</v>
      </c>
      <c r="CO180" s="30">
        <f t="shared" si="1426"/>
        <v>28.914233576642332</v>
      </c>
      <c r="CP180" s="30">
        <f t="shared" si="1427"/>
        <v>28.914233576642332</v>
      </c>
      <c r="CQ180" s="30">
        <f t="shared" si="1428"/>
        <v>28.914233576642332</v>
      </c>
      <c r="CR180" s="30">
        <f t="shared" si="1429"/>
        <v>28.914233576642332</v>
      </c>
      <c r="CS180" s="30">
        <f t="shared" si="1430"/>
        <v>28.914233576642332</v>
      </c>
      <c r="CT180" s="30">
        <f t="shared" si="1431"/>
        <v>28.914233576642332</v>
      </c>
      <c r="CU180" s="30">
        <f t="shared" si="1432"/>
        <v>28.914233576642332</v>
      </c>
      <c r="CV180" s="30">
        <f t="shared" si="1433"/>
        <v>28.914233576642332</v>
      </c>
      <c r="CW180" s="30">
        <f t="shared" si="1434"/>
        <v>28.914233576642332</v>
      </c>
      <c r="CX180" s="30">
        <f t="shared" si="1435"/>
        <v>28.914233576642332</v>
      </c>
      <c r="CY180" s="30">
        <f t="shared" si="1436"/>
        <v>28.914233576642332</v>
      </c>
      <c r="CZ180" s="30">
        <f t="shared" si="1437"/>
        <v>28.914233576642332</v>
      </c>
      <c r="DA180" s="30">
        <f t="shared" si="1438"/>
        <v>28.914233576642332</v>
      </c>
      <c r="DB180" s="30">
        <f t="shared" si="1439"/>
        <v>28.914233576642332</v>
      </c>
      <c r="DE180" s="139"/>
      <c r="DF180" s="62">
        <v>40.574998246065334</v>
      </c>
    </row>
    <row r="181" spans="1:110" s="62" customFormat="1" outlineLevel="1" x14ac:dyDescent="0.2">
      <c r="A181" s="68" t="s">
        <v>466</v>
      </c>
      <c r="B181" s="67">
        <f>B182-B180-B179</f>
        <v>30.95738662481638</v>
      </c>
      <c r="C181" s="67">
        <f t="shared" ref="C181:U181" si="1443">C182-C180-C179</f>
        <v>27.582244479992585</v>
      </c>
      <c r="D181" s="67">
        <f t="shared" si="1443"/>
        <v>25.832875608726852</v>
      </c>
      <c r="E181" s="67">
        <f t="shared" si="1443"/>
        <v>14.186230080628427</v>
      </c>
      <c r="F181" s="67">
        <f t="shared" si="1443"/>
        <v>19.256369479815021</v>
      </c>
      <c r="G181" s="67">
        <f t="shared" si="1443"/>
        <v>17.512837025871832</v>
      </c>
      <c r="H181" s="67">
        <f t="shared" si="1443"/>
        <v>26.912764184450289</v>
      </c>
      <c r="I181" s="67">
        <f t="shared" si="1443"/>
        <v>22.959118111375808</v>
      </c>
      <c r="J181" s="67">
        <f t="shared" si="1443"/>
        <v>19.886003869845176</v>
      </c>
      <c r="K181" s="67">
        <f t="shared" si="1443"/>
        <v>29.415158411886601</v>
      </c>
      <c r="L181" s="67">
        <f t="shared" si="1443"/>
        <v>148.03104051316586</v>
      </c>
      <c r="M181" s="67">
        <f t="shared" si="1443"/>
        <v>78.443459875472101</v>
      </c>
      <c r="N181" s="67">
        <f t="shared" si="1443"/>
        <v>49.284813541279455</v>
      </c>
      <c r="O181" s="67">
        <f t="shared" si="1443"/>
        <v>42.399633928799631</v>
      </c>
      <c r="P181" s="67">
        <f t="shared" si="1443"/>
        <v>46.822482197355058</v>
      </c>
      <c r="Q181" s="67">
        <f t="shared" si="1443"/>
        <v>49.260654258068975</v>
      </c>
      <c r="R181" s="67">
        <f t="shared" si="1443"/>
        <v>24.970309755366088</v>
      </c>
      <c r="S181" s="67">
        <f t="shared" si="1443"/>
        <v>16.163317850941354</v>
      </c>
      <c r="T181" s="67">
        <f t="shared" si="1443"/>
        <v>25.272114995080756</v>
      </c>
      <c r="U181" s="67">
        <f t="shared" si="1443"/>
        <v>14.434613776691549</v>
      </c>
      <c r="V181" s="67">
        <f>V182-V180-V179</f>
        <v>30.888613048081481</v>
      </c>
      <c r="W181" s="67">
        <f t="shared" ref="W181" si="1444">W182-W180-W179</f>
        <v>21.516428385205639</v>
      </c>
      <c r="X181" s="67">
        <f t="shared" ref="X181:Y181" si="1445">X182-X180-X179</f>
        <v>36.630985440235655</v>
      </c>
      <c r="Y181" s="67">
        <f t="shared" si="1445"/>
        <v>58.134088847168421</v>
      </c>
      <c r="Z181" s="67">
        <f t="shared" ref="Z181:AA181" si="1446">Z182-Z180-Z179</f>
        <v>44.833330648149641</v>
      </c>
      <c r="AA181" s="67">
        <f t="shared" si="1446"/>
        <v>130.10343313482804</v>
      </c>
      <c r="AB181" s="18">
        <f t="shared" ref="AA181:AD181" si="1447">AB182-AB180-AB179</f>
        <v>143.02070596337882</v>
      </c>
      <c r="AC181" s="18">
        <f t="shared" si="1447"/>
        <v>143.6951071038859</v>
      </c>
      <c r="AD181" s="18">
        <f t="shared" si="1447"/>
        <v>143.78096902839064</v>
      </c>
      <c r="AE181" s="18">
        <f t="shared" ref="AE181" si="1448">AE182-AE180-AE179</f>
        <v>143.78895474271388</v>
      </c>
      <c r="AI181" s="67">
        <f t="shared" ref="AI181:AK181" si="1449">AI182-AI180-AI179</f>
        <v>-82.48870822041556</v>
      </c>
      <c r="AJ181" s="67">
        <f t="shared" ref="AJ181:AM181" si="1450">AJ182-AJ180-AJ179</f>
        <v>57.496543551254177</v>
      </c>
      <c r="AK181" s="67">
        <f t="shared" si="1449"/>
        <v>57.862254025044763</v>
      </c>
      <c r="AL181" s="67">
        <f t="shared" si="1450"/>
        <v>46.382545391515357</v>
      </c>
      <c r="AM181" s="67">
        <f t="shared" si="1450"/>
        <v>49.239580458183802</v>
      </c>
      <c r="AN181" s="67">
        <f t="shared" ref="AN181:AY181" si="1451">AN182-AN180-AN179</f>
        <v>45.915759583530516</v>
      </c>
      <c r="AO181" s="67">
        <f t="shared" si="1451"/>
        <v>45.924815589128613</v>
      </c>
      <c r="AP181" s="67">
        <f t="shared" si="1451"/>
        <v>38.687669518047159</v>
      </c>
      <c r="AQ181" s="67">
        <f t="shared" si="1451"/>
        <v>52.067577686259824</v>
      </c>
      <c r="AR181" s="67">
        <f t="shared" si="1451"/>
        <v>49.113313339418454</v>
      </c>
      <c r="AS181" s="67">
        <f t="shared" si="1451"/>
        <v>43.645950017381921</v>
      </c>
      <c r="AT181" s="67">
        <f t="shared" si="1451"/>
        <v>39.605432130473858</v>
      </c>
      <c r="AU181" s="67">
        <f t="shared" si="1451"/>
        <v>51.942315789473682</v>
      </c>
      <c r="AV181" s="67">
        <f t="shared" si="1451"/>
        <v>55.807633713509261</v>
      </c>
      <c r="AW181" s="67">
        <f t="shared" si="1451"/>
        <v>51.963579727257127</v>
      </c>
      <c r="AX181" s="67">
        <f t="shared" si="1451"/>
        <v>37.144033155444518</v>
      </c>
      <c r="AY181" s="67">
        <f t="shared" si="1451"/>
        <v>47.73182845936374</v>
      </c>
      <c r="AZ181" s="67">
        <f t="shared" ref="AZ181:BC181" si="1452">AZ182-AZ180-AZ179</f>
        <v>51.652516124330432</v>
      </c>
      <c r="BA181" s="67">
        <f t="shared" si="1452"/>
        <v>42.217613267675233</v>
      </c>
      <c r="BB181" s="67">
        <f t="shared" si="1452"/>
        <v>21.743577329258329</v>
      </c>
      <c r="BC181" s="67">
        <f t="shared" si="1452"/>
        <v>25.203702889879835</v>
      </c>
      <c r="BD181" s="67">
        <f t="shared" ref="BD181:CE181" si="1453">BD182-BD180-BD179</f>
        <v>25.497624076029574</v>
      </c>
      <c r="BE181" s="67">
        <f t="shared" si="1453"/>
        <v>19.656400515568812</v>
      </c>
      <c r="BF181" s="67">
        <f t="shared" si="1453"/>
        <v>13.392641563667738</v>
      </c>
      <c r="BG181" s="67">
        <f t="shared" si="1453"/>
        <v>16.949072389959994</v>
      </c>
      <c r="BH181" s="67">
        <f t="shared" si="1453"/>
        <v>14.609719287654677</v>
      </c>
      <c r="BI181" s="67">
        <f t="shared" si="1453"/>
        <v>13.651671132421377</v>
      </c>
      <c r="BJ181" s="67">
        <f t="shared" si="1453"/>
        <v>23.615253865555452</v>
      </c>
      <c r="BK181" s="67">
        <f t="shared" si="1453"/>
        <v>30.928512441204987</v>
      </c>
      <c r="BL181" s="67">
        <f t="shared" si="1453"/>
        <v>28.936822803800624</v>
      </c>
      <c r="BM181" s="67">
        <f t="shared" si="1453"/>
        <v>30.405661038324112</v>
      </c>
      <c r="BN181" s="67">
        <f t="shared" si="1453"/>
        <v>13.820435176224535</v>
      </c>
      <c r="BO181" s="67">
        <f t="shared" si="1453"/>
        <v>31.797026502908864</v>
      </c>
      <c r="BP181" s="67">
        <f t="shared" si="1453"/>
        <v>45.568408456322317</v>
      </c>
      <c r="BQ181" s="67">
        <f t="shared" si="1453"/>
        <v>41.663019693654263</v>
      </c>
      <c r="BR181" s="67">
        <f t="shared" si="1453"/>
        <v>19.087498856323762</v>
      </c>
      <c r="BS181" s="67">
        <f t="shared" si="1453"/>
        <v>28.701274878473811</v>
      </c>
      <c r="BT181" s="67">
        <f t="shared" si="1453"/>
        <v>17.547289156626491</v>
      </c>
      <c r="BU181" s="67">
        <f t="shared" si="1453"/>
        <v>17.433864017237241</v>
      </c>
      <c r="BV181" s="67">
        <f t="shared" si="1453"/>
        <v>15.986666100471364</v>
      </c>
      <c r="BW181" s="67">
        <f t="shared" si="1453"/>
        <v>17.473254275834858</v>
      </c>
      <c r="BX181" s="67">
        <f t="shared" si="1453"/>
        <v>69.089900747738625</v>
      </c>
      <c r="BY181" s="67">
        <f t="shared" si="1453"/>
        <v>65.000269876396629</v>
      </c>
      <c r="BZ181" s="67">
        <f t="shared" si="1453"/>
        <v>34.558856883647096</v>
      </c>
      <c r="CA181" s="67">
        <f t="shared" si="1453"/>
        <v>46.4357549757367</v>
      </c>
      <c r="CB181" s="67">
        <f t="shared" si="1453"/>
        <v>48.241251793796252</v>
      </c>
      <c r="CC181" s="67">
        <f t="shared" si="1453"/>
        <v>36.920396223625559</v>
      </c>
      <c r="CD181" s="67">
        <f t="shared" si="1453"/>
        <v>50.671820254713346</v>
      </c>
      <c r="CE181" s="114">
        <f t="shared" si="1453"/>
        <v>64.736991686995253</v>
      </c>
      <c r="CF181" s="67">
        <f t="shared" ref="CF181:CG181" si="1454">CF182-CF180-CF179</f>
        <v>39.889828594373469</v>
      </c>
      <c r="CG181" s="67">
        <f t="shared" si="1454"/>
        <v>36.85090302088885</v>
      </c>
      <c r="CH181" s="67">
        <f t="shared" ref="CH181" si="1455">CH182-CH180-CH179</f>
        <v>40.977008062108062</v>
      </c>
      <c r="CI181" s="67">
        <f>CH181</f>
        <v>40.977008062108062</v>
      </c>
      <c r="CJ181" s="67">
        <f t="shared" ref="CJ181:CL181" si="1456">CJ182-CJ180-CJ179</f>
        <v>59.981808731808783</v>
      </c>
      <c r="CK181" s="30">
        <f t="shared" ref="CK181:DB181" si="1457">CJ181</f>
        <v>59.981808731808783</v>
      </c>
      <c r="CL181" s="67">
        <f t="shared" si="1456"/>
        <v>98.757603406325984</v>
      </c>
      <c r="CM181" s="30">
        <f t="shared" si="1457"/>
        <v>98.757603406325984</v>
      </c>
      <c r="CN181" s="30">
        <f t="shared" si="1457"/>
        <v>98.757603406325984</v>
      </c>
      <c r="CO181" s="30">
        <f t="shared" si="1457"/>
        <v>98.757603406325984</v>
      </c>
      <c r="CP181" s="30">
        <f t="shared" si="1457"/>
        <v>98.757603406325984</v>
      </c>
      <c r="CQ181" s="30">
        <f t="shared" si="1457"/>
        <v>98.757603406325984</v>
      </c>
      <c r="CR181" s="30">
        <f t="shared" si="1457"/>
        <v>98.757603406325984</v>
      </c>
      <c r="CS181" s="30">
        <f t="shared" si="1457"/>
        <v>98.757603406325984</v>
      </c>
      <c r="CT181" s="30">
        <f t="shared" si="1457"/>
        <v>98.757603406325984</v>
      </c>
      <c r="CU181" s="30">
        <f t="shared" si="1457"/>
        <v>98.757603406325984</v>
      </c>
      <c r="CV181" s="30">
        <f t="shared" si="1457"/>
        <v>98.757603406325984</v>
      </c>
      <c r="CW181" s="30">
        <f t="shared" si="1457"/>
        <v>98.757603406325984</v>
      </c>
      <c r="CX181" s="30">
        <f t="shared" si="1457"/>
        <v>98.757603406325984</v>
      </c>
      <c r="CY181" s="30">
        <f t="shared" si="1457"/>
        <v>98.757603406325984</v>
      </c>
      <c r="CZ181" s="30">
        <f t="shared" si="1457"/>
        <v>98.757603406325984</v>
      </c>
      <c r="DA181" s="30">
        <f t="shared" si="1457"/>
        <v>98.757603406325984</v>
      </c>
      <c r="DB181" s="30">
        <f t="shared" si="1457"/>
        <v>98.757603406325984</v>
      </c>
      <c r="DE181" s="139"/>
      <c r="DF181" s="62">
        <v>138.58536399990641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145.40993634334541</v>
      </c>
      <c r="C182" s="70">
        <f t="shared" si="1458"/>
        <v>105.39019951927193</v>
      </c>
      <c r="D182" s="70">
        <f t="shared" si="1458"/>
        <v>89.456727963850952</v>
      </c>
      <c r="E182" s="70">
        <f t="shared" si="1458"/>
        <v>90.654588390204012</v>
      </c>
      <c r="F182" s="70">
        <f t="shared" si="1458"/>
        <v>95.396552418384388</v>
      </c>
      <c r="G182" s="70">
        <f t="shared" si="1458"/>
        <v>91.243991185046895</v>
      </c>
      <c r="H182" s="70">
        <f t="shared" si="1458"/>
        <v>103.59835112506551</v>
      </c>
      <c r="I182" s="70">
        <f t="shared" si="1458"/>
        <v>103.31092898581419</v>
      </c>
      <c r="J182" s="70">
        <f t="shared" si="1458"/>
        <v>96.2976999048755</v>
      </c>
      <c r="K182" s="70">
        <f t="shared" si="1458"/>
        <v>93.436405838264122</v>
      </c>
      <c r="L182" s="70">
        <f t="shared" si="1458"/>
        <v>207.61643889016588</v>
      </c>
      <c r="M182" s="70">
        <f t="shared" si="1458"/>
        <v>184.89833329630312</v>
      </c>
      <c r="N182" s="70">
        <f t="shared" si="1458"/>
        <v>126.46236276643164</v>
      </c>
      <c r="O182" s="70">
        <f t="shared" si="1458"/>
        <v>122.22278831278368</v>
      </c>
      <c r="P182" s="70">
        <f t="shared" si="1458"/>
        <v>134.94001708904179</v>
      </c>
      <c r="Q182" s="70">
        <f t="shared" si="1458"/>
        <v>131.73009420210414</v>
      </c>
      <c r="R182" s="70">
        <f t="shared" si="1458"/>
        <v>98.367507818859508</v>
      </c>
      <c r="S182" s="70">
        <f t="shared" si="1458"/>
        <v>98.787626061741392</v>
      </c>
      <c r="T182" s="70">
        <f t="shared" si="1458"/>
        <v>81.841939637710539</v>
      </c>
      <c r="U182" s="70">
        <f t="shared" si="1458"/>
        <v>87.9281901209159</v>
      </c>
      <c r="V182" s="70">
        <f t="shared" si="1458"/>
        <v>168.10619059788493</v>
      </c>
      <c r="W182" s="70">
        <f t="shared" si="1458"/>
        <v>79.530542069772196</v>
      </c>
      <c r="X182" s="70">
        <f t="shared" si="1458"/>
        <v>92.593557771667506</v>
      </c>
      <c r="Y182" s="70">
        <f t="shared" si="1458"/>
        <v>136.06029776544813</v>
      </c>
      <c r="Z182" s="70">
        <f t="shared" si="1458"/>
        <v>143.27573614310955</v>
      </c>
      <c r="AA182" s="70">
        <f t="shared" ref="AA182" si="1459">AA148/AA8*365</f>
        <v>240.40176733719363</v>
      </c>
      <c r="AB182" s="71">
        <f t="shared" si="1458"/>
        <v>264.26997082988873</v>
      </c>
      <c r="AC182" s="71">
        <f t="shared" si="1458"/>
        <v>265.51611185911202</v>
      </c>
      <c r="AD182" s="71">
        <f t="shared" si="1458"/>
        <v>265.67476530814531</v>
      </c>
      <c r="AE182" s="71">
        <f t="shared" si="1458"/>
        <v>265.68952110505631</v>
      </c>
      <c r="AI182" s="70">
        <f t="shared" ref="AI182:CD182" si="1460">AI148/AI8*90</f>
        <v>0</v>
      </c>
      <c r="AJ182" s="70">
        <f t="shared" si="1460"/>
        <v>138.65741655145169</v>
      </c>
      <c r="AK182" s="70">
        <f t="shared" si="1460"/>
        <v>139.02312702524227</v>
      </c>
      <c r="AL182" s="70">
        <f t="shared" si="1460"/>
        <v>119.01590328032239</v>
      </c>
      <c r="AM182" s="70">
        <f t="shared" si="1460"/>
        <v>121.87293834699084</v>
      </c>
      <c r="AN182" s="70">
        <f t="shared" si="1460"/>
        <v>113.96237576904875</v>
      </c>
      <c r="AO182" s="70">
        <f t="shared" si="1460"/>
        <v>113.97143177464685</v>
      </c>
      <c r="AP182" s="70">
        <f t="shared" si="1460"/>
        <v>111.52514083037762</v>
      </c>
      <c r="AQ182" s="70">
        <f t="shared" si="1460"/>
        <v>124.9050489985903</v>
      </c>
      <c r="AR182" s="70">
        <f t="shared" si="1460"/>
        <v>153.37592906506717</v>
      </c>
      <c r="AS182" s="70">
        <f t="shared" si="1460"/>
        <v>147.90856574303064</v>
      </c>
      <c r="AT182" s="70">
        <f t="shared" si="1460"/>
        <v>114.1411968665725</v>
      </c>
      <c r="AU182" s="70">
        <f t="shared" si="1460"/>
        <v>126.47808052557231</v>
      </c>
      <c r="AV182" s="70">
        <f t="shared" si="1460"/>
        <v>153.61922015893273</v>
      </c>
      <c r="AW182" s="70">
        <f t="shared" si="1460"/>
        <v>149.7751661726806</v>
      </c>
      <c r="AX182" s="70">
        <f t="shared" si="1460"/>
        <v>99.327523560803897</v>
      </c>
      <c r="AY182" s="70">
        <f t="shared" si="1460"/>
        <v>109.91531886472312</v>
      </c>
      <c r="AZ182" s="70">
        <f t="shared" si="1460"/>
        <v>135.97565863790402</v>
      </c>
      <c r="BA182" s="70">
        <f t="shared" si="1460"/>
        <v>126.54075578124882</v>
      </c>
      <c r="BB182" s="70">
        <f t="shared" si="1460"/>
        <v>85.656186643265642</v>
      </c>
      <c r="BC182" s="70">
        <f t="shared" si="1460"/>
        <v>89.116312203887148</v>
      </c>
      <c r="BD182" s="70">
        <f t="shared" si="1460"/>
        <v>124.39545934530095</v>
      </c>
      <c r="BE182" s="70">
        <f t="shared" si="1460"/>
        <v>118.55423578484019</v>
      </c>
      <c r="BF182" s="70">
        <f t="shared" si="1460"/>
        <v>81.853693590112115</v>
      </c>
      <c r="BG182" s="70">
        <f t="shared" si="1460"/>
        <v>85.410124416404372</v>
      </c>
      <c r="BH182" s="70">
        <f t="shared" si="1460"/>
        <v>78.283428916389965</v>
      </c>
      <c r="BI182" s="70">
        <f t="shared" si="1460"/>
        <v>77.325380761156666</v>
      </c>
      <c r="BJ182" s="70">
        <f t="shared" si="1460"/>
        <v>76.476313192236006</v>
      </c>
      <c r="BK182" s="70">
        <f t="shared" si="1460"/>
        <v>83.789571767885548</v>
      </c>
      <c r="BL182" s="70">
        <f t="shared" si="1460"/>
        <v>95.313885647607918</v>
      </c>
      <c r="BM182" s="70">
        <f t="shared" si="1460"/>
        <v>96.782723882131407</v>
      </c>
      <c r="BN182" s="70">
        <f t="shared" si="1460"/>
        <v>84.186932226141806</v>
      </c>
      <c r="BO182" s="70">
        <f t="shared" si="1460"/>
        <v>102.16352355282613</v>
      </c>
      <c r="BP182" s="70">
        <f t="shared" si="1460"/>
        <v>279.06461906661349</v>
      </c>
      <c r="BQ182" s="70">
        <f t="shared" si="1460"/>
        <v>275.15923030394544</v>
      </c>
      <c r="BR182" s="70">
        <f t="shared" si="1460"/>
        <v>103.88056970325414</v>
      </c>
      <c r="BS182" s="70">
        <f t="shared" si="1460"/>
        <v>113.49434572540419</v>
      </c>
      <c r="BT182" s="70">
        <f t="shared" si="1460"/>
        <v>109.98433734939758</v>
      </c>
      <c r="BU182" s="70">
        <f t="shared" si="1460"/>
        <v>109.87091221000833</v>
      </c>
      <c r="BV182" s="70">
        <f t="shared" si="1460"/>
        <v>59.091044205698758</v>
      </c>
      <c r="BW182" s="70">
        <f t="shared" si="1460"/>
        <v>60.577632381062259</v>
      </c>
      <c r="BX182" s="70">
        <f t="shared" si="1460"/>
        <v>107.20965366889141</v>
      </c>
      <c r="BY182" s="70">
        <f t="shared" si="1460"/>
        <v>103.12002279754941</v>
      </c>
      <c r="BZ182" s="70">
        <f t="shared" si="1460"/>
        <v>87.355758326500009</v>
      </c>
      <c r="CA182" s="70">
        <f t="shared" si="1460"/>
        <v>99.232656418589613</v>
      </c>
      <c r="CB182" s="70">
        <f t="shared" si="1460"/>
        <v>139.83331493542337</v>
      </c>
      <c r="CC182" s="70">
        <f t="shared" si="1460"/>
        <v>128.51245936525268</v>
      </c>
      <c r="CD182" s="70">
        <f t="shared" si="1460"/>
        <v>118.59518380512768</v>
      </c>
      <c r="CE182" s="115">
        <f>CE148/CE10*90</f>
        <v>132.66035523740959</v>
      </c>
      <c r="CF182" s="70">
        <f>CF148/CF8*90</f>
        <v>135.52287499686298</v>
      </c>
      <c r="CG182" s="70">
        <f>CG148/CG10*90</f>
        <v>132.48394942337836</v>
      </c>
      <c r="CH182" s="70">
        <f>CH148/CH8*90</f>
        <v>130.95192594804416</v>
      </c>
      <c r="CI182" s="70">
        <f>CI179+CI180+CI181</f>
        <v>130.95192594804416</v>
      </c>
      <c r="CJ182" s="70">
        <f>CJ148/CJ8*90</f>
        <v>203.69282744282748</v>
      </c>
      <c r="CK182" s="50">
        <f t="shared" ref="CK182:DB182" si="1461">CK179+CK180+CK181</f>
        <v>203.69282744282748</v>
      </c>
      <c r="CL182" s="70">
        <f>CL148/CL8*90</f>
        <v>182.48175182481748</v>
      </c>
      <c r="CM182" s="50">
        <f t="shared" si="1461"/>
        <v>182.48175182481748</v>
      </c>
      <c r="CN182" s="50">
        <f t="shared" si="1461"/>
        <v>182.48175182481748</v>
      </c>
      <c r="CO182" s="50">
        <f t="shared" si="1461"/>
        <v>182.48175182481748</v>
      </c>
      <c r="CP182" s="50">
        <f t="shared" si="1461"/>
        <v>182.48175182481748</v>
      </c>
      <c r="CQ182" s="50">
        <f t="shared" si="1461"/>
        <v>182.48175182481748</v>
      </c>
      <c r="CR182" s="50">
        <f t="shared" si="1461"/>
        <v>182.48175182481748</v>
      </c>
      <c r="CS182" s="50">
        <f t="shared" si="1461"/>
        <v>182.48175182481748</v>
      </c>
      <c r="CT182" s="50">
        <f t="shared" si="1461"/>
        <v>182.48175182481748</v>
      </c>
      <c r="CU182" s="50">
        <f t="shared" si="1461"/>
        <v>182.48175182481748</v>
      </c>
      <c r="CV182" s="50">
        <f t="shared" si="1461"/>
        <v>182.48175182481748</v>
      </c>
      <c r="CW182" s="50">
        <f t="shared" si="1461"/>
        <v>182.48175182481748</v>
      </c>
      <c r="CX182" s="50">
        <f t="shared" si="1461"/>
        <v>182.48175182481748</v>
      </c>
      <c r="CY182" s="50">
        <f t="shared" si="1461"/>
        <v>182.48175182481748</v>
      </c>
      <c r="CZ182" s="50">
        <f t="shared" si="1461"/>
        <v>182.48175182481748</v>
      </c>
      <c r="DA182" s="50">
        <f t="shared" si="1461"/>
        <v>182.48175182481748</v>
      </c>
      <c r="DB182" s="50">
        <f t="shared" si="1461"/>
        <v>182.48175182481748</v>
      </c>
      <c r="DE182" s="138"/>
      <c r="DF182" s="7">
        <v>256.07446037276952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103.89592688201414</v>
      </c>
      <c r="C183" s="67">
        <f t="shared" si="1462"/>
        <v>79.244371765259359</v>
      </c>
      <c r="D183" s="67">
        <f t="shared" si="1462"/>
        <v>64.97191415446359</v>
      </c>
      <c r="E183" s="67">
        <f t="shared" si="1462"/>
        <v>82.913080476043405</v>
      </c>
      <c r="F183" s="67">
        <f t="shared" si="1462"/>
        <v>94.45669198043521</v>
      </c>
      <c r="G183" s="67">
        <f t="shared" si="1462"/>
        <v>89.544799435522478</v>
      </c>
      <c r="H183" s="67">
        <f t="shared" si="1462"/>
        <v>91.583656995275405</v>
      </c>
      <c r="I183" s="67">
        <f t="shared" si="1462"/>
        <v>100.53942939176774</v>
      </c>
      <c r="J183" s="67">
        <f t="shared" si="1462"/>
        <v>67.116726548641978</v>
      </c>
      <c r="K183" s="67">
        <f t="shared" si="1462"/>
        <v>59.83622393838013</v>
      </c>
      <c r="L183" s="67">
        <f t="shared" si="1462"/>
        <v>45.517121211510208</v>
      </c>
      <c r="M183" s="67">
        <f t="shared" si="1462"/>
        <v>92.178750928232631</v>
      </c>
      <c r="N183" s="67">
        <f t="shared" si="1462"/>
        <v>80.834016440439001</v>
      </c>
      <c r="O183" s="67">
        <f t="shared" si="1462"/>
        <v>60.586643240415128</v>
      </c>
      <c r="P183" s="67">
        <f t="shared" si="1462"/>
        <v>77.098167466994099</v>
      </c>
      <c r="Q183" s="67">
        <f t="shared" si="1462"/>
        <v>74.724070889174342</v>
      </c>
      <c r="R183" s="67">
        <f t="shared" si="1462"/>
        <v>58.816588835097036</v>
      </c>
      <c r="S183" s="67">
        <f t="shared" si="1462"/>
        <v>73.826118196515182</v>
      </c>
      <c r="T183" s="67">
        <f t="shared" si="1462"/>
        <v>68.26718849470457</v>
      </c>
      <c r="U183" s="67">
        <f t="shared" si="1462"/>
        <v>57.221989966555185</v>
      </c>
      <c r="V183" s="67">
        <f t="shared" si="1462"/>
        <v>76.088861304808148</v>
      </c>
      <c r="W183" s="67">
        <f t="shared" si="1462"/>
        <v>50.303588666774715</v>
      </c>
      <c r="X183" s="67">
        <f t="shared" si="1462"/>
        <v>38.776350528720535</v>
      </c>
      <c r="Y183" s="67">
        <f t="shared" si="1462"/>
        <v>49.644915489781688</v>
      </c>
      <c r="Z183" s="67">
        <f t="shared" si="1462"/>
        <v>48.345980548529319</v>
      </c>
      <c r="AA183" s="67">
        <f t="shared" ref="AA183" si="1463">AA153/AA8*365</f>
        <v>47.880018661324399</v>
      </c>
      <c r="AB183" s="18">
        <f t="shared" si="1462"/>
        <v>52.633769190286188</v>
      </c>
      <c r="AC183" s="18">
        <f t="shared" si="1462"/>
        <v>52.881958945273148</v>
      </c>
      <c r="AD183" s="18">
        <f t="shared" si="1462"/>
        <v>52.913557423872284</v>
      </c>
      <c r="AE183" s="18">
        <f t="shared" si="1462"/>
        <v>52.916496286757067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0</v>
      </c>
      <c r="AM183" s="67">
        <f t="shared" ref="AM183" si="1465">+AL183</f>
        <v>0</v>
      </c>
      <c r="AN183" s="67">
        <f>AN153/AN8*90</f>
        <v>71.322763842877421</v>
      </c>
      <c r="AO183" s="67">
        <f t="shared" ref="AO183" si="1466">+AN183</f>
        <v>71.322763842877421</v>
      </c>
      <c r="AP183" s="67">
        <f>AP153/AP8*90</f>
        <v>55.283747131233042</v>
      </c>
      <c r="AQ183" s="67">
        <f t="shared" ref="AQ183" si="1467">+AP183</f>
        <v>55.283747131233042</v>
      </c>
      <c r="AR183" s="67">
        <f>AR153/AR8*90</f>
        <v>78.346590168209673</v>
      </c>
      <c r="AS183" s="67">
        <f t="shared" ref="AS183" si="1468">+AR183</f>
        <v>78.346590168209673</v>
      </c>
      <c r="AT183" s="67">
        <f>AT153/AT8*90</f>
        <v>65.214459997431618</v>
      </c>
      <c r="AU183" s="67">
        <f t="shared" ref="AU183" si="1469">+AT183</f>
        <v>65.214459997431618</v>
      </c>
      <c r="AV183" s="67">
        <f>AV153/AV8*90</f>
        <v>80.702433400584667</v>
      </c>
      <c r="AW183" s="67">
        <f t="shared" ref="AW183" si="1470">+AV183</f>
        <v>80.702433400584667</v>
      </c>
      <c r="AX183" s="67">
        <f>AX153/AX8*90</f>
        <v>56.34324968774839</v>
      </c>
      <c r="AY183" s="67">
        <f t="shared" ref="AY183" si="1471">+AX183</f>
        <v>56.34324968774839</v>
      </c>
      <c r="AZ183" s="67">
        <f>AZ153/AZ8*90</f>
        <v>71.592027110738627</v>
      </c>
      <c r="BA183" s="67">
        <f t="shared" ref="BA183" si="1472">+AZ183</f>
        <v>71.592027110738627</v>
      </c>
      <c r="BB183" s="67">
        <f>BB153/BB8*90</f>
        <v>51.216146700154319</v>
      </c>
      <c r="BC183" s="67">
        <f t="shared" ref="BC183" si="1473">+BB183</f>
        <v>51.216146700154319</v>
      </c>
      <c r="BD183" s="67">
        <f>BD153/BD8*90</f>
        <v>69.60665258711721</v>
      </c>
      <c r="BE183" s="67">
        <f t="shared" ref="BE183" si="1474">+BD183</f>
        <v>69.60665258711721</v>
      </c>
      <c r="BF183" s="67">
        <f>BF153/BF8*90</f>
        <v>61.171026156941657</v>
      </c>
      <c r="BG183" s="67">
        <f t="shared" ref="BG183" si="1475">+BF183</f>
        <v>61.171026156941657</v>
      </c>
      <c r="BH183" s="67">
        <f>BH153/BH8*90</f>
        <v>54.15212798068216</v>
      </c>
      <c r="BI183" s="67">
        <f t="shared" ref="BI183" si="1476">+BH183</f>
        <v>54.15212798068216</v>
      </c>
      <c r="BJ183" s="67">
        <f>BJ153/BJ8*90</f>
        <v>63.791534159447316</v>
      </c>
      <c r="BK183" s="67">
        <f t="shared" ref="BK183" si="1477">+BJ183</f>
        <v>63.791534159447316</v>
      </c>
      <c r="BL183" s="67">
        <f>BL153/BL8*90</f>
        <v>56.697449574929152</v>
      </c>
      <c r="BM183" s="67">
        <f t="shared" ref="BM183" si="1478">+BL183</f>
        <v>56.697449574929152</v>
      </c>
      <c r="BN183" s="67">
        <f>BN153/BN8*90</f>
        <v>54.78725064776949</v>
      </c>
      <c r="BO183" s="67">
        <f t="shared" ref="BO183" si="1479">+BN183</f>
        <v>54.78725064776949</v>
      </c>
      <c r="BP183" s="67">
        <f>BP153/BP8*90</f>
        <v>116.71519744714799</v>
      </c>
      <c r="BQ183" s="67">
        <f t="shared" ref="BQ183" si="1480">+BP183</f>
        <v>116.71519744714799</v>
      </c>
      <c r="BR183" s="67">
        <f>BR153/BR8*90</f>
        <v>47.018817286285042</v>
      </c>
      <c r="BS183" s="67">
        <f t="shared" ref="BS183" si="1481">+BR183</f>
        <v>47.018817286285042</v>
      </c>
      <c r="BT183" s="67">
        <f>BT153/BT8*90</f>
        <v>39.309939759036141</v>
      </c>
      <c r="BU183" s="67">
        <f t="shared" ref="BU183" si="1482">+BT183</f>
        <v>39.309939759036141</v>
      </c>
      <c r="BV183" s="67">
        <f>BV153/BV8*90</f>
        <v>37.375472419211007</v>
      </c>
      <c r="BW183" s="67">
        <f t="shared" ref="BW183" si="1483">+BV183</f>
        <v>37.375472419211007</v>
      </c>
      <c r="BX183" s="67">
        <f>BX153/BX8*90</f>
        <v>32.200761125241442</v>
      </c>
      <c r="BY183" s="67">
        <f t="shared" ref="BY183" si="1484">+BX183</f>
        <v>32.200761125241442</v>
      </c>
      <c r="BZ183" s="67">
        <f>BZ153/BZ8*90</f>
        <v>36.582863722804753</v>
      </c>
      <c r="CA183" s="67">
        <f t="shared" ref="CA183" si="1485">+BZ183</f>
        <v>36.582863722804753</v>
      </c>
      <c r="CB183" s="67">
        <f>CB153/CB8*90</f>
        <v>51.996633182470461</v>
      </c>
      <c r="CC183" s="67">
        <f t="shared" ref="CC183" si="1486">+CB183</f>
        <v>51.996633182470461</v>
      </c>
      <c r="CD183" s="67">
        <f>CD153/CD8*90</f>
        <v>43.27234302875258</v>
      </c>
      <c r="CE183" s="114">
        <f t="shared" si="1464"/>
        <v>43.27234302875258</v>
      </c>
      <c r="CF183" s="67">
        <f>CF153/CF8*90</f>
        <v>43.426857730820387</v>
      </c>
      <c r="CG183" s="67">
        <f t="shared" ref="CG183:CI183" si="1487">+CF183</f>
        <v>43.426857730820387</v>
      </c>
      <c r="CH183" s="67">
        <f>CH153/CH8*90</f>
        <v>44.187518662287246</v>
      </c>
      <c r="CI183" s="67">
        <f t="shared" si="1487"/>
        <v>44.187518662287246</v>
      </c>
      <c r="CJ183" s="67">
        <f>CJ153/CJ8*90</f>
        <v>49.994802494802492</v>
      </c>
      <c r="CK183" s="30">
        <f t="shared" ref="CK183" si="1488">+CJ183</f>
        <v>49.994802494802492</v>
      </c>
      <c r="CL183" s="67">
        <f>CL153/CL8*90</f>
        <v>36.344282238442823</v>
      </c>
      <c r="CM183" s="30">
        <f t="shared" ref="CM183" si="1489">+CL183</f>
        <v>36.344282238442823</v>
      </c>
      <c r="CN183" s="30">
        <f t="shared" ref="CN183" si="1490">+CM183</f>
        <v>36.344282238442823</v>
      </c>
      <c r="CO183" s="30">
        <f t="shared" ref="CO183" si="1491">+CN183</f>
        <v>36.344282238442823</v>
      </c>
      <c r="CP183" s="30">
        <f t="shared" ref="CP183" si="1492">+CO183</f>
        <v>36.344282238442823</v>
      </c>
      <c r="CQ183" s="30">
        <f t="shared" ref="CQ183" si="1493">+CP183</f>
        <v>36.344282238442823</v>
      </c>
      <c r="CR183" s="30">
        <f t="shared" ref="CR183" si="1494">+CQ183</f>
        <v>36.344282238442823</v>
      </c>
      <c r="CS183" s="30">
        <f t="shared" ref="CS183" si="1495">+CR183</f>
        <v>36.344282238442823</v>
      </c>
      <c r="CT183" s="30">
        <f t="shared" ref="CT183" si="1496">+CS183</f>
        <v>36.344282238442823</v>
      </c>
      <c r="CU183" s="30">
        <f t="shared" ref="CU183" si="1497">+CT183</f>
        <v>36.344282238442823</v>
      </c>
      <c r="CV183" s="30">
        <f t="shared" ref="CV183" si="1498">+CU183</f>
        <v>36.344282238442823</v>
      </c>
      <c r="CW183" s="30">
        <f t="shared" ref="CW183" si="1499">+CV183</f>
        <v>36.344282238442823</v>
      </c>
      <c r="CX183" s="30">
        <f t="shared" ref="CX183" si="1500">+CW183</f>
        <v>36.344282238442823</v>
      </c>
      <c r="CY183" s="30">
        <f t="shared" ref="CY183" si="1501">+CX183</f>
        <v>36.344282238442823</v>
      </c>
      <c r="CZ183" s="30">
        <f t="shared" ref="CZ183" si="1502">+CY183</f>
        <v>36.344282238442823</v>
      </c>
      <c r="DA183" s="30">
        <f t="shared" ref="DA183" si="1503">+CZ183</f>
        <v>36.344282238442823</v>
      </c>
      <c r="DB183" s="30">
        <f t="shared" ref="DB183" si="1504">+DA183</f>
        <v>36.344282238442823</v>
      </c>
      <c r="DE183" s="139"/>
      <c r="DF183" s="62">
        <v>51.001496690909939</v>
      </c>
    </row>
    <row r="184" spans="1:110" s="62" customFormat="1" outlineLevel="1" x14ac:dyDescent="0.2">
      <c r="A184" s="68" t="s">
        <v>466</v>
      </c>
      <c r="B184" s="67">
        <f>B185-B183</f>
        <v>6.0444696302405561</v>
      </c>
      <c r="C184" s="67">
        <f t="shared" ref="C184:V184" si="1505">C185-C183</f>
        <v>4.0306131464166413</v>
      </c>
      <c r="D184" s="67">
        <f t="shared" si="1505"/>
        <v>8.5357034138800856</v>
      </c>
      <c r="E184" s="67">
        <f t="shared" si="1505"/>
        <v>8.6992310358826614</v>
      </c>
      <c r="F184" s="67">
        <f t="shared" si="1505"/>
        <v>8.8431516752629875</v>
      </c>
      <c r="G184" s="67">
        <f t="shared" si="1505"/>
        <v>9.2668760939042585</v>
      </c>
      <c r="H184" s="67">
        <f t="shared" si="1505"/>
        <v>9.9039175018768759</v>
      </c>
      <c r="I184" s="67">
        <f t="shared" si="1505"/>
        <v>10.39105579170446</v>
      </c>
      <c r="J184" s="67">
        <f t="shared" si="1505"/>
        <v>9.7574316673658075</v>
      </c>
      <c r="K184" s="67">
        <f t="shared" si="1505"/>
        <v>13.192784385874276</v>
      </c>
      <c r="L184" s="67">
        <f t="shared" si="1505"/>
        <v>22.078476532097731</v>
      </c>
      <c r="M184" s="67">
        <f t="shared" si="1505"/>
        <v>20.167130378781494</v>
      </c>
      <c r="N184" s="67">
        <f t="shared" si="1505"/>
        <v>19.547889630479531</v>
      </c>
      <c r="O184" s="67">
        <f t="shared" si="1505"/>
        <v>17.38942221677641</v>
      </c>
      <c r="P184" s="67">
        <f t="shared" si="1505"/>
        <v>18.320487851899955</v>
      </c>
      <c r="Q184" s="67">
        <f t="shared" si="1505"/>
        <v>18.523268603868914</v>
      </c>
      <c r="R184" s="67">
        <f t="shared" si="1505"/>
        <v>22.396341202176444</v>
      </c>
      <c r="S184" s="67">
        <f t="shared" si="1505"/>
        <v>22.594925881256046</v>
      </c>
      <c r="T184" s="67">
        <f t="shared" si="1505"/>
        <v>17.39553793622315</v>
      </c>
      <c r="U184" s="67">
        <f t="shared" si="1505"/>
        <v>21.826521095960899</v>
      </c>
      <c r="V184" s="67">
        <f t="shared" si="1505"/>
        <v>33.678093777761546</v>
      </c>
      <c r="W184" s="67">
        <f t="shared" ref="W184" si="1506">W185-W183</f>
        <v>20.765436622298637</v>
      </c>
      <c r="X184" s="67">
        <f t="shared" ref="X184:Y184" si="1507">X185-X183</f>
        <v>14.801188310237436</v>
      </c>
      <c r="Y184" s="67">
        <f t="shared" si="1507"/>
        <v>13.79706010373021</v>
      </c>
      <c r="Z184" s="67">
        <f t="shared" ref="Z184:AA184" si="1508">Z185-Z183</f>
        <v>14.720982562417106</v>
      </c>
      <c r="AA184" s="67">
        <f t="shared" si="1508"/>
        <v>19.268201652076087</v>
      </c>
      <c r="AB184" s="18">
        <f t="shared" ref="AA184:AD184" si="1509">AB185-AB183</f>
        <v>21.181238162015589</v>
      </c>
      <c r="AC184" s="18">
        <f t="shared" si="1509"/>
        <v>21.281116365507849</v>
      </c>
      <c r="AD184" s="18">
        <f t="shared" si="1509"/>
        <v>21.293832439447847</v>
      </c>
      <c r="AE184" s="18">
        <f t="shared" ref="AE184" si="1510">AE185-AE183</f>
        <v>21.295015116570283</v>
      </c>
      <c r="AI184" s="67">
        <f t="shared" ref="AI184:AK184" si="1511">AI185-AI183</f>
        <v>0</v>
      </c>
      <c r="AJ184" s="67">
        <f t="shared" ref="AJ184:AM184" si="1512">AJ185-AJ183</f>
        <v>94.46622555796958</v>
      </c>
      <c r="AK184" s="67">
        <f t="shared" si="1511"/>
        <v>95.067084078712</v>
      </c>
      <c r="AL184" s="67">
        <f t="shared" si="1512"/>
        <v>118.78580404731983</v>
      </c>
      <c r="AM184" s="67">
        <f t="shared" si="1512"/>
        <v>126.10267733922163</v>
      </c>
      <c r="AN184" s="67">
        <f t="shared" ref="AN184:AY184" si="1513">AN185-AN183</f>
        <v>31.228111689540953</v>
      </c>
      <c r="AO184" s="67">
        <f t="shared" si="1513"/>
        <v>31.23427083744231</v>
      </c>
      <c r="AP184" s="67">
        <f t="shared" si="1513"/>
        <v>26.103692885457974</v>
      </c>
      <c r="AQ184" s="67">
        <f t="shared" si="1513"/>
        <v>35.131505054286791</v>
      </c>
      <c r="AR184" s="67">
        <f t="shared" si="1513"/>
        <v>33.853175120615489</v>
      </c>
      <c r="AS184" s="67">
        <f t="shared" si="1513"/>
        <v>30.084591911622695</v>
      </c>
      <c r="AT184" s="67">
        <f t="shared" si="1513"/>
        <v>28.582252472068831</v>
      </c>
      <c r="AU184" s="67">
        <f t="shared" si="1513"/>
        <v>37.485473684210504</v>
      </c>
      <c r="AV184" s="67">
        <f t="shared" si="1513"/>
        <v>35.163256062914328</v>
      </c>
      <c r="AW184" s="67">
        <f t="shared" si="1513"/>
        <v>31.749757765490045</v>
      </c>
      <c r="AX184" s="67">
        <f t="shared" si="1513"/>
        <v>26.007721130918576</v>
      </c>
      <c r="AY184" s="67">
        <f t="shared" si="1513"/>
        <v>32.719081555854338</v>
      </c>
      <c r="AZ184" s="67">
        <f t="shared" ref="AZ184:BC184" si="1514">AZ185-AZ183</f>
        <v>29.364865357286007</v>
      </c>
      <c r="BA184" s="67">
        <f t="shared" si="1514"/>
        <v>22.8458914584387</v>
      </c>
      <c r="BB184" s="67">
        <f t="shared" si="1514"/>
        <v>34.175870729566959</v>
      </c>
      <c r="BC184" s="67">
        <f t="shared" si="1514"/>
        <v>42.18412833568977</v>
      </c>
      <c r="BD184" s="67">
        <f t="shared" ref="BD184:CE184" si="1515">BD185-BD183</f>
        <v>49.252903907074995</v>
      </c>
      <c r="BE184" s="67">
        <f t="shared" si="1515"/>
        <v>37.969608574723566</v>
      </c>
      <c r="BF184" s="67">
        <f t="shared" si="1515"/>
        <v>33.573440643863158</v>
      </c>
      <c r="BG184" s="67">
        <f t="shared" si="1515"/>
        <v>42.488905056384148</v>
      </c>
      <c r="BH184" s="67">
        <f t="shared" si="1515"/>
        <v>37.113794144280099</v>
      </c>
      <c r="BI184" s="67">
        <f t="shared" si="1515"/>
        <v>34.68001692285997</v>
      </c>
      <c r="BJ184" s="67">
        <f t="shared" si="1515"/>
        <v>27.469294878824435</v>
      </c>
      <c r="BK184" s="67">
        <f t="shared" si="1515"/>
        <v>35.976087034576857</v>
      </c>
      <c r="BL184" s="67">
        <f t="shared" si="1515"/>
        <v>28.630771795299225</v>
      </c>
      <c r="BM184" s="67">
        <f t="shared" si="1515"/>
        <v>30.084074826595682</v>
      </c>
      <c r="BN184" s="67">
        <f t="shared" si="1515"/>
        <v>21.903661848718507</v>
      </c>
      <c r="BO184" s="67">
        <f t="shared" si="1515"/>
        <v>50.394311570782158</v>
      </c>
      <c r="BP184" s="67">
        <f t="shared" si="1515"/>
        <v>47.955723972875958</v>
      </c>
      <c r="BQ184" s="67">
        <f t="shared" si="1515"/>
        <v>43.845733041575514</v>
      </c>
      <c r="BR184" s="67">
        <f t="shared" si="1515"/>
        <v>20.882613071456888</v>
      </c>
      <c r="BS184" s="67">
        <f t="shared" si="1515"/>
        <v>31.400531963679711</v>
      </c>
      <c r="BT184" s="67">
        <f t="shared" si="1515"/>
        <v>24.972289156626502</v>
      </c>
      <c r="BU184" s="67">
        <f t="shared" si="1515"/>
        <v>24.810869044768964</v>
      </c>
      <c r="BV184" s="67">
        <f t="shared" si="1515"/>
        <v>15.428680623381027</v>
      </c>
      <c r="BW184" s="67">
        <f t="shared" si="1515"/>
        <v>16.863382144763406</v>
      </c>
      <c r="BX184" s="67">
        <f t="shared" si="1515"/>
        <v>17.197605706526936</v>
      </c>
      <c r="BY184" s="67">
        <f t="shared" si="1515"/>
        <v>16.179629729583851</v>
      </c>
      <c r="BZ184" s="67">
        <f t="shared" si="1515"/>
        <v>13.963919953940376</v>
      </c>
      <c r="CA184" s="67">
        <f t="shared" si="1515"/>
        <v>18.76292284970814</v>
      </c>
      <c r="CB184" s="67">
        <f t="shared" si="1515"/>
        <v>24.124351473672604</v>
      </c>
      <c r="CC184" s="67">
        <f t="shared" si="1515"/>
        <v>18.463049401229227</v>
      </c>
      <c r="CD184" s="67">
        <f t="shared" si="1515"/>
        <v>12.026027473444202</v>
      </c>
      <c r="CE184" s="114">
        <f t="shared" si="1515"/>
        <v>15.364138029036305</v>
      </c>
      <c r="CF184" s="67">
        <f t="shared" ref="CF184:CG184" si="1516">CF185-CF183</f>
        <v>17.213090069515893</v>
      </c>
      <c r="CG184" s="67">
        <f t="shared" si="1516"/>
        <v>15.901745763104806</v>
      </c>
      <c r="CH184" s="67">
        <f t="shared" ref="CH184" si="1517">CH185-CH183</f>
        <v>13.454762615706187</v>
      </c>
      <c r="CI184" s="67">
        <f>CH184</f>
        <v>13.454762615706187</v>
      </c>
      <c r="CJ184" s="67">
        <f t="shared" ref="CJ184:CL184" si="1518">CJ185-CJ183</f>
        <v>18.892931392931395</v>
      </c>
      <c r="CK184" s="30">
        <f t="shared" ref="CK184:DB184" si="1519">CJ184</f>
        <v>18.892931392931395</v>
      </c>
      <c r="CL184" s="67">
        <f t="shared" si="1518"/>
        <v>14.625912408759127</v>
      </c>
      <c r="CM184" s="30">
        <f t="shared" si="1519"/>
        <v>14.625912408759127</v>
      </c>
      <c r="CN184" s="30">
        <f t="shared" si="1519"/>
        <v>14.625912408759127</v>
      </c>
      <c r="CO184" s="30">
        <f t="shared" si="1519"/>
        <v>14.625912408759127</v>
      </c>
      <c r="CP184" s="30">
        <f t="shared" si="1519"/>
        <v>14.625912408759127</v>
      </c>
      <c r="CQ184" s="30">
        <f t="shared" si="1519"/>
        <v>14.625912408759127</v>
      </c>
      <c r="CR184" s="30">
        <f t="shared" si="1519"/>
        <v>14.625912408759127</v>
      </c>
      <c r="CS184" s="30">
        <f t="shared" si="1519"/>
        <v>14.625912408759127</v>
      </c>
      <c r="CT184" s="30">
        <f t="shared" si="1519"/>
        <v>14.625912408759127</v>
      </c>
      <c r="CU184" s="30">
        <f t="shared" si="1519"/>
        <v>14.625912408759127</v>
      </c>
      <c r="CV184" s="30">
        <f t="shared" si="1519"/>
        <v>14.625912408759127</v>
      </c>
      <c r="CW184" s="30">
        <f t="shared" si="1519"/>
        <v>14.625912408759127</v>
      </c>
      <c r="CX184" s="30">
        <f t="shared" si="1519"/>
        <v>14.625912408759127</v>
      </c>
      <c r="CY184" s="30">
        <f t="shared" si="1519"/>
        <v>14.625912408759127</v>
      </c>
      <c r="CZ184" s="30">
        <f t="shared" si="1519"/>
        <v>14.625912408759127</v>
      </c>
      <c r="DA184" s="30">
        <f t="shared" si="1519"/>
        <v>14.625912408759127</v>
      </c>
      <c r="DB184" s="30">
        <f t="shared" si="1519"/>
        <v>14.625912408759127</v>
      </c>
      <c r="DE184" s="139"/>
      <c r="DF184" s="62">
        <v>20.524367998877473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109.94039651225469</v>
      </c>
      <c r="C185" s="70">
        <f t="shared" si="1520"/>
        <v>83.274984911676</v>
      </c>
      <c r="D185" s="70">
        <f t="shared" si="1520"/>
        <v>73.507617568343676</v>
      </c>
      <c r="E185" s="70">
        <f t="shared" si="1520"/>
        <v>91.612311511926066</v>
      </c>
      <c r="F185" s="70">
        <f t="shared" si="1520"/>
        <v>103.2998436556982</v>
      </c>
      <c r="G185" s="70">
        <f t="shared" si="1520"/>
        <v>98.811675529426736</v>
      </c>
      <c r="H185" s="70">
        <f t="shared" si="1520"/>
        <v>101.48757449715228</v>
      </c>
      <c r="I185" s="70">
        <f t="shared" si="1520"/>
        <v>110.9304851834722</v>
      </c>
      <c r="J185" s="70">
        <f t="shared" si="1520"/>
        <v>76.874158216007785</v>
      </c>
      <c r="K185" s="70">
        <f t="shared" si="1520"/>
        <v>73.029008324254406</v>
      </c>
      <c r="L185" s="70">
        <f t="shared" si="1520"/>
        <v>67.595597743607939</v>
      </c>
      <c r="M185" s="70">
        <f t="shared" si="1520"/>
        <v>112.34588130701412</v>
      </c>
      <c r="N185" s="70">
        <f t="shared" si="1520"/>
        <v>100.38190607091853</v>
      </c>
      <c r="O185" s="70">
        <f t="shared" si="1520"/>
        <v>77.976065457191538</v>
      </c>
      <c r="P185" s="70">
        <f t="shared" si="1520"/>
        <v>95.418655318894054</v>
      </c>
      <c r="Q185" s="70">
        <f t="shared" si="1520"/>
        <v>93.247339493043256</v>
      </c>
      <c r="R185" s="70">
        <f t="shared" si="1520"/>
        <v>81.21293003727348</v>
      </c>
      <c r="S185" s="70">
        <f t="shared" si="1520"/>
        <v>96.421044077771228</v>
      </c>
      <c r="T185" s="70">
        <f t="shared" si="1520"/>
        <v>85.662726430927719</v>
      </c>
      <c r="U185" s="70">
        <f t="shared" si="1520"/>
        <v>79.048511062516084</v>
      </c>
      <c r="V185" s="70">
        <f t="shared" si="1520"/>
        <v>109.76695508256969</v>
      </c>
      <c r="W185" s="70">
        <f t="shared" si="1520"/>
        <v>71.069025289073352</v>
      </c>
      <c r="X185" s="70">
        <f t="shared" si="1520"/>
        <v>53.57753883895797</v>
      </c>
      <c r="Y185" s="70">
        <f t="shared" si="1520"/>
        <v>63.441975593511899</v>
      </c>
      <c r="Z185" s="70">
        <f t="shared" si="1520"/>
        <v>63.066963110946425</v>
      </c>
      <c r="AA185" s="70">
        <f t="shared" ref="AA185" si="1521">AA156/AA8*365</f>
        <v>67.148220313400486</v>
      </c>
      <c r="AB185" s="71">
        <f t="shared" si="1520"/>
        <v>73.815007352301777</v>
      </c>
      <c r="AC185" s="71">
        <f t="shared" si="1520"/>
        <v>74.163075310780997</v>
      </c>
      <c r="AD185" s="71">
        <f t="shared" si="1520"/>
        <v>74.207389863320131</v>
      </c>
      <c r="AE185" s="71">
        <f t="shared" si="1520"/>
        <v>74.21151140332735</v>
      </c>
      <c r="AI185" s="70">
        <f t="shared" ref="AI185:CD185" si="1522">AI156/AI8*90</f>
        <v>0</v>
      </c>
      <c r="AJ185" s="70">
        <f t="shared" si="1522"/>
        <v>94.46622555796958</v>
      </c>
      <c r="AK185" s="70">
        <f>AK156/AK8*90</f>
        <v>95.067084078712</v>
      </c>
      <c r="AL185" s="70">
        <f t="shared" si="1522"/>
        <v>118.78580404731983</v>
      </c>
      <c r="AM185" s="70">
        <f t="shared" si="1522"/>
        <v>126.10267733922163</v>
      </c>
      <c r="AN185" s="70">
        <f t="shared" si="1522"/>
        <v>102.55087553241837</v>
      </c>
      <c r="AO185" s="70">
        <f t="shared" si="1522"/>
        <v>102.55703468031973</v>
      </c>
      <c r="AP185" s="70">
        <f t="shared" si="1522"/>
        <v>81.387440016691016</v>
      </c>
      <c r="AQ185" s="70">
        <f t="shared" si="1522"/>
        <v>90.415252185519833</v>
      </c>
      <c r="AR185" s="70">
        <f t="shared" si="1522"/>
        <v>112.19976528882516</v>
      </c>
      <c r="AS185" s="70">
        <f t="shared" si="1522"/>
        <v>108.43118207983237</v>
      </c>
      <c r="AT185" s="70">
        <f t="shared" si="1522"/>
        <v>93.796712469500449</v>
      </c>
      <c r="AU185" s="70">
        <f t="shared" si="1522"/>
        <v>102.69993368164212</v>
      </c>
      <c r="AV185" s="70">
        <f t="shared" si="1522"/>
        <v>115.865689463499</v>
      </c>
      <c r="AW185" s="70">
        <f t="shared" si="1522"/>
        <v>112.45219116607471</v>
      </c>
      <c r="AX185" s="70">
        <f t="shared" si="1522"/>
        <v>82.350970818666966</v>
      </c>
      <c r="AY185" s="70">
        <f t="shared" si="1522"/>
        <v>89.062331243602728</v>
      </c>
      <c r="AZ185" s="70">
        <f t="shared" si="1522"/>
        <v>100.95689246802463</v>
      </c>
      <c r="BA185" s="70">
        <f t="shared" si="1522"/>
        <v>94.437918569177327</v>
      </c>
      <c r="BB185" s="70">
        <f t="shared" si="1522"/>
        <v>85.392017429721278</v>
      </c>
      <c r="BC185" s="70">
        <f t="shared" si="1522"/>
        <v>93.400275035844089</v>
      </c>
      <c r="BD185" s="70">
        <f t="shared" si="1522"/>
        <v>118.8595564941922</v>
      </c>
      <c r="BE185" s="70">
        <f t="shared" si="1522"/>
        <v>107.57626116184078</v>
      </c>
      <c r="BF185" s="70">
        <f t="shared" si="1522"/>
        <v>94.744466800804815</v>
      </c>
      <c r="BG185" s="70">
        <f t="shared" si="1522"/>
        <v>103.65993121332581</v>
      </c>
      <c r="BH185" s="70">
        <f t="shared" si="1522"/>
        <v>91.265922124962259</v>
      </c>
      <c r="BI185" s="70">
        <f t="shared" si="1522"/>
        <v>88.83214490354213</v>
      </c>
      <c r="BJ185" s="70">
        <f t="shared" si="1522"/>
        <v>91.260829038271751</v>
      </c>
      <c r="BK185" s="70">
        <f t="shared" si="1522"/>
        <v>99.767621194024173</v>
      </c>
      <c r="BL185" s="70">
        <f t="shared" si="1522"/>
        <v>85.328221370228377</v>
      </c>
      <c r="BM185" s="70">
        <f t="shared" si="1522"/>
        <v>86.781524401524834</v>
      </c>
      <c r="BN185" s="70">
        <f t="shared" si="1522"/>
        <v>76.690912496487996</v>
      </c>
      <c r="BO185" s="70">
        <f t="shared" si="1522"/>
        <v>105.18156221855165</v>
      </c>
      <c r="BP185" s="70">
        <f t="shared" si="1522"/>
        <v>164.67092142002394</v>
      </c>
      <c r="BQ185" s="70">
        <f t="shared" si="1522"/>
        <v>160.5609304887235</v>
      </c>
      <c r="BR185" s="70">
        <f t="shared" si="1522"/>
        <v>67.90143035774193</v>
      </c>
      <c r="BS185" s="70">
        <f t="shared" si="1522"/>
        <v>78.419349249964753</v>
      </c>
      <c r="BT185" s="70">
        <f t="shared" si="1522"/>
        <v>64.282228915662643</v>
      </c>
      <c r="BU185" s="70">
        <f t="shared" si="1522"/>
        <v>64.120808803805105</v>
      </c>
      <c r="BV185" s="70">
        <f t="shared" si="1522"/>
        <v>52.804153042592034</v>
      </c>
      <c r="BW185" s="70">
        <f t="shared" si="1522"/>
        <v>54.238854563974414</v>
      </c>
      <c r="BX185" s="70">
        <f t="shared" si="1522"/>
        <v>49.398366831768378</v>
      </c>
      <c r="BY185" s="70">
        <f t="shared" si="1522"/>
        <v>48.380390854825293</v>
      </c>
      <c r="BZ185" s="70">
        <f t="shared" si="1522"/>
        <v>50.546783676745129</v>
      </c>
      <c r="CA185" s="70">
        <f t="shared" si="1522"/>
        <v>55.345786572512893</v>
      </c>
      <c r="CB185" s="70">
        <f t="shared" si="1522"/>
        <v>76.120984656143065</v>
      </c>
      <c r="CC185" s="70">
        <f t="shared" si="1522"/>
        <v>70.459682583699689</v>
      </c>
      <c r="CD185" s="70">
        <f t="shared" si="1522"/>
        <v>55.298370502196782</v>
      </c>
      <c r="CE185" s="115">
        <f>CE156/CE10*90</f>
        <v>58.636481057788885</v>
      </c>
      <c r="CF185" s="70">
        <f>CF156/CF8*90</f>
        <v>60.63994780033628</v>
      </c>
      <c r="CG185" s="70">
        <f>CG156/CG10*90</f>
        <v>59.328603493925193</v>
      </c>
      <c r="CH185" s="70">
        <f>CH156/CH8*90</f>
        <v>57.642281277993433</v>
      </c>
      <c r="CI185" s="70">
        <f>CI183+CI184</f>
        <v>57.642281277993433</v>
      </c>
      <c r="CJ185" s="70">
        <f>CJ156/CJ8*90</f>
        <v>68.887733887733887</v>
      </c>
      <c r="CK185" s="50">
        <f t="shared" ref="CK185:DB185" si="1523">CK183+CK184</f>
        <v>68.887733887733887</v>
      </c>
      <c r="CL185" s="70">
        <f>CL156/CL8*90</f>
        <v>50.97019464720195</v>
      </c>
      <c r="CM185" s="50">
        <f t="shared" si="1523"/>
        <v>50.97019464720195</v>
      </c>
      <c r="CN185" s="50">
        <f t="shared" si="1523"/>
        <v>50.97019464720195</v>
      </c>
      <c r="CO185" s="50">
        <f t="shared" si="1523"/>
        <v>50.97019464720195</v>
      </c>
      <c r="CP185" s="50">
        <f t="shared" si="1523"/>
        <v>50.97019464720195</v>
      </c>
      <c r="CQ185" s="50">
        <f t="shared" si="1523"/>
        <v>50.97019464720195</v>
      </c>
      <c r="CR185" s="50">
        <f t="shared" si="1523"/>
        <v>50.97019464720195</v>
      </c>
      <c r="CS185" s="50">
        <f t="shared" si="1523"/>
        <v>50.97019464720195</v>
      </c>
      <c r="CT185" s="50">
        <f t="shared" si="1523"/>
        <v>50.97019464720195</v>
      </c>
      <c r="CU185" s="50">
        <f t="shared" si="1523"/>
        <v>50.97019464720195</v>
      </c>
      <c r="CV185" s="50">
        <f t="shared" si="1523"/>
        <v>50.97019464720195</v>
      </c>
      <c r="CW185" s="50">
        <f t="shared" si="1523"/>
        <v>50.97019464720195</v>
      </c>
      <c r="CX185" s="50">
        <f t="shared" si="1523"/>
        <v>50.97019464720195</v>
      </c>
      <c r="CY185" s="50">
        <f t="shared" si="1523"/>
        <v>50.97019464720195</v>
      </c>
      <c r="CZ185" s="50">
        <f t="shared" si="1523"/>
        <v>50.97019464720195</v>
      </c>
      <c r="DA185" s="50">
        <f t="shared" si="1523"/>
        <v>50.97019464720195</v>
      </c>
      <c r="DB185" s="50">
        <f t="shared" si="1523"/>
        <v>50.97019464720195</v>
      </c>
      <c r="DE185" s="138"/>
      <c r="DF185" s="7">
        <v>71.525864689787412</v>
      </c>
    </row>
    <row r="186" spans="1:110" s="7" customFormat="1" x14ac:dyDescent="0.2">
      <c r="A186" s="69" t="s">
        <v>470</v>
      </c>
      <c r="B186" s="70">
        <f>B182-B185</f>
        <v>35.469539831090714</v>
      </c>
      <c r="C186" s="70">
        <f t="shared" ref="C186:V186" si="1524">C182-C185</f>
        <v>22.115214607595931</v>
      </c>
      <c r="D186" s="70">
        <f t="shared" si="1524"/>
        <v>15.949110395507276</v>
      </c>
      <c r="E186" s="70">
        <f t="shared" si="1524"/>
        <v>-0.95772312172205432</v>
      </c>
      <c r="F186" s="70">
        <f t="shared" si="1524"/>
        <v>-7.9032912373138089</v>
      </c>
      <c r="G186" s="70">
        <f t="shared" si="1524"/>
        <v>-7.5676843443798418</v>
      </c>
      <c r="H186" s="70">
        <f t="shared" si="1524"/>
        <v>2.110776627913225</v>
      </c>
      <c r="I186" s="70">
        <f t="shared" si="1524"/>
        <v>-7.6195561976580137</v>
      </c>
      <c r="J186" s="70">
        <f t="shared" si="1524"/>
        <v>19.423541688867715</v>
      </c>
      <c r="K186" s="70">
        <f t="shared" si="1524"/>
        <v>20.407397514009716</v>
      </c>
      <c r="L186" s="70">
        <f t="shared" si="1524"/>
        <v>140.02084114655793</v>
      </c>
      <c r="M186" s="70">
        <f t="shared" si="1524"/>
        <v>72.552451989288997</v>
      </c>
      <c r="N186" s="70">
        <f t="shared" si="1524"/>
        <v>26.080456695513107</v>
      </c>
      <c r="O186" s="70">
        <f t="shared" si="1524"/>
        <v>44.246722855592139</v>
      </c>
      <c r="P186" s="70">
        <f t="shared" si="1524"/>
        <v>39.521361770147735</v>
      </c>
      <c r="Q186" s="70">
        <f t="shared" si="1524"/>
        <v>38.482754709060885</v>
      </c>
      <c r="R186" s="70">
        <f t="shared" si="1524"/>
        <v>17.154577781586028</v>
      </c>
      <c r="S186" s="70">
        <f t="shared" si="1524"/>
        <v>2.3665819839701641</v>
      </c>
      <c r="T186" s="70">
        <f t="shared" si="1524"/>
        <v>-3.8207867932171808</v>
      </c>
      <c r="U186" s="70">
        <f t="shared" si="1524"/>
        <v>8.879679058399816</v>
      </c>
      <c r="V186" s="70">
        <f t="shared" si="1524"/>
        <v>58.339235515315238</v>
      </c>
      <c r="W186" s="70">
        <f t="shared" ref="W186" si="1525">W182-W185</f>
        <v>8.4615167806988438</v>
      </c>
      <c r="X186" s="70">
        <f t="shared" ref="X186:Y186" si="1526">X182-X185</f>
        <v>39.016018932709535</v>
      </c>
      <c r="Y186" s="70">
        <f t="shared" si="1526"/>
        <v>72.618322171936228</v>
      </c>
      <c r="Z186" s="70">
        <f t="shared" ref="Z186:AA186" si="1527">Z182-Z185</f>
        <v>80.208773032163123</v>
      </c>
      <c r="AA186" s="70">
        <f t="shared" si="1527"/>
        <v>173.25354702379315</v>
      </c>
      <c r="AB186" s="71">
        <f t="shared" ref="AA186:AD186" si="1528">AB182-AB185</f>
        <v>190.45496347758694</v>
      </c>
      <c r="AC186" s="71">
        <f t="shared" si="1528"/>
        <v>191.35303654833103</v>
      </c>
      <c r="AD186" s="71">
        <f t="shared" si="1528"/>
        <v>191.46737544482517</v>
      </c>
      <c r="AE186" s="71">
        <f t="shared" ref="AE186" si="1529">AE182-AE185</f>
        <v>191.47800970172898</v>
      </c>
      <c r="AI186" s="70">
        <f t="shared" ref="AI186:AK186" si="1530">AI182-AI185</f>
        <v>0</v>
      </c>
      <c r="AJ186" s="70">
        <f t="shared" ref="AJ186:AM186" si="1531">AJ182-AJ185</f>
        <v>44.19119099348211</v>
      </c>
      <c r="AK186" s="70">
        <f t="shared" si="1530"/>
        <v>43.956042946530275</v>
      </c>
      <c r="AL186" s="70">
        <f t="shared" si="1531"/>
        <v>0.23009923300256219</v>
      </c>
      <c r="AM186" s="70">
        <f t="shared" si="1531"/>
        <v>-4.2297389922307929</v>
      </c>
      <c r="AN186" s="70">
        <f t="shared" ref="AN186:AY186" si="1532">AN182-AN185</f>
        <v>11.411500236630374</v>
      </c>
      <c r="AO186" s="70">
        <f t="shared" si="1532"/>
        <v>11.414397094327114</v>
      </c>
      <c r="AP186" s="70">
        <f t="shared" si="1532"/>
        <v>30.137700813686607</v>
      </c>
      <c r="AQ186" s="70">
        <f t="shared" si="1532"/>
        <v>34.48979681307047</v>
      </c>
      <c r="AR186" s="70">
        <f t="shared" si="1532"/>
        <v>41.176163776242007</v>
      </c>
      <c r="AS186" s="70">
        <f t="shared" si="1532"/>
        <v>39.477383663198268</v>
      </c>
      <c r="AT186" s="70">
        <f t="shared" si="1532"/>
        <v>20.344484397072051</v>
      </c>
      <c r="AU186" s="70">
        <f t="shared" si="1532"/>
        <v>23.778146843930188</v>
      </c>
      <c r="AV186" s="70">
        <f t="shared" si="1532"/>
        <v>37.753530695433739</v>
      </c>
      <c r="AW186" s="70">
        <f t="shared" si="1532"/>
        <v>37.322975006605887</v>
      </c>
      <c r="AX186" s="70">
        <f t="shared" si="1532"/>
        <v>16.976552742136931</v>
      </c>
      <c r="AY186" s="70">
        <f t="shared" si="1532"/>
        <v>20.852987621120391</v>
      </c>
      <c r="AZ186" s="70">
        <f t="shared" ref="AZ186:BC186" si="1533">AZ182-AZ185</f>
        <v>35.018766169879385</v>
      </c>
      <c r="BA186" s="70">
        <f t="shared" si="1533"/>
        <v>32.102837212071492</v>
      </c>
      <c r="BB186" s="70">
        <f t="shared" si="1533"/>
        <v>0.2641692135443634</v>
      </c>
      <c r="BC186" s="70">
        <f t="shared" si="1533"/>
        <v>-4.2839628319569414</v>
      </c>
      <c r="BD186" s="70">
        <f t="shared" ref="BD186:CE186" si="1534">BD182-BD185</f>
        <v>5.5359028511087445</v>
      </c>
      <c r="BE186" s="70">
        <f t="shared" si="1534"/>
        <v>10.977974622999412</v>
      </c>
      <c r="BF186" s="70">
        <f t="shared" si="1534"/>
        <v>-12.8907732106927</v>
      </c>
      <c r="BG186" s="70">
        <f t="shared" si="1534"/>
        <v>-18.249806796921433</v>
      </c>
      <c r="BH186" s="70">
        <f t="shared" si="1534"/>
        <v>-12.982493208572293</v>
      </c>
      <c r="BI186" s="70">
        <f t="shared" si="1534"/>
        <v>-11.506764142385464</v>
      </c>
      <c r="BJ186" s="70">
        <f t="shared" si="1534"/>
        <v>-14.784515846035745</v>
      </c>
      <c r="BK186" s="70">
        <f t="shared" si="1534"/>
        <v>-15.978049426138625</v>
      </c>
      <c r="BL186" s="70">
        <f t="shared" si="1534"/>
        <v>9.9856642773795414</v>
      </c>
      <c r="BM186" s="70">
        <f t="shared" si="1534"/>
        <v>10.001199480606573</v>
      </c>
      <c r="BN186" s="70">
        <f t="shared" si="1534"/>
        <v>7.4960197296538098</v>
      </c>
      <c r="BO186" s="70">
        <f t="shared" si="1534"/>
        <v>-3.0180386657255127</v>
      </c>
      <c r="BP186" s="70">
        <f t="shared" si="1534"/>
        <v>114.39369764658954</v>
      </c>
      <c r="BQ186" s="70">
        <f t="shared" si="1534"/>
        <v>114.59829981522194</v>
      </c>
      <c r="BR186" s="70">
        <f t="shared" si="1534"/>
        <v>35.979139345512209</v>
      </c>
      <c r="BS186" s="70">
        <f t="shared" si="1534"/>
        <v>35.074996475439434</v>
      </c>
      <c r="BT186" s="70">
        <f t="shared" si="1534"/>
        <v>45.702108433734935</v>
      </c>
      <c r="BU186" s="70">
        <f t="shared" si="1534"/>
        <v>45.750103406203223</v>
      </c>
      <c r="BV186" s="70">
        <f t="shared" si="1534"/>
        <v>6.2868911631067235</v>
      </c>
      <c r="BW186" s="70">
        <f t="shared" si="1534"/>
        <v>6.3387778170878448</v>
      </c>
      <c r="BX186" s="70">
        <f t="shared" si="1534"/>
        <v>57.811286837123028</v>
      </c>
      <c r="BY186" s="70">
        <f t="shared" si="1534"/>
        <v>54.739631942724117</v>
      </c>
      <c r="BZ186" s="70">
        <f t="shared" si="1534"/>
        <v>36.80897464975488</v>
      </c>
      <c r="CA186" s="70">
        <f t="shared" si="1534"/>
        <v>43.886869846076721</v>
      </c>
      <c r="CB186" s="70">
        <f t="shared" si="1534"/>
        <v>63.712330279280309</v>
      </c>
      <c r="CC186" s="70">
        <f t="shared" si="1534"/>
        <v>58.052776781552993</v>
      </c>
      <c r="CD186" s="70">
        <f t="shared" si="1534"/>
        <v>63.296813302930893</v>
      </c>
      <c r="CE186" s="115">
        <f t="shared" si="1534"/>
        <v>74.023874179620705</v>
      </c>
      <c r="CF186" s="70">
        <f t="shared" ref="CF186:CG186" si="1535">CF182-CF185</f>
        <v>74.882927196526708</v>
      </c>
      <c r="CG186" s="70">
        <f t="shared" si="1535"/>
        <v>73.155345929453176</v>
      </c>
      <c r="CH186" s="70">
        <f t="shared" ref="CH186:CI186" si="1536">CH182-CH185</f>
        <v>73.30964467005073</v>
      </c>
      <c r="CI186" s="70">
        <f t="shared" si="1536"/>
        <v>73.30964467005073</v>
      </c>
      <c r="CJ186" s="70">
        <f t="shared" ref="CJ186:DB186" si="1537">CJ182-CJ185</f>
        <v>134.80509355509361</v>
      </c>
      <c r="CK186" s="50">
        <f t="shared" si="1537"/>
        <v>134.80509355509361</v>
      </c>
      <c r="CL186" s="70">
        <f t="shared" ref="CL186" si="1538">CL182-CL185</f>
        <v>131.51155717761554</v>
      </c>
      <c r="CM186" s="50">
        <f t="shared" si="1537"/>
        <v>131.51155717761554</v>
      </c>
      <c r="CN186" s="50">
        <f t="shared" si="1537"/>
        <v>131.51155717761554</v>
      </c>
      <c r="CO186" s="50">
        <f t="shared" si="1537"/>
        <v>131.51155717761554</v>
      </c>
      <c r="CP186" s="50">
        <f t="shared" si="1537"/>
        <v>131.51155717761554</v>
      </c>
      <c r="CQ186" s="50">
        <f t="shared" si="1537"/>
        <v>131.51155717761554</v>
      </c>
      <c r="CR186" s="50">
        <f t="shared" si="1537"/>
        <v>131.51155717761554</v>
      </c>
      <c r="CS186" s="50">
        <f t="shared" si="1537"/>
        <v>131.51155717761554</v>
      </c>
      <c r="CT186" s="50">
        <f t="shared" si="1537"/>
        <v>131.51155717761554</v>
      </c>
      <c r="CU186" s="50">
        <f t="shared" si="1537"/>
        <v>131.51155717761554</v>
      </c>
      <c r="CV186" s="50">
        <f t="shared" si="1537"/>
        <v>131.51155717761554</v>
      </c>
      <c r="CW186" s="50">
        <f t="shared" si="1537"/>
        <v>131.51155717761554</v>
      </c>
      <c r="CX186" s="50">
        <f t="shared" si="1537"/>
        <v>131.51155717761554</v>
      </c>
      <c r="CY186" s="50">
        <f t="shared" si="1537"/>
        <v>131.51155717761554</v>
      </c>
      <c r="CZ186" s="50">
        <f t="shared" si="1537"/>
        <v>131.51155717761554</v>
      </c>
      <c r="DA186" s="50">
        <f t="shared" si="1537"/>
        <v>131.51155717761554</v>
      </c>
      <c r="DB186" s="50">
        <f t="shared" si="1537"/>
        <v>131.51155717761554</v>
      </c>
      <c r="DE186" s="138"/>
      <c r="DF186" s="7">
        <v>184.54859568298212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0.42569556427481792</v>
      </c>
      <c r="D188" s="86">
        <f t="shared" si="1539"/>
        <v>7.6276280493370541E-2</v>
      </c>
      <c r="E188" s="86">
        <f t="shared" si="1539"/>
        <v>6.1273392602013921E-2</v>
      </c>
      <c r="F188" s="86">
        <f t="shared" si="1539"/>
        <v>3.0483639392037798E-2</v>
      </c>
      <c r="G188" s="86">
        <f t="shared" si="1539"/>
        <v>8.7157291049599461E-2</v>
      </c>
      <c r="H188" s="86">
        <f t="shared" si="1539"/>
        <v>9.1689473925291365E-2</v>
      </c>
      <c r="I188" s="86">
        <f t="shared" si="1539"/>
        <v>8.1824257022214741E-2</v>
      </c>
      <c r="J188" s="86">
        <f t="shared" si="1539"/>
        <v>6.8826503857059018E-2</v>
      </c>
      <c r="K188" s="86">
        <f t="shared" si="1539"/>
        <v>-3.7524548191376295E-2</v>
      </c>
      <c r="L188" s="86">
        <f t="shared" si="1539"/>
        <v>0.12610729815323318</v>
      </c>
      <c r="M188" s="86">
        <f t="shared" si="1539"/>
        <v>6.6156075195120456E-2</v>
      </c>
      <c r="N188" s="86">
        <f t="shared" si="1539"/>
        <v>0.36331883042986335</v>
      </c>
      <c r="O188" s="86">
        <f t="shared" si="1539"/>
        <v>0.21269453069458688</v>
      </c>
      <c r="P188" s="86">
        <f t="shared" si="1539"/>
        <v>3.5494862989136067E-3</v>
      </c>
      <c r="Q188" s="86">
        <f t="shared" si="1539"/>
        <v>1.102846550086567E-2</v>
      </c>
      <c r="R188" s="86">
        <f t="shared" si="1539"/>
        <v>8.0286365539413929E-2</v>
      </c>
      <c r="S188" s="86">
        <f t="shared" si="1539"/>
        <v>-2.6535014485952191E-3</v>
      </c>
      <c r="T188" s="86">
        <f t="shared" si="1539"/>
        <v>0.19952399482367</v>
      </c>
      <c r="U188" s="86">
        <f t="shared" si="1539"/>
        <v>-0.10657030124254063</v>
      </c>
      <c r="V188" s="86">
        <f t="shared" si="1539"/>
        <v>-0.33961579058475821</v>
      </c>
      <c r="W188" s="86">
        <f t="shared" si="1539"/>
        <v>0.73285937140372859</v>
      </c>
      <c r="X188" s="86">
        <f t="shared" si="1539"/>
        <v>0.53689492325855981</v>
      </c>
      <c r="Y188" s="86">
        <f t="shared" si="1539"/>
        <v>-0.13490013443441529</v>
      </c>
      <c r="Z188" s="86">
        <f>Z10/Y10-1</f>
        <v>-2.6334337867612412E-2</v>
      </c>
      <c r="AA188" s="86">
        <f>AA10/Z10-1</f>
        <v>-2.5040185136629423E-2</v>
      </c>
      <c r="AB188" s="87">
        <f t="shared" ref="AA188:AE188" si="1540">AB10/AA10-1</f>
        <v>-1.0718250316431588E-3</v>
      </c>
      <c r="AC188" s="87">
        <f t="shared" si="1540"/>
        <v>3.8222770717433185E-3</v>
      </c>
      <c r="AD188" s="87">
        <f t="shared" si="1540"/>
        <v>5.1008996846024779E-3</v>
      </c>
      <c r="AE188" s="87">
        <f t="shared" si="1540"/>
        <v>5.3819951599534122E-3</v>
      </c>
      <c r="AN188" s="86">
        <f t="shared" ref="AN188:CI188" si="1541">+(AN10+AM10)/(AJ10+AI10)-1</f>
        <v>0.17213400368360809</v>
      </c>
      <c r="AO188" s="86">
        <f t="shared" si="1541"/>
        <v>0.25586982365761846</v>
      </c>
      <c r="AP188" s="86">
        <f t="shared" si="1541"/>
        <v>0.25249415522788832</v>
      </c>
      <c r="AQ188" s="86">
        <f t="shared" si="1541"/>
        <v>0.11850942764699335</v>
      </c>
      <c r="AR188" s="86">
        <f t="shared" si="1541"/>
        <v>-5.7735592644498235E-2</v>
      </c>
      <c r="AS188" s="86">
        <f t="shared" si="1541"/>
        <v>-3.5714990040822903E-2</v>
      </c>
      <c r="AT188" s="86">
        <f t="shared" si="1541"/>
        <v>5.4112994141454873E-2</v>
      </c>
      <c r="AU188" s="86">
        <f t="shared" si="1541"/>
        <v>9.5200095758688041E-2</v>
      </c>
      <c r="AV188" s="86">
        <f t="shared" si="1541"/>
        <v>5.5819718309859212E-2</v>
      </c>
      <c r="AW188" s="86">
        <f t="shared" si="1541"/>
        <v>-6.6876636125654421E-2</v>
      </c>
      <c r="AX188" s="86">
        <f t="shared" si="1541"/>
        <v>-1.2956501919806462E-2</v>
      </c>
      <c r="AY188" s="86">
        <f t="shared" si="1541"/>
        <v>5.5721519909650574E-2</v>
      </c>
      <c r="AZ188" s="86">
        <f t="shared" si="1541"/>
        <v>7.1330999743874468E-2</v>
      </c>
      <c r="BA188" s="86">
        <f t="shared" si="1541"/>
        <v>0.20784201990093387</v>
      </c>
      <c r="BB188" s="86">
        <f t="shared" si="1541"/>
        <v>7.5828626238943153E-2</v>
      </c>
      <c r="BC188" s="86">
        <f t="shared" si="1541"/>
        <v>-4.5274945218006235E-2</v>
      </c>
      <c r="BD188" s="86">
        <f t="shared" si="1541"/>
        <v>-7.1761565127306248E-2</v>
      </c>
      <c r="BE188" s="86">
        <f t="shared" si="1541"/>
        <v>-5.2604837685314543E-2</v>
      </c>
      <c r="BF188" s="86">
        <f t="shared" si="1541"/>
        <v>6.1171925305859576E-2</v>
      </c>
      <c r="BG188" s="86">
        <f t="shared" si="1541"/>
        <v>0.12554894909005454</v>
      </c>
      <c r="BH188" s="86">
        <f t="shared" si="1541"/>
        <v>0.30108173076923106</v>
      </c>
      <c r="BI188" s="86">
        <f t="shared" si="1541"/>
        <v>0.31363723424631296</v>
      </c>
      <c r="BJ188" s="86">
        <f t="shared" si="1541"/>
        <v>0.119165421956684</v>
      </c>
      <c r="BK188" s="86">
        <f t="shared" si="1541"/>
        <v>3.2867694283879256E-2</v>
      </c>
      <c r="BL188" s="86">
        <f t="shared" si="1541"/>
        <v>-4.5760475090729114E-2</v>
      </c>
      <c r="BM188" s="86">
        <f t="shared" si="1541"/>
        <v>-0.14644601589268802</v>
      </c>
      <c r="BN188" s="86">
        <f t="shared" si="1541"/>
        <v>-0.1578179088292947</v>
      </c>
      <c r="BO188" s="86">
        <f t="shared" si="1541"/>
        <v>-0.28558770034355718</v>
      </c>
      <c r="BP188" s="86">
        <f t="shared" si="1541"/>
        <v>-0.49927393423918687</v>
      </c>
      <c r="BQ188" s="86">
        <f t="shared" si="1541"/>
        <v>-0.46201807280367602</v>
      </c>
      <c r="BR188" s="86">
        <f t="shared" si="1541"/>
        <v>-0.1871605671932518</v>
      </c>
      <c r="BS188" s="86">
        <f t="shared" si="1541"/>
        <v>0.18798415876055374</v>
      </c>
      <c r="BT188" s="86">
        <f t="shared" si="1541"/>
        <v>0.89905057828413604</v>
      </c>
      <c r="BU188" s="86">
        <f t="shared" si="1541"/>
        <v>1.1151965453737223</v>
      </c>
      <c r="BV188" s="86">
        <f t="shared" si="1541"/>
        <v>0.63510083060863942</v>
      </c>
      <c r="BW188" s="86">
        <f t="shared" si="1541"/>
        <v>0.651964465610404</v>
      </c>
      <c r="BX188" s="86">
        <f t="shared" si="1541"/>
        <v>0.73402901501654361</v>
      </c>
      <c r="BY188" s="86">
        <f t="shared" si="1541"/>
        <v>0.61931067611384605</v>
      </c>
      <c r="BZ188" s="86">
        <f t="shared" si="1541"/>
        <v>0.40221576371811096</v>
      </c>
      <c r="CA188" s="86">
        <f t="shared" si="1541"/>
        <v>0.10849438401578904</v>
      </c>
      <c r="CB188" s="86">
        <f t="shared" si="1541"/>
        <v>-0.17287328846113514</v>
      </c>
      <c r="CC188" s="86">
        <f t="shared" si="1541"/>
        <v>-0.22516501038267556</v>
      </c>
      <c r="CD188" s="86">
        <f t="shared" si="1541"/>
        <v>-0.10281847331219329</v>
      </c>
      <c r="CE188" s="86">
        <f t="shared" si="1541"/>
        <v>-3.8089903374877498E-2</v>
      </c>
      <c r="CF188" s="86">
        <f t="shared" si="1541"/>
        <v>4.0269732422394844E-2</v>
      </c>
      <c r="CG188" s="86">
        <f t="shared" si="1541"/>
        <v>-7.2143857004415279E-3</v>
      </c>
      <c r="CH188" s="86">
        <f t="shared" si="1541"/>
        <v>-7.8211077105341031E-2</v>
      </c>
      <c r="CI188" s="86">
        <f t="shared" si="1541"/>
        <v>-7.6856685314976136E-2</v>
      </c>
      <c r="CJ188" s="86">
        <f>+(CJ10+CI10)/(CF10+CE10)-1</f>
        <v>-0.10841964176922136</v>
      </c>
      <c r="CK188" s="87"/>
      <c r="CL188" s="86">
        <f>+(CL10+CK10)/(CH10+CG10)-1</f>
        <v>4.8239225430554367E-2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-2.5045885156009473E-2</v>
      </c>
    </row>
    <row r="189" spans="1:110" s="86" customFormat="1" x14ac:dyDescent="0.2">
      <c r="A189" s="86" t="s">
        <v>441</v>
      </c>
      <c r="C189" s="86">
        <f t="shared" ref="C189" si="1542">C186/B186-1</f>
        <v>-0.37650122575847722</v>
      </c>
      <c r="D189" s="86">
        <f t="shared" ref="D189" si="1543">D186/C186-1</f>
        <v>-0.27881729033598335</v>
      </c>
      <c r="E189" s="86">
        <f>E186/D186-1</f>
        <v>-1.0600486859751022</v>
      </c>
      <c r="F189" s="86">
        <f t="shared" ref="F189" si="1544">F186/E186-1</f>
        <v>7.2521671013884781</v>
      </c>
      <c r="G189" s="86">
        <f t="shared" ref="G189" si="1545">G186/F186-1</f>
        <v>-4.2464194075180539E-2</v>
      </c>
      <c r="H189" s="86">
        <f t="shared" ref="H189" si="1546">H186/G186-1</f>
        <v>-1.2789197503303369</v>
      </c>
      <c r="I189" s="86">
        <f t="shared" ref="I189" si="1547">I186/H186-1</f>
        <v>-4.6098354022381454</v>
      </c>
      <c r="J189" s="86">
        <f t="shared" ref="J189" si="1548">J186/I186-1</f>
        <v>-3.5491696871843841</v>
      </c>
      <c r="K189" s="86">
        <f>K186/J186-1</f>
        <v>5.0652751228468462E-2</v>
      </c>
      <c r="L189" s="86">
        <f t="shared" ref="L189" si="1549">L186/K186-1</f>
        <v>5.8612786637998973</v>
      </c>
      <c r="M189" s="86">
        <f t="shared" ref="M189" si="1550">M186/L186-1</f>
        <v>-0.48184533534297713</v>
      </c>
      <c r="N189" s="86">
        <f t="shared" ref="N189" si="1551">N186/M186-1</f>
        <v>-0.64052963090257253</v>
      </c>
      <c r="O189" s="86">
        <f t="shared" ref="O189" si="1552">O186/N186-1</f>
        <v>0.69654708781247554</v>
      </c>
      <c r="P189" s="86">
        <f t="shared" ref="P189" si="1553">P186/O186-1</f>
        <v>-0.1067957304062167</v>
      </c>
      <c r="Q189" s="86">
        <f t="shared" ref="Q189" si="1554">Q186/P186-1</f>
        <v>-2.6279637506604225E-2</v>
      </c>
      <c r="R189" s="86">
        <f t="shared" ref="R189" si="1555">R186/Q186-1</f>
        <v>-0.55422687613506705</v>
      </c>
      <c r="S189" s="86">
        <f t="shared" ref="S189" si="1556">S186/R186-1</f>
        <v>-0.86204370552853316</v>
      </c>
      <c r="T189" s="86">
        <f t="shared" ref="T189" si="1557">T186/S186-1</f>
        <v>-2.614474723080352</v>
      </c>
      <c r="U189" s="86">
        <f t="shared" ref="U189" si="1558">U186/T186-1</f>
        <v>-3.3240446376551005</v>
      </c>
      <c r="V189" s="86">
        <f t="shared" ref="V189" si="1559">V186/U186-1</f>
        <v>5.5699711815742585</v>
      </c>
      <c r="W189" s="86">
        <f t="shared" ref="W189:AA189" si="1560">W186/V186-1</f>
        <v>-0.85496010179157178</v>
      </c>
      <c r="X189" s="86">
        <f t="shared" si="1560"/>
        <v>3.6109958703511751</v>
      </c>
      <c r="Y189" s="86">
        <f t="shared" si="1560"/>
        <v>0.86124377008274955</v>
      </c>
      <c r="Z189" s="86">
        <f t="shared" si="1560"/>
        <v>0.10452528553682661</v>
      </c>
      <c r="AA189" s="86">
        <f t="shared" si="1560"/>
        <v>1.1600323814244082</v>
      </c>
      <c r="AB189" s="87">
        <f t="shared" ref="AB189" si="1561">AB186/AA186-1</f>
        <v>9.9284642359625197E-2</v>
      </c>
      <c r="AC189" s="87">
        <f t="shared" ref="AC189" si="1562">AC186/AB186-1</f>
        <v>4.7154091148156052E-3</v>
      </c>
      <c r="AD189" s="87">
        <f t="shared" ref="AD189" si="1563">AD186/AC186-1</f>
        <v>5.975285187871382E-4</v>
      </c>
      <c r="AE189" s="87">
        <f t="shared" ref="AE189" si="1564">AE186/AD186-1</f>
        <v>5.5540829758005117E-5</v>
      </c>
      <c r="AN189" s="86">
        <f t="shared" ref="AN189:CI189" si="1565">+AN186/AJ186-1</f>
        <v>-0.74176979664762843</v>
      </c>
      <c r="AO189" s="86">
        <f t="shared" si="1565"/>
        <v>-0.74032246014019054</v>
      </c>
      <c r="AP189" s="86">
        <f t="shared" si="1565"/>
        <v>129.97697206731246</v>
      </c>
      <c r="AQ189" s="86">
        <f t="shared" si="1565"/>
        <v>-9.1541194093587119</v>
      </c>
      <c r="AR189" s="86">
        <f t="shared" si="1565"/>
        <v>2.6083041600497432</v>
      </c>
      <c r="AS189" s="86">
        <f t="shared" si="1565"/>
        <v>2.45856056495689</v>
      </c>
      <c r="AT189" s="86">
        <f t="shared" si="1565"/>
        <v>-0.32494902239414047</v>
      </c>
      <c r="AU189" s="86">
        <f t="shared" si="1565"/>
        <v>-0.31057445850423016</v>
      </c>
      <c r="AV189" s="86">
        <f t="shared" si="1565"/>
        <v>-8.3121708457529309E-2</v>
      </c>
      <c r="AW189" s="86">
        <f t="shared" si="1565"/>
        <v>-5.4573238058852724E-2</v>
      </c>
      <c r="AX189" s="86">
        <f t="shared" si="1565"/>
        <v>-0.16554519589691974</v>
      </c>
      <c r="AY189" s="86">
        <f t="shared" si="1565"/>
        <v>-0.12301880554482725</v>
      </c>
      <c r="AZ189" s="86">
        <f t="shared" si="1565"/>
        <v>-7.2437318448870802E-2</v>
      </c>
      <c r="BA189" s="86">
        <f t="shared" si="1565"/>
        <v>-0.13986392546710091</v>
      </c>
      <c r="BB189" s="86">
        <f t="shared" si="1565"/>
        <v>-0.98443917221847532</v>
      </c>
      <c r="BC189" s="86">
        <f t="shared" si="1565"/>
        <v>-1.2054364060341187</v>
      </c>
      <c r="BD189" s="86">
        <f t="shared" si="1565"/>
        <v>-0.84191610794470739</v>
      </c>
      <c r="BE189" s="86">
        <f t="shared" si="1565"/>
        <v>-0.65803724603906932</v>
      </c>
      <c r="BF189" s="86">
        <f t="shared" si="1565"/>
        <v>-49.797409197449426</v>
      </c>
      <c r="BG189" s="86">
        <f t="shared" si="1565"/>
        <v>3.2600292095869579</v>
      </c>
      <c r="BH189" s="86">
        <f t="shared" si="1565"/>
        <v>-3.3451446959500251</v>
      </c>
      <c r="BI189" s="86">
        <f t="shared" si="1565"/>
        <v>-2.0481682220578477</v>
      </c>
      <c r="BJ189" s="86">
        <f t="shared" si="1565"/>
        <v>0.14690683052062492</v>
      </c>
      <c r="BK189" s="86">
        <f t="shared" si="1565"/>
        <v>-0.12448117374952328</v>
      </c>
      <c r="BL189" s="86">
        <f t="shared" si="1565"/>
        <v>-1.769163836017726</v>
      </c>
      <c r="BM189" s="86">
        <f t="shared" si="1565"/>
        <v>-1.8691582930571156</v>
      </c>
      <c r="BN189" s="86">
        <f t="shared" si="1565"/>
        <v>-1.5070182755875472</v>
      </c>
      <c r="BO189" s="86">
        <f t="shared" si="1565"/>
        <v>-0.81111344787879558</v>
      </c>
      <c r="BP189" s="86">
        <f t="shared" si="1565"/>
        <v>10.455792470985113</v>
      </c>
      <c r="BQ189" s="86">
        <f t="shared" si="1565"/>
        <v>10.458455561999404</v>
      </c>
      <c r="BR189" s="86">
        <f t="shared" si="1565"/>
        <v>3.7997658281475521</v>
      </c>
      <c r="BS189" s="86">
        <f t="shared" si="1565"/>
        <v>-12.621784993602022</v>
      </c>
      <c r="BT189" s="86">
        <f t="shared" si="1565"/>
        <v>-0.60048403562468922</v>
      </c>
      <c r="BU189" s="86">
        <f t="shared" si="1565"/>
        <v>-0.60077851521383296</v>
      </c>
      <c r="BV189" s="86">
        <f t="shared" si="1565"/>
        <v>-0.82526288072838772</v>
      </c>
      <c r="BW189" s="86">
        <f t="shared" si="1565"/>
        <v>-0.81927930280687422</v>
      </c>
      <c r="BX189" s="86">
        <f t="shared" si="1565"/>
        <v>0.26495885678766018</v>
      </c>
      <c r="BY189" s="86">
        <f t="shared" si="1565"/>
        <v>0.19649198290778092</v>
      </c>
      <c r="BZ189" s="86">
        <f t="shared" si="1565"/>
        <v>4.8548770282139566</v>
      </c>
      <c r="CA189" s="86">
        <f t="shared" si="1565"/>
        <v>5.9235538951638445</v>
      </c>
      <c r="CB189" s="86">
        <f t="shared" si="1565"/>
        <v>0.10207424475401883</v>
      </c>
      <c r="CC189" s="86">
        <f t="shared" si="1565"/>
        <v>6.0525522756446959E-2</v>
      </c>
      <c r="CD189" s="86">
        <f t="shared" si="1565"/>
        <v>0.71960273018233623</v>
      </c>
      <c r="CE189" s="86">
        <f t="shared" si="1565"/>
        <v>0.68669751201766527</v>
      </c>
      <c r="CF189" s="86">
        <f t="shared" si="1565"/>
        <v>0.17532865095783756</v>
      </c>
      <c r="CG189" s="86">
        <f t="shared" si="1565"/>
        <v>0.26015239899255294</v>
      </c>
      <c r="CH189" s="86">
        <f t="shared" si="1565"/>
        <v>0.15818855396715836</v>
      </c>
      <c r="CI189" s="86">
        <f t="shared" si="1565"/>
        <v>-9.6486372469087867E-3</v>
      </c>
      <c r="CJ189" s="86">
        <f>+CJ186/CF186-1</f>
        <v>0.80021132455605004</v>
      </c>
      <c r="CK189" s="87"/>
      <c r="CL189" s="86">
        <f>+CL186/CH186-1</f>
        <v>0.79391890070559978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1.3008529953323125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566">IF(E189&gt;E188,"RF",0)</f>
        <v>0</v>
      </c>
      <c r="F190" s="103" t="str">
        <f t="shared" si="1566"/>
        <v>RF</v>
      </c>
      <c r="G190" s="103">
        <f t="shared" si="1566"/>
        <v>0</v>
      </c>
      <c r="H190" s="103">
        <f t="shared" si="1566"/>
        <v>0</v>
      </c>
      <c r="I190" s="103">
        <f t="shared" si="1566"/>
        <v>0</v>
      </c>
      <c r="J190" s="103">
        <f t="shared" si="1566"/>
        <v>0</v>
      </c>
      <c r="K190" s="103" t="str">
        <f t="shared" si="1566"/>
        <v>RF</v>
      </c>
      <c r="L190" s="103" t="str">
        <f t="shared" si="1566"/>
        <v>RF</v>
      </c>
      <c r="M190" s="103">
        <f t="shared" si="1566"/>
        <v>0</v>
      </c>
      <c r="N190" s="103">
        <f t="shared" si="1566"/>
        <v>0</v>
      </c>
      <c r="O190" s="103" t="str">
        <f t="shared" si="1566"/>
        <v>RF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>
        <f t="shared" si="1566"/>
        <v>0</v>
      </c>
      <c r="T190" s="103">
        <f t="shared" si="1566"/>
        <v>0</v>
      </c>
      <c r="U190" s="103">
        <f t="shared" si="1566"/>
        <v>0</v>
      </c>
      <c r="V190" s="103" t="str">
        <f>IF(V189&gt;V188,"RF",0)</f>
        <v>RF</v>
      </c>
      <c r="W190" s="103">
        <f t="shared" ref="W190" si="1567">IF(W189&gt;W188,"RF",0)</f>
        <v>0</v>
      </c>
      <c r="X190" s="103" t="str">
        <f t="shared" ref="X190:Y190" si="1568">IF(X189&gt;X188,"RF",0)</f>
        <v>RF</v>
      </c>
      <c r="Y190" s="103" t="str">
        <f t="shared" si="1568"/>
        <v>RF</v>
      </c>
      <c r="Z190" s="103" t="str">
        <f t="shared" ref="Z190:AA190" si="1569">IF(Z189&gt;Z188,"RF",0)</f>
        <v>RF</v>
      </c>
      <c r="AA190" s="103" t="str">
        <f t="shared" si="1569"/>
        <v>RF</v>
      </c>
      <c r="AB190" s="73" t="str">
        <f t="shared" ref="AA190:AD190" si="1570">IF(AB189&gt;AB188,"RF",0)</f>
        <v>RF</v>
      </c>
      <c r="AC190" s="73" t="str">
        <f t="shared" si="1570"/>
        <v>RF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2.6915999999999598</v>
      </c>
      <c r="D193" s="23">
        <f t="shared" si="1572"/>
        <v>16.883400000000002</v>
      </c>
      <c r="E193" s="23">
        <f t="shared" si="1572"/>
        <v>19.661699999999964</v>
      </c>
      <c r="F193" s="23">
        <f t="shared" si="1572"/>
        <v>6.5844000000000289</v>
      </c>
      <c r="G193" s="23">
        <f t="shared" si="1572"/>
        <v>17.91299999999999</v>
      </c>
      <c r="H193" s="23">
        <f t="shared" si="1572"/>
        <v>41.401700000000019</v>
      </c>
      <c r="I193" s="23">
        <f t="shared" si="1572"/>
        <v>45.790300000000002</v>
      </c>
      <c r="J193" s="23">
        <f t="shared" si="1572"/>
        <v>15.027299999999988</v>
      </c>
      <c r="K193" s="23">
        <f t="shared" si="1572"/>
        <v>39.929600000000036</v>
      </c>
      <c r="L193" s="23">
        <f t="shared" si="1572"/>
        <v>65.002299999999892</v>
      </c>
      <c r="M193" s="23">
        <f t="shared" si="1572"/>
        <v>34.095399999999984</v>
      </c>
      <c r="N193" s="23">
        <f t="shared" si="1572"/>
        <v>20.504700000000014</v>
      </c>
      <c r="O193" s="23">
        <f t="shared" si="1572"/>
        <v>26.790299999999931</v>
      </c>
      <c r="P193" s="23">
        <f t="shared" si="1572"/>
        <v>16.492099999999876</v>
      </c>
      <c r="Q193" s="23">
        <f t="shared" si="1572"/>
        <v>36.044899999999991</v>
      </c>
      <c r="R193" s="23">
        <f t="shared" si="1572"/>
        <v>132.58999999999997</v>
      </c>
      <c r="S193" s="23">
        <f t="shared" si="1572"/>
        <v>123.28999999999992</v>
      </c>
      <c r="T193" s="23">
        <f t="shared" si="1572"/>
        <v>192.06000000000012</v>
      </c>
      <c r="U193" s="23">
        <f t="shared" si="1572"/>
        <v>181.57999999999993</v>
      </c>
      <c r="V193" s="23">
        <f t="shared" si="1572"/>
        <v>106.37</v>
      </c>
      <c r="W193" s="23">
        <f t="shared" si="1572"/>
        <v>110.02000000000002</v>
      </c>
      <c r="X193" s="23">
        <f t="shared" si="1572"/>
        <v>395.84000000000032</v>
      </c>
      <c r="Y193" s="23">
        <f t="shared" si="1572"/>
        <v>270.76999999999992</v>
      </c>
      <c r="Z193" s="23">
        <f t="shared" si="1572"/>
        <v>109.16999999999985</v>
      </c>
      <c r="AA193" s="23">
        <f t="shared" ref="AA193" si="1573">AA48</f>
        <v>82.530000000000086</v>
      </c>
      <c r="AB193" s="24">
        <f t="shared" si="1572"/>
        <v>106.39457749850247</v>
      </c>
      <c r="AC193" s="24">
        <f t="shared" si="1572"/>
        <v>118.83947790742019</v>
      </c>
      <c r="AD193" s="24">
        <f t="shared" si="1572"/>
        <v>132.58544851524778</v>
      </c>
      <c r="AE193" s="24">
        <f t="shared" si="1572"/>
        <v>147.27087340434386</v>
      </c>
      <c r="AI193" s="23">
        <f t="shared" ref="AI193:BN193" si="1574">AI48</f>
        <v>5.93</v>
      </c>
      <c r="AJ193" s="23">
        <f t="shared" si="1574"/>
        <v>5.300000000000022</v>
      </c>
      <c r="AK193" s="23">
        <f t="shared" si="1574"/>
        <v>2.0199999999999729</v>
      </c>
      <c r="AL193" s="23">
        <f t="shared" si="1574"/>
        <v>7.2700000000000085</v>
      </c>
      <c r="AM193" s="23">
        <f t="shared" si="1574"/>
        <v>6.7900000000000187</v>
      </c>
      <c r="AN193" s="23">
        <f t="shared" si="1574"/>
        <v>5.689999999999964</v>
      </c>
      <c r="AO193" s="23">
        <f t="shared" si="1574"/>
        <v>2.1000000000000165</v>
      </c>
      <c r="AP193" s="23">
        <f t="shared" si="1574"/>
        <v>12.210000000000019</v>
      </c>
      <c r="AQ193" s="23">
        <f t="shared" si="1574"/>
        <v>5.0300000000000242</v>
      </c>
      <c r="AR193" s="23">
        <f t="shared" si="1574"/>
        <v>6.8699999999999903</v>
      </c>
      <c r="AS193" s="23">
        <f t="shared" si="1574"/>
        <v>2.6500000000000012</v>
      </c>
      <c r="AT193" s="23">
        <f t="shared" si="1574"/>
        <v>2.7999999999999408</v>
      </c>
      <c r="AU193" s="23">
        <f t="shared" si="1574"/>
        <v>5.3899999999999952</v>
      </c>
      <c r="AV193" s="23">
        <f t="shared" si="1574"/>
        <v>7.1900000000000226</v>
      </c>
      <c r="AW193" s="23">
        <f t="shared" si="1574"/>
        <v>4.1299999999999688</v>
      </c>
      <c r="AX193" s="23">
        <f t="shared" si="1574"/>
        <v>18.869999999999965</v>
      </c>
      <c r="AY193" s="23">
        <f t="shared" si="1574"/>
        <v>24.12</v>
      </c>
      <c r="AZ193" s="23">
        <f t="shared" si="1574"/>
        <v>30.69000000000004</v>
      </c>
      <c r="BA193" s="23">
        <f t="shared" si="1574"/>
        <v>34.490000000000045</v>
      </c>
      <c r="BB193" s="23">
        <f t="shared" si="1574"/>
        <v>38.750000000000071</v>
      </c>
      <c r="BC193" s="23">
        <f t="shared" si="1574"/>
        <v>21.749999999999972</v>
      </c>
      <c r="BD193" s="23">
        <f t="shared" si="1574"/>
        <v>26.260000000000019</v>
      </c>
      <c r="BE193" s="23">
        <f t="shared" si="1574"/>
        <v>30.920000000000027</v>
      </c>
      <c r="BF193" s="23">
        <f t="shared" si="1574"/>
        <v>43.959999999999951</v>
      </c>
      <c r="BG193" s="23">
        <f t="shared" si="1574"/>
        <v>26.459999999999976</v>
      </c>
      <c r="BH193" s="23">
        <f t="shared" si="1574"/>
        <v>51.949999999999996</v>
      </c>
      <c r="BI193" s="23">
        <f t="shared" si="1574"/>
        <v>50.230000000000011</v>
      </c>
      <c r="BJ193" s="23">
        <f t="shared" si="1574"/>
        <v>63.410000000000011</v>
      </c>
      <c r="BK193" s="23">
        <f t="shared" si="1574"/>
        <v>39.010000000000012</v>
      </c>
      <c r="BL193" s="23">
        <f t="shared" si="1574"/>
        <v>49.89</v>
      </c>
      <c r="BM193" s="23">
        <f t="shared" si="1574"/>
        <v>45.859999999999957</v>
      </c>
      <c r="BN193" s="23">
        <f t="shared" si="1574"/>
        <v>46.869999999999976</v>
      </c>
      <c r="BO193" s="23">
        <f t="shared" ref="BO193:CT193" si="1575">BO48</f>
        <v>19.29999999999999</v>
      </c>
      <c r="BP193" s="23">
        <f t="shared" si="1575"/>
        <v>18.809999999999988</v>
      </c>
      <c r="BQ193" s="23">
        <f t="shared" si="1575"/>
        <v>4.6499999999999959</v>
      </c>
      <c r="BR193" s="23">
        <f t="shared" si="1575"/>
        <v>63.609999999999985</v>
      </c>
      <c r="BS193" s="23">
        <f t="shared" si="1575"/>
        <v>19.859999999999971</v>
      </c>
      <c r="BT193" s="23">
        <f t="shared" si="1575"/>
        <v>27.490000000000006</v>
      </c>
      <c r="BU193" s="23">
        <f t="shared" si="1575"/>
        <v>6.0400000000000427</v>
      </c>
      <c r="BV193" s="23">
        <f t="shared" si="1575"/>
        <v>56.63</v>
      </c>
      <c r="BW193" s="23">
        <f t="shared" si="1575"/>
        <v>60.300000000000004</v>
      </c>
      <c r="BX193" s="23">
        <f t="shared" si="1575"/>
        <v>106.28999999999998</v>
      </c>
      <c r="BY193" s="23">
        <f t="shared" si="1575"/>
        <v>111.57000000000001</v>
      </c>
      <c r="BZ193" s="23">
        <f t="shared" si="1575"/>
        <v>117.66999999999996</v>
      </c>
      <c r="CA193" s="23">
        <f t="shared" si="1575"/>
        <v>71.750000000000014</v>
      </c>
      <c r="CB193" s="23">
        <f t="shared" si="1575"/>
        <v>73.199999999999989</v>
      </c>
      <c r="CC193" s="23">
        <f t="shared" si="1575"/>
        <v>68.979999999999976</v>
      </c>
      <c r="CD193" s="23">
        <f t="shared" si="1575"/>
        <v>56.839999999999918</v>
      </c>
      <c r="CE193" s="23">
        <f t="shared" si="1575"/>
        <v>37</v>
      </c>
      <c r="CF193" s="23">
        <f t="shared" si="1575"/>
        <v>28.470000000000038</v>
      </c>
      <c r="CG193" s="23">
        <f t="shared" si="1575"/>
        <v>16.629999999999928</v>
      </c>
      <c r="CH193" s="23">
        <f t="shared" si="1575"/>
        <v>27.07</v>
      </c>
      <c r="CI193" s="23">
        <f t="shared" si="1575"/>
        <v>15.429999999999978</v>
      </c>
      <c r="CJ193" s="23">
        <f t="shared" si="1575"/>
        <v>22.410000000000011</v>
      </c>
      <c r="CK193" s="24">
        <f t="shared" si="1575"/>
        <v>18.639999999999979</v>
      </c>
      <c r="CL193" s="23">
        <f t="shared" ref="CL193" si="1576">CL48</f>
        <v>26.05000000000009</v>
      </c>
      <c r="CM193" s="24">
        <f t="shared" si="1575"/>
        <v>19.268816586205986</v>
      </c>
      <c r="CN193" s="24">
        <f t="shared" si="1575"/>
        <v>24.688101401652265</v>
      </c>
      <c r="CO193" s="24">
        <f t="shared" si="1575"/>
        <v>27.39439057182862</v>
      </c>
      <c r="CP193" s="24">
        <f t="shared" si="1575"/>
        <v>35.043268938815245</v>
      </c>
      <c r="CQ193" s="24">
        <f t="shared" si="1575"/>
        <v>21.409587839966701</v>
      </c>
      <c r="CR193" s="24">
        <f t="shared" si="1575"/>
        <v>27.211497646898408</v>
      </c>
      <c r="CS193" s="24">
        <f t="shared" si="1575"/>
        <v>30.790548602205025</v>
      </c>
      <c r="CT193" s="24">
        <f t="shared" si="1575"/>
        <v>39.427843818350027</v>
      </c>
      <c r="CU193" s="24">
        <f t="shared" ref="CU193:DB193" si="1577">CU48</f>
        <v>24.498646409891382</v>
      </c>
      <c r="CV193" s="24">
        <f t="shared" si="1577"/>
        <v>30.562939308394316</v>
      </c>
      <c r="CW193" s="24">
        <f t="shared" si="1577"/>
        <v>34.375551164160321</v>
      </c>
      <c r="CX193" s="24">
        <f t="shared" si="1577"/>
        <v>43.148311632801708</v>
      </c>
      <c r="CY193" s="24">
        <f t="shared" si="1577"/>
        <v>28.002652419718562</v>
      </c>
      <c r="CZ193" s="24">
        <f t="shared" si="1577"/>
        <v>34.199795102293145</v>
      </c>
      <c r="DA193" s="24">
        <f t="shared" si="1577"/>
        <v>38.105251159279867</v>
      </c>
      <c r="DB193" s="24">
        <f t="shared" si="1577"/>
        <v>46.963174723052106</v>
      </c>
      <c r="DE193" s="123"/>
      <c r="DF193" s="23">
        <v>82.529999999999859</v>
      </c>
    </row>
    <row r="194" spans="1:110" s="23" customFormat="1" x14ac:dyDescent="0.2">
      <c r="A194" s="23" t="s">
        <v>88</v>
      </c>
      <c r="C194" s="23">
        <f t="shared" ref="C194:AE194" si="1578">C32</f>
        <v>10.6677</v>
      </c>
      <c r="D194" s="23">
        <f t="shared" si="1578"/>
        <v>10.9565</v>
      </c>
      <c r="E194" s="23">
        <f t="shared" si="1578"/>
        <v>11.1106</v>
      </c>
      <c r="F194" s="23">
        <f t="shared" si="1578"/>
        <v>11.279299999999999</v>
      </c>
      <c r="G194" s="23">
        <f t="shared" si="1578"/>
        <v>14.523199999999999</v>
      </c>
      <c r="H194" s="23">
        <f t="shared" si="1578"/>
        <v>14.8337</v>
      </c>
      <c r="I194" s="23">
        <f t="shared" si="1578"/>
        <v>17.415400000000002</v>
      </c>
      <c r="J194" s="23">
        <f t="shared" si="1578"/>
        <v>26.288599999999999</v>
      </c>
      <c r="K194" s="23">
        <f t="shared" si="1578"/>
        <v>33.612499999999997</v>
      </c>
      <c r="L194" s="23">
        <f t="shared" si="1578"/>
        <v>33.994199999999999</v>
      </c>
      <c r="M194" s="23">
        <f t="shared" si="1578"/>
        <v>34.256</v>
      </c>
      <c r="N194" s="23">
        <f t="shared" si="1578"/>
        <v>49.146999999999998</v>
      </c>
      <c r="O194" s="23">
        <f t="shared" si="1578"/>
        <v>48.974899999999998</v>
      </c>
      <c r="P194" s="23">
        <f t="shared" si="1578"/>
        <v>29.3507</v>
      </c>
      <c r="Q194" s="23">
        <f t="shared" si="1578"/>
        <v>28.810199999999998</v>
      </c>
      <c r="R194" s="23">
        <f t="shared" si="1578"/>
        <v>30.68</v>
      </c>
      <c r="S194" s="23">
        <f t="shared" si="1578"/>
        <v>31.99</v>
      </c>
      <c r="T194" s="23">
        <f t="shared" si="1578"/>
        <v>33.82</v>
      </c>
      <c r="U194" s="23">
        <f t="shared" si="1578"/>
        <v>35.03</v>
      </c>
      <c r="V194" s="23">
        <f t="shared" si="1578"/>
        <v>37.64</v>
      </c>
      <c r="W194" s="23">
        <f t="shared" si="1578"/>
        <v>40.869999999999997</v>
      </c>
      <c r="X194" s="23">
        <f t="shared" si="1578"/>
        <v>45.29</v>
      </c>
      <c r="Y194" s="23">
        <f t="shared" si="1578"/>
        <v>43.85</v>
      </c>
      <c r="Z194" s="23">
        <f t="shared" si="1578"/>
        <v>45.28</v>
      </c>
      <c r="AA194" s="23">
        <f t="shared" ref="AA194" si="1579">AA32</f>
        <v>45.01</v>
      </c>
      <c r="AB194" s="24">
        <f t="shared" si="1578"/>
        <v>43.097923661175606</v>
      </c>
      <c r="AC194" s="24">
        <f t="shared" si="1578"/>
        <v>40.604426428080977</v>
      </c>
      <c r="AD194" s="24">
        <f t="shared" si="1578"/>
        <v>38.255194345677388</v>
      </c>
      <c r="AE194" s="24">
        <f t="shared" si="1578"/>
        <v>36.041880729866833</v>
      </c>
      <c r="AI194" s="23">
        <f t="shared" ref="AI194:BN194" si="1580">AI32</f>
        <v>12.32</v>
      </c>
      <c r="AJ194" s="23">
        <f t="shared" si="1580"/>
        <v>12.44</v>
      </c>
      <c r="AK194" s="23">
        <f t="shared" si="1580"/>
        <v>12.44</v>
      </c>
      <c r="AL194" s="23">
        <f t="shared" si="1580"/>
        <v>11.96</v>
      </c>
      <c r="AM194" s="23">
        <f t="shared" si="1580"/>
        <v>12.36</v>
      </c>
      <c r="AN194" s="23">
        <f t="shared" si="1580"/>
        <v>12.45</v>
      </c>
      <c r="AO194" s="23">
        <f t="shared" si="1580"/>
        <v>12.46</v>
      </c>
      <c r="AP194" s="23">
        <f t="shared" si="1580"/>
        <v>11.7</v>
      </c>
      <c r="AQ194" s="23">
        <f t="shared" si="1580"/>
        <v>8.68</v>
      </c>
      <c r="AR194" s="23">
        <f t="shared" si="1580"/>
        <v>6.08</v>
      </c>
      <c r="AS194" s="23">
        <f t="shared" si="1580"/>
        <v>7.44</v>
      </c>
      <c r="AT194" s="23">
        <f t="shared" si="1580"/>
        <v>7.09</v>
      </c>
      <c r="AU194" s="23">
        <f t="shared" si="1580"/>
        <v>7.47</v>
      </c>
      <c r="AV194" s="23">
        <f t="shared" si="1580"/>
        <v>7.55</v>
      </c>
      <c r="AW194" s="23">
        <f t="shared" si="1580"/>
        <v>7.54</v>
      </c>
      <c r="AX194" s="23">
        <f t="shared" si="1580"/>
        <v>6.19</v>
      </c>
      <c r="AY194" s="23">
        <f t="shared" si="1580"/>
        <v>8.09</v>
      </c>
      <c r="AZ194" s="23">
        <f t="shared" si="1580"/>
        <v>8.18</v>
      </c>
      <c r="BA194" s="23">
        <f t="shared" si="1580"/>
        <v>8.18</v>
      </c>
      <c r="BB194" s="23">
        <f t="shared" si="1580"/>
        <v>6.17</v>
      </c>
      <c r="BC194" s="23">
        <f t="shared" si="1580"/>
        <v>8.25</v>
      </c>
      <c r="BD194" s="23">
        <f t="shared" si="1580"/>
        <v>8.33</v>
      </c>
      <c r="BE194" s="23">
        <f t="shared" si="1580"/>
        <v>8.34</v>
      </c>
      <c r="BF194" s="23">
        <f t="shared" si="1580"/>
        <v>7.02</v>
      </c>
      <c r="BG194" s="23">
        <f t="shared" si="1580"/>
        <v>8.92</v>
      </c>
      <c r="BH194" s="23">
        <f t="shared" si="1580"/>
        <v>9.01</v>
      </c>
      <c r="BI194" s="23">
        <f t="shared" si="1580"/>
        <v>9.01</v>
      </c>
      <c r="BJ194" s="23">
        <f t="shared" si="1580"/>
        <v>6.88</v>
      </c>
      <c r="BK194" s="23">
        <f t="shared" si="1580"/>
        <v>9.07</v>
      </c>
      <c r="BL194" s="23">
        <f t="shared" si="1580"/>
        <v>9.17</v>
      </c>
      <c r="BM194" s="23">
        <f t="shared" si="1580"/>
        <v>9.16</v>
      </c>
      <c r="BN194" s="23">
        <f t="shared" si="1580"/>
        <v>7.63</v>
      </c>
      <c r="BO194" s="23">
        <f t="shared" ref="BO194:CT194" si="1581">BO32</f>
        <v>9.16</v>
      </c>
      <c r="BP194" s="23">
        <f t="shared" si="1581"/>
        <v>9.27</v>
      </c>
      <c r="BQ194" s="23">
        <f t="shared" si="1581"/>
        <v>9.4600000000000009</v>
      </c>
      <c r="BR194" s="23">
        <f t="shared" si="1581"/>
        <v>9.75</v>
      </c>
      <c r="BS194" s="23">
        <f t="shared" si="1581"/>
        <v>9.8800000000000008</v>
      </c>
      <c r="BT194" s="23">
        <f t="shared" si="1581"/>
        <v>9.98</v>
      </c>
      <c r="BU194" s="23">
        <f t="shared" si="1581"/>
        <v>10</v>
      </c>
      <c r="BV194" s="23">
        <f t="shared" si="1581"/>
        <v>11.01</v>
      </c>
      <c r="BW194" s="23">
        <f t="shared" si="1581"/>
        <v>11.79</v>
      </c>
      <c r="BX194" s="23">
        <f t="shared" si="1581"/>
        <v>11.65</v>
      </c>
      <c r="BY194" s="23">
        <f t="shared" si="1581"/>
        <v>11.59</v>
      </c>
      <c r="BZ194" s="23">
        <f t="shared" si="1581"/>
        <v>10.26</v>
      </c>
      <c r="CA194" s="23">
        <f t="shared" si="1581"/>
        <v>11.45</v>
      </c>
      <c r="CB194" s="23">
        <f t="shared" si="1581"/>
        <v>11.02</v>
      </c>
      <c r="CC194" s="23">
        <f t="shared" si="1581"/>
        <v>10.78</v>
      </c>
      <c r="CD194" s="23">
        <f t="shared" si="1581"/>
        <v>10.6</v>
      </c>
      <c r="CE194" s="23">
        <f t="shared" si="1581"/>
        <v>11.46</v>
      </c>
      <c r="CF194" s="23">
        <f t="shared" si="1581"/>
        <v>11.34</v>
      </c>
      <c r="CG194" s="23">
        <f t="shared" si="1581"/>
        <v>11.25</v>
      </c>
      <c r="CH194" s="23">
        <f t="shared" si="1581"/>
        <v>11.23</v>
      </c>
      <c r="CI194" s="23">
        <f t="shared" si="1581"/>
        <v>11.54</v>
      </c>
      <c r="CJ194" s="23">
        <f t="shared" si="1581"/>
        <v>11.14</v>
      </c>
      <c r="CK194" s="24">
        <f t="shared" si="1581"/>
        <v>11.26</v>
      </c>
      <c r="CL194" s="23">
        <f t="shared" ref="CL194" si="1582">CL32</f>
        <v>11.07</v>
      </c>
      <c r="CM194" s="24">
        <f t="shared" si="1581"/>
        <v>11.016463869183601</v>
      </c>
      <c r="CN194" s="24">
        <f t="shared" si="1581"/>
        <v>10.853541534698861</v>
      </c>
      <c r="CO194" s="24">
        <f t="shared" si="1581"/>
        <v>10.693028656405248</v>
      </c>
      <c r="CP194" s="24">
        <f t="shared" si="1581"/>
        <v>10.534889600887894</v>
      </c>
      <c r="CQ194" s="24">
        <f t="shared" si="1581"/>
        <v>10.379089261714007</v>
      </c>
      <c r="CR194" s="24">
        <f t="shared" si="1581"/>
        <v>10.225593051639363</v>
      </c>
      <c r="CS194" s="24">
        <f t="shared" si="1581"/>
        <v>10.074366894930014</v>
      </c>
      <c r="CT194" s="24">
        <f t="shared" si="1581"/>
        <v>9.9253772197975909</v>
      </c>
      <c r="CU194" s="24">
        <f t="shared" ref="CU194:DB194" si="1583">CU32</f>
        <v>9.7785909509464286</v>
      </c>
      <c r="CV194" s="24">
        <f t="shared" si="1583"/>
        <v>9.6339755022309781</v>
      </c>
      <c r="CW194" s="24">
        <f t="shared" si="1583"/>
        <v>9.4914987694217423</v>
      </c>
      <c r="CX194" s="24">
        <f t="shared" si="1583"/>
        <v>9.351129123078243</v>
      </c>
      <c r="CY194" s="24">
        <f t="shared" si="1583"/>
        <v>9.2128354015273697</v>
      </c>
      <c r="CZ194" s="24">
        <f t="shared" si="1583"/>
        <v>9.0765869039455644</v>
      </c>
      <c r="DA194" s="24">
        <f t="shared" si="1583"/>
        <v>8.94235338354334</v>
      </c>
      <c r="DB194" s="24">
        <f t="shared" si="1583"/>
        <v>8.8101050408505621</v>
      </c>
      <c r="DE194" s="123"/>
      <c r="DF194" s="23">
        <v>45.01</v>
      </c>
    </row>
    <row r="195" spans="1:110" s="22" customFormat="1" x14ac:dyDescent="0.2">
      <c r="A195" s="22" t="s">
        <v>89</v>
      </c>
      <c r="C195" s="22">
        <f t="shared" ref="C195:W195" si="1584">C193+C194</f>
        <v>13.35929999999996</v>
      </c>
      <c r="D195" s="22">
        <f t="shared" si="1584"/>
        <v>27.8399</v>
      </c>
      <c r="E195" s="22">
        <f t="shared" si="1584"/>
        <v>30.772299999999966</v>
      </c>
      <c r="F195" s="22">
        <f t="shared" si="1584"/>
        <v>17.86370000000003</v>
      </c>
      <c r="G195" s="22">
        <f t="shared" si="1584"/>
        <v>32.436199999999985</v>
      </c>
      <c r="H195" s="22">
        <f t="shared" si="1584"/>
        <v>56.23540000000002</v>
      </c>
      <c r="I195" s="22">
        <f t="shared" si="1584"/>
        <v>63.205700000000007</v>
      </c>
      <c r="J195" s="22">
        <f t="shared" si="1584"/>
        <v>41.315899999999985</v>
      </c>
      <c r="K195" s="22">
        <f t="shared" si="1584"/>
        <v>73.542100000000033</v>
      </c>
      <c r="L195" s="22">
        <f t="shared" si="1584"/>
        <v>98.996499999999884</v>
      </c>
      <c r="M195" s="22">
        <f t="shared" si="1584"/>
        <v>68.351399999999984</v>
      </c>
      <c r="N195" s="22">
        <f t="shared" si="1584"/>
        <v>69.651700000000005</v>
      </c>
      <c r="O195" s="22">
        <f t="shared" si="1584"/>
        <v>75.765199999999936</v>
      </c>
      <c r="P195" s="22">
        <f t="shared" si="1584"/>
        <v>45.842799999999876</v>
      </c>
      <c r="Q195" s="22">
        <f t="shared" si="1584"/>
        <v>64.855099999999993</v>
      </c>
      <c r="R195" s="22">
        <f t="shared" si="1584"/>
        <v>163.26999999999998</v>
      </c>
      <c r="S195" s="22">
        <f t="shared" si="1584"/>
        <v>155.27999999999992</v>
      </c>
      <c r="T195" s="22">
        <f t="shared" si="1584"/>
        <v>225.88000000000011</v>
      </c>
      <c r="U195" s="22">
        <f t="shared" si="1584"/>
        <v>216.60999999999993</v>
      </c>
      <c r="V195" s="22">
        <f t="shared" si="1584"/>
        <v>144.01</v>
      </c>
      <c r="W195" s="22">
        <f t="shared" si="1584"/>
        <v>150.89000000000001</v>
      </c>
      <c r="X195" s="22">
        <f t="shared" ref="X195:Y195" si="1585">X193+X194</f>
        <v>441.13000000000034</v>
      </c>
      <c r="Y195" s="22">
        <f t="shared" si="1585"/>
        <v>314.61999999999995</v>
      </c>
      <c r="Z195" s="22">
        <f t="shared" ref="Z195:AA195" si="1586">Z193+Z194</f>
        <v>154.44999999999985</v>
      </c>
      <c r="AA195" s="22">
        <f t="shared" si="1586"/>
        <v>127.54000000000008</v>
      </c>
      <c r="AB195" s="21">
        <f t="shared" ref="AA195:AD195" si="1587">AB193+AB194</f>
        <v>149.49250115967808</v>
      </c>
      <c r="AC195" s="21">
        <f t="shared" si="1587"/>
        <v>159.44390433550117</v>
      </c>
      <c r="AD195" s="21">
        <f t="shared" si="1587"/>
        <v>170.84064286092516</v>
      </c>
      <c r="AE195" s="21">
        <f t="shared" ref="AE195" si="1588">AE193+AE194</f>
        <v>183.31275413421071</v>
      </c>
      <c r="AI195" s="22">
        <f t="shared" ref="AI195" si="1589">AI193+AI194</f>
        <v>18.25</v>
      </c>
      <c r="AJ195" s="22">
        <f t="shared" ref="AJ195:AL195" si="1590">AJ193+AJ194</f>
        <v>17.740000000000023</v>
      </c>
      <c r="AK195" s="22">
        <f t="shared" si="1590"/>
        <v>14.459999999999972</v>
      </c>
      <c r="AL195" s="22">
        <f t="shared" si="1590"/>
        <v>19.230000000000011</v>
      </c>
      <c r="AM195" s="22">
        <f t="shared" ref="AM195" si="1591">AM193+AM194</f>
        <v>19.15000000000002</v>
      </c>
      <c r="AN195" s="22">
        <f t="shared" ref="AN195:CD195" si="1592">AN193+AN194</f>
        <v>18.139999999999965</v>
      </c>
      <c r="AO195" s="22">
        <f t="shared" si="1592"/>
        <v>14.560000000000016</v>
      </c>
      <c r="AP195" s="22">
        <f t="shared" si="1592"/>
        <v>23.910000000000018</v>
      </c>
      <c r="AQ195" s="22">
        <f t="shared" si="1592"/>
        <v>13.710000000000024</v>
      </c>
      <c r="AR195" s="22">
        <f t="shared" si="1592"/>
        <v>12.94999999999999</v>
      </c>
      <c r="AS195" s="22">
        <f t="shared" si="1592"/>
        <v>10.090000000000002</v>
      </c>
      <c r="AT195" s="22">
        <f t="shared" si="1592"/>
        <v>9.8899999999999402</v>
      </c>
      <c r="AU195" s="22">
        <f t="shared" si="1592"/>
        <v>12.859999999999996</v>
      </c>
      <c r="AV195" s="22">
        <f t="shared" si="1592"/>
        <v>14.740000000000023</v>
      </c>
      <c r="AW195" s="22">
        <f t="shared" si="1592"/>
        <v>11.66999999999997</v>
      </c>
      <c r="AX195" s="22">
        <f t="shared" si="1592"/>
        <v>25.059999999999967</v>
      </c>
      <c r="AY195" s="22">
        <f t="shared" si="1592"/>
        <v>32.21</v>
      </c>
      <c r="AZ195" s="22">
        <f t="shared" si="1592"/>
        <v>38.87000000000004</v>
      </c>
      <c r="BA195" s="22">
        <f t="shared" si="1592"/>
        <v>42.670000000000044</v>
      </c>
      <c r="BB195" s="22">
        <f t="shared" si="1592"/>
        <v>44.920000000000073</v>
      </c>
      <c r="BC195" s="22">
        <f t="shared" si="1592"/>
        <v>29.999999999999972</v>
      </c>
      <c r="BD195" s="22">
        <f t="shared" si="1592"/>
        <v>34.590000000000018</v>
      </c>
      <c r="BE195" s="22">
        <f t="shared" si="1592"/>
        <v>39.260000000000026</v>
      </c>
      <c r="BF195" s="22">
        <f t="shared" si="1592"/>
        <v>50.979999999999947</v>
      </c>
      <c r="BG195" s="22">
        <f t="shared" si="1592"/>
        <v>35.379999999999974</v>
      </c>
      <c r="BH195" s="22">
        <f t="shared" si="1592"/>
        <v>60.959999999999994</v>
      </c>
      <c r="BI195" s="22">
        <f t="shared" si="1592"/>
        <v>59.240000000000009</v>
      </c>
      <c r="BJ195" s="22">
        <f t="shared" si="1592"/>
        <v>70.290000000000006</v>
      </c>
      <c r="BK195" s="22">
        <f t="shared" si="1592"/>
        <v>48.080000000000013</v>
      </c>
      <c r="BL195" s="22">
        <f t="shared" si="1592"/>
        <v>59.06</v>
      </c>
      <c r="BM195" s="22">
        <f t="shared" si="1592"/>
        <v>55.019999999999953</v>
      </c>
      <c r="BN195" s="22">
        <f t="shared" si="1592"/>
        <v>54.499999999999979</v>
      </c>
      <c r="BO195" s="22">
        <f t="shared" si="1592"/>
        <v>28.45999999999999</v>
      </c>
      <c r="BP195" s="22">
        <f t="shared" si="1592"/>
        <v>28.079999999999988</v>
      </c>
      <c r="BQ195" s="22">
        <f t="shared" si="1592"/>
        <v>14.109999999999996</v>
      </c>
      <c r="BR195" s="22">
        <f t="shared" si="1592"/>
        <v>73.359999999999985</v>
      </c>
      <c r="BS195" s="22">
        <f t="shared" si="1592"/>
        <v>29.739999999999974</v>
      </c>
      <c r="BT195" s="22">
        <f t="shared" si="1592"/>
        <v>37.470000000000006</v>
      </c>
      <c r="BU195" s="22">
        <f t="shared" si="1592"/>
        <v>16.040000000000042</v>
      </c>
      <c r="BV195" s="22">
        <f t="shared" si="1592"/>
        <v>67.64</v>
      </c>
      <c r="BW195" s="22">
        <f t="shared" si="1592"/>
        <v>72.09</v>
      </c>
      <c r="BX195" s="22">
        <f t="shared" si="1592"/>
        <v>117.93999999999998</v>
      </c>
      <c r="BY195" s="22">
        <f t="shared" si="1592"/>
        <v>123.16000000000001</v>
      </c>
      <c r="BZ195" s="22">
        <f t="shared" si="1592"/>
        <v>127.92999999999996</v>
      </c>
      <c r="CA195" s="22">
        <f t="shared" si="1592"/>
        <v>83.200000000000017</v>
      </c>
      <c r="CB195" s="22">
        <f t="shared" si="1592"/>
        <v>84.219999999999985</v>
      </c>
      <c r="CC195" s="22">
        <f t="shared" si="1592"/>
        <v>79.759999999999977</v>
      </c>
      <c r="CD195" s="22">
        <f t="shared" si="1592"/>
        <v>67.439999999999912</v>
      </c>
      <c r="CE195" s="22">
        <f t="shared" ref="CE195:CF195" si="1593">CE193+CE194</f>
        <v>48.46</v>
      </c>
      <c r="CF195" s="22">
        <f t="shared" si="1593"/>
        <v>39.810000000000038</v>
      </c>
      <c r="CG195" s="22">
        <f t="shared" ref="CG195:CH195" si="1594">CG193+CG194</f>
        <v>27.879999999999928</v>
      </c>
      <c r="CH195" s="22">
        <f t="shared" si="1594"/>
        <v>38.299999999999997</v>
      </c>
      <c r="CI195" s="22">
        <f t="shared" ref="CI195:CJ195" si="1595">CI193+CI194</f>
        <v>26.969999999999978</v>
      </c>
      <c r="CJ195" s="22">
        <f t="shared" si="1595"/>
        <v>33.550000000000011</v>
      </c>
      <c r="CK195" s="21">
        <f t="shared" ref="CK195:DB195" si="1596">CK193+CK194</f>
        <v>29.899999999999977</v>
      </c>
      <c r="CL195" s="22">
        <f t="shared" si="1596"/>
        <v>37.12000000000009</v>
      </c>
      <c r="CM195" s="21">
        <f t="shared" si="1596"/>
        <v>30.285280455389589</v>
      </c>
      <c r="CN195" s="21">
        <f t="shared" si="1596"/>
        <v>35.541642936351124</v>
      </c>
      <c r="CO195" s="21">
        <f t="shared" si="1596"/>
        <v>38.08741922823387</v>
      </c>
      <c r="CP195" s="21">
        <f t="shared" si="1596"/>
        <v>45.578158539703139</v>
      </c>
      <c r="CQ195" s="21">
        <f t="shared" si="1596"/>
        <v>31.788677101680708</v>
      </c>
      <c r="CR195" s="21">
        <f t="shared" si="1596"/>
        <v>37.437090698537773</v>
      </c>
      <c r="CS195" s="21">
        <f t="shared" si="1596"/>
        <v>40.864915497135037</v>
      </c>
      <c r="CT195" s="21">
        <f t="shared" si="1596"/>
        <v>49.353221038147616</v>
      </c>
      <c r="CU195" s="21">
        <f t="shared" si="1596"/>
        <v>34.277237360837809</v>
      </c>
      <c r="CV195" s="21">
        <f t="shared" si="1596"/>
        <v>40.196914810625294</v>
      </c>
      <c r="CW195" s="21">
        <f t="shared" si="1596"/>
        <v>43.867049933582067</v>
      </c>
      <c r="CX195" s="21">
        <f t="shared" si="1596"/>
        <v>52.499440755879952</v>
      </c>
      <c r="CY195" s="21">
        <f t="shared" si="1596"/>
        <v>37.215487821245929</v>
      </c>
      <c r="CZ195" s="21">
        <f t="shared" si="1596"/>
        <v>43.276382006238705</v>
      </c>
      <c r="DA195" s="21">
        <f t="shared" si="1596"/>
        <v>47.047604542823208</v>
      </c>
      <c r="DB195" s="21">
        <f t="shared" si="1596"/>
        <v>55.773279763902664</v>
      </c>
      <c r="DE195" s="126"/>
      <c r="DF195" s="22">
        <v>127.53999999999985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22.728499999999986</v>
      </c>
      <c r="D196" s="23">
        <f t="shared" si="1597"/>
        <v>16.62240000000002</v>
      </c>
      <c r="E196" s="23">
        <f>D148-E148+D163+D164-E163-E164</f>
        <v>1.6303999999999945</v>
      </c>
      <c r="F196" s="23">
        <f t="shared" si="1597"/>
        <v>-5.000799999999991</v>
      </c>
      <c r="G196" s="23">
        <f t="shared" si="1597"/>
        <v>3.8155999999999821</v>
      </c>
      <c r="H196" s="23">
        <f t="shared" si="1597"/>
        <v>-29.326799999999977</v>
      </c>
      <c r="I196" s="23">
        <f t="shared" si="1597"/>
        <v>-3.9688999999999979</v>
      </c>
      <c r="J196" s="23">
        <f>I148-J148+I163+I164-J163-J164</f>
        <v>15.419699999999999</v>
      </c>
      <c r="K196" s="23">
        <f>J148-K148+J163+J164-K163-K164</f>
        <v>32.418599999999998</v>
      </c>
      <c r="L196" s="23">
        <f t="shared" si="1597"/>
        <v>-207.34390000000002</v>
      </c>
      <c r="M196" s="23">
        <f t="shared" si="1597"/>
        <v>13.947199999999995</v>
      </c>
      <c r="N196" s="23">
        <f t="shared" si="1597"/>
        <v>14.549100000000024</v>
      </c>
      <c r="O196" s="23">
        <f t="shared" si="1597"/>
        <v>-36.746700000000004</v>
      </c>
      <c r="P196" s="23">
        <f t="shared" si="1597"/>
        <v>-30.604200000000006</v>
      </c>
      <c r="Q196" s="23">
        <f t="shared" si="1597"/>
        <v>20.951800000000034</v>
      </c>
      <c r="R196" s="23">
        <f t="shared" si="1597"/>
        <v>41.963399999999979</v>
      </c>
      <c r="S196" s="23">
        <f t="shared" si="1597"/>
        <v>12.519999999999968</v>
      </c>
      <c r="T196" s="23">
        <f t="shared" si="1597"/>
        <v>30.57999999999997</v>
      </c>
      <c r="U196" s="23">
        <f t="shared" si="1597"/>
        <v>37.94</v>
      </c>
      <c r="V196" s="23">
        <f t="shared" si="1597"/>
        <v>-108.16999999999993</v>
      </c>
      <c r="W196" s="23">
        <f t="shared" si="1597"/>
        <v>73.32999999999997</v>
      </c>
      <c r="X196" s="23">
        <f t="shared" si="1597"/>
        <v>-249.52000000000004</v>
      </c>
      <c r="Y196" s="23">
        <f t="shared" si="1597"/>
        <v>-148.39000000000013</v>
      </c>
      <c r="Z196" s="23">
        <f t="shared" si="1597"/>
        <v>-17.999999999999773</v>
      </c>
      <c r="AA196" s="23">
        <f t="shared" si="1597"/>
        <v>-474.16</v>
      </c>
      <c r="AB196" s="24">
        <f t="shared" ref="AB196" si="1598">AA148-AB148+AA163+AA164-AB163-AB164</f>
        <v>-37.08516340415963</v>
      </c>
      <c r="AC196" s="24">
        <f t="shared" ref="AC196" si="1599">AB148-AC148+AB163+AB164-AC163-AC164</f>
        <v>-10.584141639521022</v>
      </c>
      <c r="AD196" s="24">
        <f t="shared" ref="AD196" si="1600">AC148-AD148+AC163+AC164-AD163-AD164</f>
        <v>-7.1135567688534138</v>
      </c>
      <c r="AE196" s="24">
        <f t="shared" ref="AE196" si="1601">AD148-AE148+AD163+AD164-AE163-AE164</f>
        <v>-6.8233020506704634</v>
      </c>
      <c r="AI196" s="23">
        <f>AH148-AI148+AH163+AH164-AI163-AJ164</f>
        <v>0</v>
      </c>
      <c r="AJ196" s="23">
        <f t="shared" ref="AJ196:AL196" si="1602">AI148-AJ148+AI163+AI164-AJ163-AK164</f>
        <v>-230.5</v>
      </c>
      <c r="AK196" s="23">
        <f t="shared" si="1602"/>
        <v>1.1542879715583467</v>
      </c>
      <c r="AL196" s="23">
        <f t="shared" si="1602"/>
        <v>2.3257120284416288</v>
      </c>
      <c r="AM196" s="23">
        <f t="shared" ref="AM196" si="1603">AL148-AM148+AL163+AL164-AM163-AM164</f>
        <v>10.80622957923481</v>
      </c>
      <c r="AN196" s="23">
        <f t="shared" ref="AN196" si="1604">AM148-AN148+AM163+AM164-AN163-AN164</f>
        <v>-20.566229579234786</v>
      </c>
      <c r="AO196" s="23">
        <f t="shared" ref="AO196" si="1605">AN148-AO148+AN163+AN164-AO163-AO164</f>
        <v>3.7803675658608427E-2</v>
      </c>
      <c r="AP196" s="23">
        <f t="shared" ref="AP196" si="1606">AO148-AP148+AO163+AO164-AP163-AP164</f>
        <v>-27.017803675658641</v>
      </c>
      <c r="AQ196" s="23">
        <f t="shared" ref="AQ196" si="1607">AP148-AQ148+AP163+AP164-AQ163-AQ164</f>
        <v>59.807656999791391</v>
      </c>
      <c r="AR196" s="23">
        <f t="shared" ref="AR196" si="1608">AQ148-AR148+AQ163+AQ164-AR163-AR164</f>
        <v>-89.657656999791413</v>
      </c>
      <c r="AS196" s="23">
        <f t="shared" ref="AS196" si="1609">AR148-AS148+AR163+AR164-AS163-AS164</f>
        <v>-33.387206502368826</v>
      </c>
      <c r="AT196" s="23">
        <f t="shared" ref="AT196" si="1610">AS148-AT148+AS163+AS164-AT163-AT164</f>
        <v>32.627206502368892</v>
      </c>
      <c r="AU196" s="23">
        <f t="shared" ref="AU196" si="1611">AT148-AU148+AT163+AT164-AU163-AU164</f>
        <v>61.268398613073032</v>
      </c>
      <c r="AV196" s="23">
        <f t="shared" ref="AV196" si="1612">AU148-AV148+AU163+AU164-AV163-AV164</f>
        <v>-74.688398613073005</v>
      </c>
      <c r="AW196" s="23">
        <f t="shared" ref="AW196" si="1613">AV148-AW148+AV163+AV164-AW163-AW164</f>
        <v>19.160202989253548</v>
      </c>
      <c r="AX196" s="23">
        <f t="shared" ref="AX196" si="1614">AW148-AX148+AW163+AW164-AX163-AX164</f>
        <v>15.209797010746442</v>
      </c>
      <c r="AY196" s="23">
        <f t="shared" ref="AY196" si="1615">AX148-AY148+AX163+AX164-AY163-AY164</f>
        <v>76.3129612807993</v>
      </c>
      <c r="AZ196" s="23">
        <f t="shared" ref="AZ196" si="1616">AY148-AZ148+AY163+AY164-AZ163-AZ164</f>
        <v>-88.442961280799352</v>
      </c>
      <c r="BA196" s="23">
        <f t="shared" ref="BA196" si="1617">AZ148-BA148+AZ163+AZ164-BA163-BA164</f>
        <v>-15.506088984440453</v>
      </c>
      <c r="BB196" s="23">
        <f t="shared" ref="BB196" si="1618">BA148-BB148+BA163+BA164-BB163-BB164</f>
        <v>69.606088984440476</v>
      </c>
      <c r="BC196" s="23">
        <f t="shared" ref="BC196" si="1619">BB148-BC148+BB163+BB164-BC163-BC164</f>
        <v>65.212165703392145</v>
      </c>
      <c r="BD196" s="23">
        <f t="shared" ref="BD196" si="1620">BC148-BD148+BC163+BC164-BD163-BD164</f>
        <v>-59.402165703392143</v>
      </c>
      <c r="BE196" s="23">
        <f t="shared" ref="BE196" si="1621">BD148-BE148+BD163+BD164-BE163-BE164</f>
        <v>-74.217331045406468</v>
      </c>
      <c r="BF196" s="23">
        <f t="shared" ref="BF196" si="1622">BE148-BF148+BE163+BE164-BF163-BF164</f>
        <v>80.927331045406433</v>
      </c>
      <c r="BG196" s="23">
        <f t="shared" ref="BG196" si="1623">BF148-BG148+BF163+BF164-BG163-BG164</f>
        <v>55.529519977004895</v>
      </c>
      <c r="BH196" s="23">
        <f t="shared" ref="BH196" si="1624">BG148-BH148+BG163+BG164-BH163-BH164</f>
        <v>-16.659519977004834</v>
      </c>
      <c r="BI196" s="23">
        <f t="shared" ref="BI196" si="1625">BH148-BI148+BH163+BH164-BI163-BI164</f>
        <v>-16.449041654090024</v>
      </c>
      <c r="BJ196" s="23">
        <f t="shared" ref="BJ196" si="1626">BI148-BJ148+BI163+BI164-BJ163-BJ164</f>
        <v>8.1590416540899326</v>
      </c>
      <c r="BK196" s="23">
        <f t="shared" ref="BK196" si="1627">BJ148-BK148+BJ163+BJ164-BK163-BK164</f>
        <v>50.658515188068918</v>
      </c>
      <c r="BL196" s="23">
        <f t="shared" ref="BL196" si="1628">BK148-BL148+BK163+BK164-BL163-BL164</f>
        <v>-41.708515188068844</v>
      </c>
      <c r="BM196" s="23">
        <f t="shared" ref="BM196" si="1629">BL148-BM148+BL163+BL164-BM163-BM164</f>
        <v>10.686707117853018</v>
      </c>
      <c r="BN196" s="23">
        <f t="shared" ref="BN196" si="1630">BM148-BN148+BM163+BM164-BN163-BN164</f>
        <v>18.303292882146906</v>
      </c>
      <c r="BO196" s="23">
        <f t="shared" ref="BO196" si="1631">BN148-BO148+BN163+BN164-BO163-BO164</f>
        <v>141.59302906377803</v>
      </c>
      <c r="BP196" s="23">
        <f t="shared" ref="BP196" si="1632">BO148-BP148+BO163+BO164-BP163-BP164</f>
        <v>-302.78302906377797</v>
      </c>
      <c r="BQ196" s="23">
        <f t="shared" ref="BQ196" si="1633">BP148-BQ148+BP163+BP164-BQ163-BQ164</f>
        <v>-36.581072995612317</v>
      </c>
      <c r="BR196" s="23">
        <f t="shared" ref="BR196" si="1634">BQ148-BR148+BQ163+BQ164-BR163-BR164</f>
        <v>89.601072995612299</v>
      </c>
      <c r="BS196" s="23">
        <f t="shared" ref="BS196" si="1635">BR148-BS148+BR163+BR164-BS163-BS164</f>
        <v>103.47581079020404</v>
      </c>
      <c r="BT196" s="23">
        <f t="shared" ref="BT196" si="1636">BS148-BT148+BS163+BS164-BT163-BT164</f>
        <v>-126.03581079020402</v>
      </c>
      <c r="BU196" s="23">
        <f t="shared" ref="BU196" si="1637">BT148-BU148+BT163+BT164-BU163-BU164</f>
        <v>-2.2184891566265037</v>
      </c>
      <c r="BV196" s="23">
        <f t="shared" ref="BV196" si="1638">BU148-BV148+BU163+BU164-BV163-BV164</f>
        <v>98.108489156626462</v>
      </c>
      <c r="BW196" s="23">
        <f t="shared" ref="BW196" si="1639">BV148-BW148+BV163+BV164-BW163-BW164</f>
        <v>19.191027007516254</v>
      </c>
      <c r="BX196" s="23">
        <f t="shared" ref="BX196" si="1640">BW148-BX148+BW163+BW164-BX163-BX164</f>
        <v>-332.71102700751624</v>
      </c>
      <c r="BY196" s="23">
        <f t="shared" ref="BY196" si="1641">BX148-BY148+BX163+BX164-BY163-BY164</f>
        <v>-13.934887456732554</v>
      </c>
      <c r="BZ196" s="23">
        <f t="shared" ref="BZ196" si="1642">BY148-BZ148+BY163+BY164-BZ163-BZ164</f>
        <v>77.934887456732497</v>
      </c>
      <c r="CA196" s="23">
        <f t="shared" ref="CA196" si="1643">BZ148-CA148+BZ163+BZ164-CA163-CA164</f>
        <v>86.000286128024811</v>
      </c>
      <c r="CB196" s="23">
        <f t="shared" ref="CB196" si="1644">CA148-CB148+CA163+CA164-CB163-CB164</f>
        <v>-89.69028612802488</v>
      </c>
      <c r="CC196" s="23">
        <f t="shared" ref="CC196" si="1645">CB148-CC148+CB163+CB164-CC163-CC164</f>
        <v>-113.0754903962909</v>
      </c>
      <c r="CD196" s="23">
        <f t="shared" ref="CD196" si="1646">CC148-CD148+CC163+CC164-CD163-CD164</f>
        <v>-31.624509603709186</v>
      </c>
      <c r="CE196" s="23">
        <f t="shared" ref="CE196" si="1647">CD148-CE148+CD163+CD164-CE163-CE164</f>
        <v>88.451313423428473</v>
      </c>
      <c r="CF196" s="23">
        <f t="shared" ref="CF196" si="1648">CE148-CF148+CE163+CE164-CF163-CF164</f>
        <v>27.808686576571716</v>
      </c>
      <c r="CG196" s="23">
        <f t="shared" ref="CG196" si="1649">CF148-CG148+CF163+CF164-CG163-CG164</f>
        <v>-34.916687830953265</v>
      </c>
      <c r="CH196" s="23">
        <f t="shared" ref="CH196:CL196" si="1650">CG148-CH148+CG163+CG164-CH163-CH164</f>
        <v>-99.343312169046698</v>
      </c>
      <c r="CI196" s="23">
        <f t="shared" si="1650"/>
        <v>170.16475266248642</v>
      </c>
      <c r="CJ196" s="23">
        <f t="shared" si="1650"/>
        <v>-223.56475266248651</v>
      </c>
      <c r="CK196" s="24">
        <f t="shared" ref="CK196" si="1651">CJ148-CK148+CJ163+CJ164-CK163-CK164</f>
        <v>-91.797567567567626</v>
      </c>
      <c r="CL196" s="23">
        <f t="shared" si="1650"/>
        <v>-328.96243243243208</v>
      </c>
      <c r="CM196" s="24">
        <f t="shared" ref="CM196" si="1652">CL148-CM148+CL163+CL164-CM163-CM164</f>
        <v>446.51126567960671</v>
      </c>
      <c r="CN196" s="24">
        <f t="shared" ref="CN196" si="1653">CM148-CN148+CM163+CM164-CN163-CN164</f>
        <v>67.368497255969146</v>
      </c>
      <c r="CO196" s="24">
        <f t="shared" ref="CO196" si="1654">CN148-CO148+CN163+CN164-CO163-CO164</f>
        <v>-101.53416195565319</v>
      </c>
      <c r="CP196" s="24">
        <f t="shared" ref="CP196" si="1655">CO148-CP148+CO163+CO164-CP163-CP164</f>
        <v>-449.43076438408258</v>
      </c>
      <c r="CQ196" s="24">
        <f t="shared" ref="CQ196" si="1656">CP148-CQ148+CP163+CP164-CQ163-CQ164</f>
        <v>488.04600893003806</v>
      </c>
      <c r="CR196" s="24">
        <f t="shared" ref="CR196" si="1657">CQ148-CR148+CQ163+CQ164-CR163-CR164</f>
        <v>61.850821934183045</v>
      </c>
      <c r="CS196" s="24">
        <f t="shared" ref="CS196" si="1658">CR148-CS148+CR163+CR164-CS163-CS164</f>
        <v>-106.50510918068085</v>
      </c>
      <c r="CT196" s="24">
        <f t="shared" ref="CT196" si="1659">CS148-CT148+CS163+CS164-CT163-CT164</f>
        <v>-453.97586332306133</v>
      </c>
      <c r="CU196" s="24">
        <f t="shared" ref="CU196" si="1660">CT148-CU148+CT163+CT164-CU163-CU164</f>
        <v>496.40658175548492</v>
      </c>
      <c r="CV196" s="24">
        <f t="shared" ref="CV196" si="1661">CU148-CV148+CU163+CU164-CV163-CV164</f>
        <v>60.509925734656235</v>
      </c>
      <c r="CW196" s="24">
        <f t="shared" ref="CW196" si="1662">CV148-CW148+CV163+CV164-CW163-CW164</f>
        <v>-107.7778924972074</v>
      </c>
      <c r="CX196" s="24">
        <f t="shared" ref="CX196" si="1663">CW148-CX148+CW163+CW164-CX163-CX164</f>
        <v>-456.25217176178722</v>
      </c>
      <c r="CY196" s="24">
        <f t="shared" ref="CY196" si="1664">CX148-CY148+CX163+CX164-CY163-CY164</f>
        <v>499.77290187157917</v>
      </c>
      <c r="CZ196" s="24">
        <f t="shared" ref="CZ196" si="1665">CY148-CZ148+CY163+CY164-CZ163-CZ164</f>
        <v>60.463025279651561</v>
      </c>
      <c r="DA196" s="24">
        <f t="shared" ref="DA196" si="1666">CZ148-DA148+CZ163+CZ164-DA163-DA164</f>
        <v>-108.43092372999286</v>
      </c>
      <c r="DB196" s="24">
        <f t="shared" ref="DB196" si="1667">DA148-DB148+DA163+DA164-DB163-DB164</f>
        <v>-458.62830547190839</v>
      </c>
      <c r="DE196" s="123"/>
      <c r="DF196" s="23">
        <v>-474.1599999999998</v>
      </c>
    </row>
    <row r="197" spans="1:110" s="23" customFormat="1" x14ac:dyDescent="0.2">
      <c r="A197" s="23" t="s">
        <v>73</v>
      </c>
      <c r="C197" s="23">
        <f t="shared" ref="C197:AA197" si="1668">B156-C156</f>
        <v>-3.6777999999999906</v>
      </c>
      <c r="D197" s="23">
        <f t="shared" si="1668"/>
        <v>3.8427999999999969</v>
      </c>
      <c r="E197" s="23">
        <f>D156-E156</f>
        <v>-26.122399999999985</v>
      </c>
      <c r="F197" s="23">
        <f t="shared" si="1668"/>
        <v>-17.380700000000033</v>
      </c>
      <c r="G197" s="23">
        <f t="shared" si="1668"/>
        <v>-4.7367999999999739</v>
      </c>
      <c r="H197" s="23">
        <f t="shared" si="1668"/>
        <v>-13.073700000000017</v>
      </c>
      <c r="I197" s="23">
        <f t="shared" si="1668"/>
        <v>-26.206600000000009</v>
      </c>
      <c r="J197" s="23">
        <f>I156-J156</f>
        <v>48.125600000000006</v>
      </c>
      <c r="K197" s="23">
        <f>J156-K156</f>
        <v>12.351600000000005</v>
      </c>
      <c r="L197" s="23">
        <f t="shared" si="1668"/>
        <v>-4.3804000000000087</v>
      </c>
      <c r="M197" s="23">
        <f t="shared" si="1668"/>
        <v>-86.501599999999968</v>
      </c>
      <c r="N197" s="23">
        <f t="shared" si="1668"/>
        <v>-45.512499999999989</v>
      </c>
      <c r="O197" s="23">
        <f t="shared" si="1668"/>
        <v>14.878599999999949</v>
      </c>
      <c r="P197" s="23">
        <f t="shared" si="1668"/>
        <v>-51.981399999999979</v>
      </c>
      <c r="Q197" s="23">
        <f t="shared" si="1668"/>
        <v>4.1270000000000095</v>
      </c>
      <c r="R197" s="23">
        <f t="shared" si="1668"/>
        <v>15.536799999999971</v>
      </c>
      <c r="S197" s="23">
        <f t="shared" si="1668"/>
        <v>-49.159999999999968</v>
      </c>
      <c r="T197" s="23">
        <f t="shared" si="1668"/>
        <v>-15.590000000000032</v>
      </c>
      <c r="U197" s="23">
        <f t="shared" si="1668"/>
        <v>55.04000000000002</v>
      </c>
      <c r="V197" s="23">
        <f t="shared" si="1668"/>
        <v>22.259999999999991</v>
      </c>
      <c r="W197" s="23">
        <f t="shared" si="1668"/>
        <v>-29.210000000000036</v>
      </c>
      <c r="X197" s="23">
        <f t="shared" si="1668"/>
        <v>-45.579999999999984</v>
      </c>
      <c r="Y197" s="23">
        <f t="shared" si="1668"/>
        <v>-9.5300000000000296</v>
      </c>
      <c r="Z197" s="23">
        <f t="shared" si="1668"/>
        <v>9.7000000000000455</v>
      </c>
      <c r="AA197" s="23">
        <f t="shared" si="1668"/>
        <v>-13.440000000000055</v>
      </c>
      <c r="AB197" s="24">
        <f t="shared" ref="AB197" si="1669">AA156-AB156</f>
        <v>-10.358504224838612</v>
      </c>
      <c r="AC197" s="24">
        <f t="shared" ref="AC197" si="1670">AB156-AC156</f>
        <v>-2.9563271622788534</v>
      </c>
      <c r="AD197" s="24">
        <f t="shared" ref="AD197" si="1671">AC156-AD156</f>
        <v>-1.9869349648201933</v>
      </c>
      <c r="AE197" s="24">
        <f t="shared" ref="AE197" si="1672">AD156-AE156</f>
        <v>-1.9058619844531677</v>
      </c>
      <c r="AI197" s="23">
        <f t="shared" ref="AI197" si="1673">AH156-AI156</f>
        <v>0</v>
      </c>
      <c r="AJ197" s="23">
        <f t="shared" ref="AJ197" si="1674">AI156-AJ156</f>
        <v>-212.57</v>
      </c>
      <c r="AK197" s="23">
        <f t="shared" ref="AK197" si="1675">AJ156-AK156</f>
        <v>0</v>
      </c>
      <c r="AL197" s="23">
        <f t="shared" ref="AL197" si="1676">AK156-AL156</f>
        <v>-92.009999999999991</v>
      </c>
      <c r="AM197" s="23">
        <f t="shared" ref="AM197" si="1677">AL156-AM156</f>
        <v>0</v>
      </c>
      <c r="AN197" s="23">
        <f t="shared" ref="AN197" si="1678">AM156-AN156</f>
        <v>15.659999999999968</v>
      </c>
      <c r="AO197" s="23">
        <f t="shared" ref="AO197" si="1679">AN156-AO156</f>
        <v>3.9623757690492312E-2</v>
      </c>
      <c r="AP197" s="23">
        <f t="shared" ref="AP197" si="1680">AO156-AP156</f>
        <v>28.820376242309464</v>
      </c>
      <c r="AQ197" s="23">
        <f t="shared" ref="AQ197" si="1681">AP156-AQ156</f>
        <v>45.394099033312528</v>
      </c>
      <c r="AR197" s="23">
        <f t="shared" ref="AR197" si="1682">AQ156-AR156</f>
        <v>-72.154099033312519</v>
      </c>
      <c r="AS197" s="23">
        <f t="shared" ref="AS197" si="1683">AR156-AS156</f>
        <v>-25.088319207197742</v>
      </c>
      <c r="AT197" s="23">
        <f t="shared" ref="AT197" si="1684">AS156-AT156</f>
        <v>-12.711680792802156</v>
      </c>
      <c r="AU197" s="23">
        <f t="shared" ref="AU197" si="1685">AT156-AU156</f>
        <v>53.606286117888772</v>
      </c>
      <c r="AV197" s="23">
        <f t="shared" ref="AV197" si="1686">AU156-AV156</f>
        <v>-41.65628611788884</v>
      </c>
      <c r="AW197" s="23">
        <f t="shared" ref="AW197" si="1687">AV156-AW156</f>
        <v>15.808710009470133</v>
      </c>
      <c r="AX197" s="23">
        <f t="shared" ref="AX197" si="1688">AW156-AX156</f>
        <v>-25.478710009470092</v>
      </c>
      <c r="AY197" s="23">
        <f t="shared" ref="AY197" si="1689">AX156-AY156</f>
        <v>69.145688089020041</v>
      </c>
      <c r="AZ197" s="23">
        <f t="shared" ref="AZ197" si="1690">AY156-AZ156</f>
        <v>-54.645688089020098</v>
      </c>
      <c r="BA197" s="23">
        <f t="shared" ref="BA197" si="1691">AZ156-BA156</f>
        <v>-13.164978318696967</v>
      </c>
      <c r="BB197" s="23">
        <f t="shared" ref="BB197" si="1692">BA156-BB156</f>
        <v>7.4549783186970444</v>
      </c>
      <c r="BC197" s="23">
        <f t="shared" ref="BC197" si="1693">BB156-BC156</f>
        <v>52.257541683057468</v>
      </c>
      <c r="BD197" s="23">
        <f t="shared" ref="BD197" si="1694">BC156-BD156</f>
        <v>-38.867541683057539</v>
      </c>
      <c r="BE197" s="23">
        <f t="shared" ref="BE197" si="1695">BD156-BE156</f>
        <v>-52.235925730376607</v>
      </c>
      <c r="BF197" s="23">
        <f t="shared" ref="BF197" si="1696">BE156-BF156</f>
        <v>-13.84407426962332</v>
      </c>
      <c r="BG197" s="23">
        <f t="shared" ref="BG197" si="1697">BF156-BG156</f>
        <v>49.616498993963717</v>
      </c>
      <c r="BH197" s="23">
        <f t="shared" ref="BH197" si="1698">BG156-BH156</f>
        <v>-19.336498993963744</v>
      </c>
      <c r="BI197" s="23">
        <f t="shared" ref="BI197" si="1699">BH156-BI156</f>
        <v>-13.989299728342928</v>
      </c>
      <c r="BJ197" s="23">
        <f t="shared" ref="BJ197" si="1700">BI156-BJ156</f>
        <v>-19.920700271657097</v>
      </c>
      <c r="BK197" s="23">
        <f t="shared" ref="BK197" si="1701">BJ156-BK156</f>
        <v>61.13355356947028</v>
      </c>
      <c r="BL197" s="23">
        <f t="shared" ref="BL197" si="1702">BK156-BL156</f>
        <v>24.356446430529729</v>
      </c>
      <c r="BM197" s="23">
        <f t="shared" ref="BM197" si="1703">BL156-BM156</f>
        <v>9.1282893815636044</v>
      </c>
      <c r="BN197" s="23">
        <f t="shared" ref="BN197" si="1704">BM156-BN156</f>
        <v>2.2917106184364116</v>
      </c>
      <c r="BO197" s="23">
        <f t="shared" ref="BO197" si="1705">BN156-BO156</f>
        <v>110.2441232479006</v>
      </c>
      <c r="BP197" s="23">
        <f t="shared" ref="BP197" si="1706">BO156-BP156</f>
        <v>-112.50412324790059</v>
      </c>
      <c r="BQ197" s="23">
        <f t="shared" ref="BQ197" si="1707">BP156-BQ156</f>
        <v>-18.285380933386591</v>
      </c>
      <c r="BR197" s="23">
        <f t="shared" ref="BR197" si="1708">BQ156-BR156</f>
        <v>46.125380933386566</v>
      </c>
      <c r="BS197" s="23">
        <f t="shared" ref="BS197" si="1709">BR156-BS156</f>
        <v>57.378630028363148</v>
      </c>
      <c r="BT197" s="23">
        <f t="shared" ref="BT197" si="1710">BS156-BT156</f>
        <v>-47.128630028363148</v>
      </c>
      <c r="BU197" s="23">
        <f t="shared" ref="BU197" si="1711">BT156-BU156</f>
        <v>-0.9434385542168684</v>
      </c>
      <c r="BV197" s="23">
        <f t="shared" ref="BV197" si="1712">BU156-BV156</f>
        <v>-38.25656144578312</v>
      </c>
      <c r="BW197" s="23">
        <f t="shared" ref="BW197" si="1713">BV156-BW156</f>
        <v>16.640390887086483</v>
      </c>
      <c r="BX197" s="23">
        <f t="shared" ref="BX197" si="1714">BW156-BX156</f>
        <v>-27.320390887086489</v>
      </c>
      <c r="BY197" s="23">
        <f t="shared" ref="BY197" si="1715">BX156-BY156</f>
        <v>-11.771167122449413</v>
      </c>
      <c r="BZ197" s="23">
        <f t="shared" ref="BZ197" si="1716">BY156-BZ156</f>
        <v>-23.128832877550622</v>
      </c>
      <c r="CA197" s="23">
        <f t="shared" ref="CA197" si="1717">BZ156-CA156</f>
        <v>59.589420241813116</v>
      </c>
      <c r="CB197" s="23">
        <f t="shared" ref="CB197" si="1718">CA156-CB156</f>
        <v>-44.159420241813109</v>
      </c>
      <c r="CC197" s="23">
        <f t="shared" ref="CC197" si="1719">CB156-CC156</f>
        <v>-64.192732365603206</v>
      </c>
      <c r="CD197" s="23">
        <f t="shared" ref="CD197" si="1720">CC156-CD156</f>
        <v>39.232732365603169</v>
      </c>
      <c r="CE197" s="23">
        <f t="shared" ref="CE197" si="1721">CD156-CE156</f>
        <v>56.350206699664454</v>
      </c>
      <c r="CF197" s="23">
        <f t="shared" ref="CF197" si="1722">CE156-CF156</f>
        <v>6.609793300335582</v>
      </c>
      <c r="CG197" s="23">
        <f t="shared" ref="CG197" si="1723">CF156-CG156</f>
        <v>-15.85562827816392</v>
      </c>
      <c r="CH197" s="23">
        <f t="shared" ref="CH197:CL197" si="1724">CG156-CH156</f>
        <v>-37.404371721836071</v>
      </c>
      <c r="CI197" s="23">
        <f t="shared" si="1724"/>
        <v>74.902942171792574</v>
      </c>
      <c r="CJ197" s="23">
        <f t="shared" si="1724"/>
        <v>-18.242942171792549</v>
      </c>
      <c r="CK197" s="24">
        <f t="shared" ref="CK197" si="1725">CJ156-CK156</f>
        <v>-31.045405405405461</v>
      </c>
      <c r="CL197" s="23">
        <f t="shared" si="1724"/>
        <v>-39.054594594594562</v>
      </c>
      <c r="CM197" s="24">
        <f t="shared" ref="CM197" si="1726">CL156-CM156</f>
        <v>124.71803835874212</v>
      </c>
      <c r="CN197" s="24">
        <f t="shared" ref="CN197" si="1727">CM156-CN156</f>
        <v>18.817144091879811</v>
      </c>
      <c r="CO197" s="24">
        <f t="shared" ref="CO197" si="1728">CN156-CO156</f>
        <v>-28.360183670246556</v>
      </c>
      <c r="CP197" s="24">
        <f t="shared" ref="CP197" si="1729">CO156-CP156</f>
        <v>-125.53350300521404</v>
      </c>
      <c r="CQ197" s="24">
        <f t="shared" ref="CQ197" si="1730">CP156-CQ156</f>
        <v>136.31938439430854</v>
      </c>
      <c r="CR197" s="24">
        <f t="shared" ref="CR197" si="1731">CQ156-CR156</f>
        <v>17.275965413249594</v>
      </c>
      <c r="CS197" s="24">
        <f t="shared" ref="CS197" si="1732">CR156-CS156</f>
        <v>-29.748652079317196</v>
      </c>
      <c r="CT197" s="24">
        <f t="shared" ref="CT197" si="1733">CS156-CT156</f>
        <v>-126.80302489051979</v>
      </c>
      <c r="CU197" s="24">
        <f t="shared" ref="CU197" si="1734">CT156-CU156</f>
        <v>138.65463172733624</v>
      </c>
      <c r="CV197" s="24">
        <f t="shared" ref="CV197" si="1735">CU156-CV156</f>
        <v>16.901430756451759</v>
      </c>
      <c r="CW197" s="24">
        <f t="shared" ref="CW197" si="1736">CV156-CW156</f>
        <v>-30.104161672678316</v>
      </c>
      <c r="CX197" s="24">
        <f t="shared" ref="CX197" si="1737">CW156-CX156</f>
        <v>-127.43883577592987</v>
      </c>
      <c r="CY197" s="24">
        <f t="shared" ref="CY197" si="1738">CX156-CY156</f>
        <v>139.59490104109659</v>
      </c>
      <c r="CZ197" s="24">
        <f t="shared" ref="CZ197" si="1739">CY156-CZ156</f>
        <v>16.888330677694682</v>
      </c>
      <c r="DA197" s="24">
        <f t="shared" ref="DA197" si="1740">CZ156-DA156</f>
        <v>-30.286564179849165</v>
      </c>
      <c r="DB197" s="24">
        <f t="shared" ref="DB197" si="1741">DA156-DB156</f>
        <v>-128.10252952339528</v>
      </c>
      <c r="DE197" s="123"/>
      <c r="DF197" s="23">
        <v>-13.439999999999998</v>
      </c>
    </row>
    <row r="198" spans="1:110" s="22" customFormat="1" x14ac:dyDescent="0.2">
      <c r="A198" s="22" t="s">
        <v>90</v>
      </c>
      <c r="C198" s="22">
        <f t="shared" ref="C198:W198" si="1742">C196-C197</f>
        <v>26.406299999999977</v>
      </c>
      <c r="D198" s="22">
        <f t="shared" si="1742"/>
        <v>12.779600000000023</v>
      </c>
      <c r="E198" s="22">
        <f t="shared" si="1742"/>
        <v>27.752799999999979</v>
      </c>
      <c r="F198" s="22">
        <f t="shared" si="1742"/>
        <v>12.379900000000042</v>
      </c>
      <c r="G198" s="22">
        <f t="shared" si="1742"/>
        <v>8.552399999999956</v>
      </c>
      <c r="H198" s="22">
        <f t="shared" si="1742"/>
        <v>-16.253099999999961</v>
      </c>
      <c r="I198" s="22">
        <f t="shared" si="1742"/>
        <v>22.237700000000011</v>
      </c>
      <c r="J198" s="22">
        <f>J196-J197</f>
        <v>-32.705900000000007</v>
      </c>
      <c r="K198" s="22">
        <f t="shared" si="1742"/>
        <v>20.066999999999993</v>
      </c>
      <c r="L198" s="22">
        <f t="shared" si="1742"/>
        <v>-202.96350000000001</v>
      </c>
      <c r="M198" s="22">
        <f t="shared" si="1742"/>
        <v>100.44879999999996</v>
      </c>
      <c r="N198" s="22">
        <f t="shared" si="1742"/>
        <v>60.061600000000013</v>
      </c>
      <c r="O198" s="22">
        <f t="shared" si="1742"/>
        <v>-51.625299999999953</v>
      </c>
      <c r="P198" s="22">
        <f t="shared" si="1742"/>
        <v>21.377199999999974</v>
      </c>
      <c r="Q198" s="22">
        <f t="shared" si="1742"/>
        <v>16.824800000000025</v>
      </c>
      <c r="R198" s="22">
        <f t="shared" si="1742"/>
        <v>26.426600000000008</v>
      </c>
      <c r="S198" s="22">
        <f t="shared" si="1742"/>
        <v>61.679999999999936</v>
      </c>
      <c r="T198" s="22">
        <f t="shared" si="1742"/>
        <v>46.17</v>
      </c>
      <c r="U198" s="22">
        <f t="shared" si="1742"/>
        <v>-17.100000000000023</v>
      </c>
      <c r="V198" s="22">
        <f t="shared" si="1742"/>
        <v>-130.42999999999992</v>
      </c>
      <c r="W198" s="22">
        <f t="shared" si="1742"/>
        <v>102.54</v>
      </c>
      <c r="X198" s="22">
        <f t="shared" ref="X198:Y198" si="1743">X196-X197</f>
        <v>-203.94000000000005</v>
      </c>
      <c r="Y198" s="22">
        <f t="shared" si="1743"/>
        <v>-138.8600000000001</v>
      </c>
      <c r="Z198" s="22">
        <f t="shared" ref="Z198:AA198" si="1744">Z196-Z197</f>
        <v>-27.699999999999818</v>
      </c>
      <c r="AA198" s="22">
        <f t="shared" si="1744"/>
        <v>-460.71999999999997</v>
      </c>
      <c r="AB198" s="21">
        <f t="shared" ref="AA198:AD198" si="1745">AB196-AB197</f>
        <v>-26.726659179321018</v>
      </c>
      <c r="AC198" s="21">
        <f t="shared" si="1745"/>
        <v>-7.6278144772421683</v>
      </c>
      <c r="AD198" s="21">
        <f t="shared" si="1745"/>
        <v>-5.1266218040332205</v>
      </c>
      <c r="AE198" s="21">
        <f t="shared" ref="AE198" si="1746">AE196-AE197</f>
        <v>-4.9174400662172957</v>
      </c>
      <c r="AI198" s="22">
        <f t="shared" ref="AI198" si="1747">AI196-AI197</f>
        <v>0</v>
      </c>
      <c r="AJ198" s="22">
        <f t="shared" ref="AJ198:AL198" si="1748">AJ196-AJ197</f>
        <v>-17.930000000000007</v>
      </c>
      <c r="AK198" s="22">
        <f t="shared" si="1748"/>
        <v>1.1542879715583467</v>
      </c>
      <c r="AL198" s="22">
        <f t="shared" si="1748"/>
        <v>94.33571202844162</v>
      </c>
      <c r="AM198" s="22">
        <f t="shared" ref="AM198" si="1749">AM196-AM197</f>
        <v>10.80622957923481</v>
      </c>
      <c r="AN198" s="22">
        <f t="shared" ref="AN198:CD198" si="1750">AN196-AN197</f>
        <v>-36.226229579234754</v>
      </c>
      <c r="AO198" s="22">
        <f t="shared" si="1750"/>
        <v>-1.8200820318838851E-3</v>
      </c>
      <c r="AP198" s="22">
        <f t="shared" si="1750"/>
        <v>-55.838179917968105</v>
      </c>
      <c r="AQ198" s="22">
        <f t="shared" si="1750"/>
        <v>14.413557966478862</v>
      </c>
      <c r="AR198" s="22">
        <f t="shared" si="1750"/>
        <v>-17.503557966478894</v>
      </c>
      <c r="AS198" s="22">
        <f t="shared" si="1750"/>
        <v>-8.2988872951710846</v>
      </c>
      <c r="AT198" s="22">
        <f t="shared" si="1750"/>
        <v>45.338887295171048</v>
      </c>
      <c r="AU198" s="22">
        <f t="shared" si="1750"/>
        <v>7.6621124951842603</v>
      </c>
      <c r="AV198" s="22">
        <f t="shared" si="1750"/>
        <v>-33.032112495184165</v>
      </c>
      <c r="AW198" s="22">
        <f t="shared" si="1750"/>
        <v>3.3514929797834156</v>
      </c>
      <c r="AX198" s="22">
        <f t="shared" si="1750"/>
        <v>40.688507020216534</v>
      </c>
      <c r="AY198" s="22">
        <f t="shared" si="1750"/>
        <v>7.1672731917792589</v>
      </c>
      <c r="AZ198" s="22">
        <f t="shared" si="1750"/>
        <v>-33.797273191779254</v>
      </c>
      <c r="BA198" s="22">
        <f t="shared" si="1750"/>
        <v>-2.3411106657434857</v>
      </c>
      <c r="BB198" s="22">
        <f t="shared" si="1750"/>
        <v>62.151110665743431</v>
      </c>
      <c r="BC198" s="22">
        <f t="shared" si="1750"/>
        <v>12.954624020334677</v>
      </c>
      <c r="BD198" s="22">
        <f t="shared" si="1750"/>
        <v>-20.534624020334604</v>
      </c>
      <c r="BE198" s="22">
        <f t="shared" si="1750"/>
        <v>-21.981405315029861</v>
      </c>
      <c r="BF198" s="22">
        <f t="shared" si="1750"/>
        <v>94.771405315029753</v>
      </c>
      <c r="BG198" s="22">
        <f t="shared" si="1750"/>
        <v>5.9130209830411786</v>
      </c>
      <c r="BH198" s="22">
        <f t="shared" si="1750"/>
        <v>2.6769790169589101</v>
      </c>
      <c r="BI198" s="22">
        <f t="shared" si="1750"/>
        <v>-2.459741925747096</v>
      </c>
      <c r="BJ198" s="22">
        <f t="shared" si="1750"/>
        <v>28.07974192574703</v>
      </c>
      <c r="BK198" s="22">
        <f t="shared" si="1750"/>
        <v>-10.475038381401362</v>
      </c>
      <c r="BL198" s="22">
        <f t="shared" si="1750"/>
        <v>-66.064961618598574</v>
      </c>
      <c r="BM198" s="22">
        <f t="shared" si="1750"/>
        <v>1.5584177362894138</v>
      </c>
      <c r="BN198" s="22">
        <f t="shared" si="1750"/>
        <v>16.011582263710494</v>
      </c>
      <c r="BO198" s="22">
        <f t="shared" si="1750"/>
        <v>31.34890581587743</v>
      </c>
      <c r="BP198" s="22">
        <f t="shared" si="1750"/>
        <v>-190.27890581587738</v>
      </c>
      <c r="BQ198" s="22">
        <f t="shared" si="1750"/>
        <v>-18.295692062225726</v>
      </c>
      <c r="BR198" s="22">
        <f t="shared" si="1750"/>
        <v>43.475692062225733</v>
      </c>
      <c r="BS198" s="22">
        <f t="shared" si="1750"/>
        <v>46.097180761840889</v>
      </c>
      <c r="BT198" s="22">
        <f t="shared" si="1750"/>
        <v>-78.907180761840877</v>
      </c>
      <c r="BU198" s="22">
        <f t="shared" si="1750"/>
        <v>-1.2750506024096353</v>
      </c>
      <c r="BV198" s="22">
        <f t="shared" si="1750"/>
        <v>136.36505060240958</v>
      </c>
      <c r="BW198" s="22">
        <f t="shared" si="1750"/>
        <v>2.5506361204297718</v>
      </c>
      <c r="BX198" s="22">
        <f t="shared" si="1750"/>
        <v>-305.39063612042975</v>
      </c>
      <c r="BY198" s="22">
        <f t="shared" si="1750"/>
        <v>-2.1637203342831413</v>
      </c>
      <c r="BZ198" s="22">
        <f t="shared" si="1750"/>
        <v>101.06372033428312</v>
      </c>
      <c r="CA198" s="22">
        <f t="shared" si="1750"/>
        <v>26.410865886211695</v>
      </c>
      <c r="CB198" s="22">
        <f t="shared" si="1750"/>
        <v>-45.530865886211771</v>
      </c>
      <c r="CC198" s="22">
        <f t="shared" si="1750"/>
        <v>-48.882758030687697</v>
      </c>
      <c r="CD198" s="22">
        <f t="shared" si="1750"/>
        <v>-70.857241969312355</v>
      </c>
      <c r="CE198" s="22">
        <f t="shared" ref="CE198:CF198" si="1751">CE196-CE197</f>
        <v>32.101106723764019</v>
      </c>
      <c r="CF198" s="22">
        <f t="shared" si="1751"/>
        <v>21.198893276236134</v>
      </c>
      <c r="CG198" s="22">
        <f t="shared" ref="CG198:CH198" si="1752">CG196-CG197</f>
        <v>-19.061059552789345</v>
      </c>
      <c r="CH198" s="22">
        <f t="shared" si="1752"/>
        <v>-61.938940447210626</v>
      </c>
      <c r="CI198" s="22">
        <f t="shared" ref="CI198:CJ198" si="1753">CI196-CI197</f>
        <v>95.261810490693847</v>
      </c>
      <c r="CJ198" s="22">
        <f t="shared" si="1753"/>
        <v>-205.32181049069396</v>
      </c>
      <c r="CK198" s="21">
        <f t="shared" ref="CK198:DB198" si="1754">CK196-CK197</f>
        <v>-60.752162162162165</v>
      </c>
      <c r="CL198" s="22">
        <f t="shared" si="1754"/>
        <v>-289.90783783783752</v>
      </c>
      <c r="CM198" s="21">
        <f t="shared" si="1754"/>
        <v>321.79322732086462</v>
      </c>
      <c r="CN198" s="21">
        <f t="shared" si="1754"/>
        <v>48.551353164089335</v>
      </c>
      <c r="CO198" s="21">
        <f t="shared" si="1754"/>
        <v>-73.173978285406633</v>
      </c>
      <c r="CP198" s="21">
        <f t="shared" si="1754"/>
        <v>-323.89726137886851</v>
      </c>
      <c r="CQ198" s="21">
        <f t="shared" si="1754"/>
        <v>351.72662453572951</v>
      </c>
      <c r="CR198" s="21">
        <f t="shared" si="1754"/>
        <v>44.574856520933452</v>
      </c>
      <c r="CS198" s="21">
        <f t="shared" si="1754"/>
        <v>-76.756457101363651</v>
      </c>
      <c r="CT198" s="21">
        <f t="shared" si="1754"/>
        <v>-327.17283843254154</v>
      </c>
      <c r="CU198" s="21">
        <f t="shared" si="1754"/>
        <v>357.75195002814871</v>
      </c>
      <c r="CV198" s="21">
        <f t="shared" si="1754"/>
        <v>43.608494978204476</v>
      </c>
      <c r="CW198" s="21">
        <f t="shared" si="1754"/>
        <v>-77.673730824529088</v>
      </c>
      <c r="CX198" s="21">
        <f t="shared" si="1754"/>
        <v>-328.81333598585735</v>
      </c>
      <c r="CY198" s="21">
        <f t="shared" si="1754"/>
        <v>360.17800083048257</v>
      </c>
      <c r="CZ198" s="21">
        <f t="shared" si="1754"/>
        <v>43.574694601956878</v>
      </c>
      <c r="DA198" s="21">
        <f t="shared" si="1754"/>
        <v>-78.14435955014369</v>
      </c>
      <c r="DB198" s="21">
        <f t="shared" si="1754"/>
        <v>-330.52577594851311</v>
      </c>
      <c r="DE198" s="126"/>
      <c r="DF198" s="22">
        <v>-460.7199999999998</v>
      </c>
    </row>
    <row r="199" spans="1:110" s="22" customFormat="1" x14ac:dyDescent="0.2">
      <c r="A199" s="22" t="s">
        <v>91</v>
      </c>
      <c r="C199" s="22">
        <f t="shared" ref="C199:W199" si="1755">C195+C198</f>
        <v>39.765599999999935</v>
      </c>
      <c r="D199" s="22">
        <f>D195+D198</f>
        <v>40.619500000000023</v>
      </c>
      <c r="E199" s="22">
        <f t="shared" si="1755"/>
        <v>58.525099999999945</v>
      </c>
      <c r="F199" s="22">
        <f t="shared" si="1755"/>
        <v>30.243600000000072</v>
      </c>
      <c r="G199" s="22">
        <f t="shared" si="1755"/>
        <v>40.988599999999941</v>
      </c>
      <c r="H199" s="22">
        <f t="shared" si="1755"/>
        <v>39.982300000000059</v>
      </c>
      <c r="I199" s="22">
        <f t="shared" si="1755"/>
        <v>85.443400000000025</v>
      </c>
      <c r="J199" s="22">
        <f>J195+J198</f>
        <v>8.6099999999999781</v>
      </c>
      <c r="K199" s="22">
        <f t="shared" si="1755"/>
        <v>93.609100000000026</v>
      </c>
      <c r="L199" s="22">
        <f t="shared" si="1755"/>
        <v>-103.96700000000013</v>
      </c>
      <c r="M199" s="22">
        <f t="shared" si="1755"/>
        <v>168.80019999999996</v>
      </c>
      <c r="N199" s="22">
        <f t="shared" si="1755"/>
        <v>129.7133</v>
      </c>
      <c r="O199" s="22">
        <f t="shared" si="1755"/>
        <v>24.139899999999983</v>
      </c>
      <c r="P199" s="22">
        <f t="shared" si="1755"/>
        <v>67.219999999999857</v>
      </c>
      <c r="Q199" s="22">
        <f t="shared" si="1755"/>
        <v>81.679900000000018</v>
      </c>
      <c r="R199" s="22">
        <f t="shared" si="1755"/>
        <v>189.69659999999999</v>
      </c>
      <c r="S199" s="22">
        <f t="shared" si="1755"/>
        <v>216.95999999999987</v>
      </c>
      <c r="T199" s="22">
        <f t="shared" si="1755"/>
        <v>272.05000000000013</v>
      </c>
      <c r="U199" s="22">
        <f t="shared" si="1755"/>
        <v>199.50999999999991</v>
      </c>
      <c r="V199" s="22">
        <f t="shared" si="1755"/>
        <v>13.580000000000069</v>
      </c>
      <c r="W199" s="22">
        <f t="shared" si="1755"/>
        <v>253.43</v>
      </c>
      <c r="X199" s="22">
        <f t="shared" ref="X199:Y199" si="1756">X195+X198</f>
        <v>237.19000000000028</v>
      </c>
      <c r="Y199" s="22">
        <f t="shared" si="1756"/>
        <v>175.75999999999985</v>
      </c>
      <c r="Z199" s="22">
        <f t="shared" ref="Z199:AA199" si="1757">Z195+Z198</f>
        <v>126.75000000000003</v>
      </c>
      <c r="AA199" s="22">
        <f t="shared" si="1757"/>
        <v>-333.17999999999989</v>
      </c>
      <c r="AB199" s="21">
        <f t="shared" ref="AA199:AD199" si="1758">AB195+AB198</f>
        <v>122.76584198035707</v>
      </c>
      <c r="AC199" s="21">
        <f t="shared" si="1758"/>
        <v>151.81608985825901</v>
      </c>
      <c r="AD199" s="21">
        <f t="shared" si="1758"/>
        <v>165.71402105689194</v>
      </c>
      <c r="AE199" s="21">
        <f t="shared" ref="AE199" si="1759">AE195+AE198</f>
        <v>178.39531406799341</v>
      </c>
      <c r="AI199" s="22">
        <f t="shared" ref="AI199" si="1760">AI195+AI198</f>
        <v>18.25</v>
      </c>
      <c r="AJ199" s="22">
        <f t="shared" ref="AJ199:AL199" si="1761">AJ195+AJ198</f>
        <v>-0.18999999999998352</v>
      </c>
      <c r="AK199" s="22">
        <f t="shared" si="1761"/>
        <v>15.614287971558319</v>
      </c>
      <c r="AL199" s="22">
        <f t="shared" si="1761"/>
        <v>113.56571202844162</v>
      </c>
      <c r="AM199" s="22">
        <f t="shared" ref="AM199" si="1762">AM195+AM198</f>
        <v>29.956229579234829</v>
      </c>
      <c r="AN199" s="22">
        <f t="shared" ref="AN199:CD199" si="1763">AN195+AN198</f>
        <v>-18.086229579234789</v>
      </c>
      <c r="AO199" s="22">
        <f t="shared" si="1763"/>
        <v>14.558179917968133</v>
      </c>
      <c r="AP199" s="22">
        <f t="shared" si="1763"/>
        <v>-31.928179917968087</v>
      </c>
      <c r="AQ199" s="22">
        <f t="shared" si="1763"/>
        <v>28.123557966478884</v>
      </c>
      <c r="AR199" s="22">
        <f t="shared" si="1763"/>
        <v>-4.5535579664789037</v>
      </c>
      <c r="AS199" s="22">
        <f t="shared" si="1763"/>
        <v>1.791112704828917</v>
      </c>
      <c r="AT199" s="22">
        <f t="shared" si="1763"/>
        <v>55.228887295170992</v>
      </c>
      <c r="AU199" s="22">
        <f t="shared" si="1763"/>
        <v>20.522112495184256</v>
      </c>
      <c r="AV199" s="22">
        <f t="shared" si="1763"/>
        <v>-18.292112495184142</v>
      </c>
      <c r="AW199" s="22">
        <f t="shared" si="1763"/>
        <v>15.021492979783385</v>
      </c>
      <c r="AX199" s="22">
        <f t="shared" si="1763"/>
        <v>65.748507020216493</v>
      </c>
      <c r="AY199" s="22">
        <f t="shared" si="1763"/>
        <v>39.37727319177926</v>
      </c>
      <c r="AZ199" s="22">
        <f t="shared" si="1763"/>
        <v>5.0727268082207857</v>
      </c>
      <c r="BA199" s="22">
        <f t="shared" si="1763"/>
        <v>40.328889334256559</v>
      </c>
      <c r="BB199" s="22">
        <f t="shared" si="1763"/>
        <v>107.0711106657435</v>
      </c>
      <c r="BC199" s="22">
        <f t="shared" si="1763"/>
        <v>42.954624020334649</v>
      </c>
      <c r="BD199" s="22">
        <f t="shared" si="1763"/>
        <v>14.055375979665413</v>
      </c>
      <c r="BE199" s="22">
        <f t="shared" si="1763"/>
        <v>17.278594684970166</v>
      </c>
      <c r="BF199" s="22">
        <f t="shared" si="1763"/>
        <v>145.7514053150297</v>
      </c>
      <c r="BG199" s="22">
        <f t="shared" si="1763"/>
        <v>41.293020983041153</v>
      </c>
      <c r="BH199" s="22">
        <f t="shared" si="1763"/>
        <v>63.636979016958904</v>
      </c>
      <c r="BI199" s="22">
        <f t="shared" si="1763"/>
        <v>56.780258074252913</v>
      </c>
      <c r="BJ199" s="22">
        <f t="shared" si="1763"/>
        <v>98.369741925747036</v>
      </c>
      <c r="BK199" s="22">
        <f t="shared" si="1763"/>
        <v>37.604961618598651</v>
      </c>
      <c r="BL199" s="22">
        <f t="shared" si="1763"/>
        <v>-7.0049616185985712</v>
      </c>
      <c r="BM199" s="22">
        <f t="shared" si="1763"/>
        <v>56.578417736289367</v>
      </c>
      <c r="BN199" s="22">
        <f t="shared" si="1763"/>
        <v>70.511582263710466</v>
      </c>
      <c r="BO199" s="22">
        <f t="shared" si="1763"/>
        <v>59.808905815877424</v>
      </c>
      <c r="BP199" s="22">
        <f t="shared" si="1763"/>
        <v>-162.1989058158774</v>
      </c>
      <c r="BQ199" s="22">
        <f t="shared" si="1763"/>
        <v>-4.1856920622257299</v>
      </c>
      <c r="BR199" s="22">
        <f t="shared" si="1763"/>
        <v>116.83569206222572</v>
      </c>
      <c r="BS199" s="22">
        <f t="shared" si="1763"/>
        <v>75.83718076184087</v>
      </c>
      <c r="BT199" s="22">
        <f t="shared" si="1763"/>
        <v>-41.437180761840871</v>
      </c>
      <c r="BU199" s="22">
        <f t="shared" si="1763"/>
        <v>14.764949397590406</v>
      </c>
      <c r="BV199" s="22">
        <f t="shared" si="1763"/>
        <v>204.0050506024096</v>
      </c>
      <c r="BW199" s="22">
        <f t="shared" si="1763"/>
        <v>74.640636120429775</v>
      </c>
      <c r="BX199" s="22">
        <f t="shared" si="1763"/>
        <v>-187.45063612042975</v>
      </c>
      <c r="BY199" s="22">
        <f t="shared" si="1763"/>
        <v>120.99627966571687</v>
      </c>
      <c r="BZ199" s="22">
        <f t="shared" si="1763"/>
        <v>228.99372033428307</v>
      </c>
      <c r="CA199" s="22">
        <f t="shared" si="1763"/>
        <v>109.61086588621171</v>
      </c>
      <c r="CB199" s="22">
        <f t="shared" si="1763"/>
        <v>38.689134113788214</v>
      </c>
      <c r="CC199" s="22">
        <f t="shared" si="1763"/>
        <v>30.87724196931228</v>
      </c>
      <c r="CD199" s="22">
        <f t="shared" si="1763"/>
        <v>-3.4172419693124425</v>
      </c>
      <c r="CE199" s="22">
        <f t="shared" ref="CE199:CF199" si="1764">CE195+CE198</f>
        <v>80.561106723764027</v>
      </c>
      <c r="CF199" s="22">
        <f t="shared" si="1764"/>
        <v>61.008893276236172</v>
      </c>
      <c r="CG199" s="22">
        <f t="shared" ref="CG199:CH199" si="1765">CG195+CG198</f>
        <v>8.8189404472105828</v>
      </c>
      <c r="CH199" s="22">
        <f t="shared" si="1765"/>
        <v>-23.638940447210629</v>
      </c>
      <c r="CI199" s="22">
        <f t="shared" ref="CI199:CJ199" si="1766">CI195+CI198</f>
        <v>122.23181049069382</v>
      </c>
      <c r="CJ199" s="22">
        <f t="shared" si="1766"/>
        <v>-171.77181049069395</v>
      </c>
      <c r="CK199" s="21">
        <f t="shared" ref="CK199:DB199" si="1767">CK195+CK198</f>
        <v>-30.852162162162188</v>
      </c>
      <c r="CL199" s="22">
        <f t="shared" si="1767"/>
        <v>-252.78783783783743</v>
      </c>
      <c r="CM199" s="21">
        <f t="shared" si="1767"/>
        <v>352.07850777625418</v>
      </c>
      <c r="CN199" s="21">
        <f t="shared" si="1767"/>
        <v>84.092996100440459</v>
      </c>
      <c r="CO199" s="21">
        <f t="shared" si="1767"/>
        <v>-35.086559057172764</v>
      </c>
      <c r="CP199" s="21">
        <f t="shared" si="1767"/>
        <v>-278.31910283916534</v>
      </c>
      <c r="CQ199" s="21">
        <f t="shared" si="1767"/>
        <v>383.51530163741023</v>
      </c>
      <c r="CR199" s="21">
        <f t="shared" si="1767"/>
        <v>82.011947219471224</v>
      </c>
      <c r="CS199" s="21">
        <f t="shared" si="1767"/>
        <v>-35.891541604228614</v>
      </c>
      <c r="CT199" s="21">
        <f t="shared" si="1767"/>
        <v>-277.8196173943939</v>
      </c>
      <c r="CU199" s="21">
        <f t="shared" si="1767"/>
        <v>392.02918738898654</v>
      </c>
      <c r="CV199" s="21">
        <f t="shared" si="1767"/>
        <v>83.805409788829763</v>
      </c>
      <c r="CW199" s="21">
        <f t="shared" si="1767"/>
        <v>-33.806680890947021</v>
      </c>
      <c r="CX199" s="21">
        <f t="shared" si="1767"/>
        <v>-276.31389522997739</v>
      </c>
      <c r="CY199" s="21">
        <f t="shared" si="1767"/>
        <v>397.39348865172849</v>
      </c>
      <c r="CZ199" s="21">
        <f t="shared" si="1767"/>
        <v>86.851076608195584</v>
      </c>
      <c r="DA199" s="21">
        <f t="shared" si="1767"/>
        <v>-31.096755007320482</v>
      </c>
      <c r="DB199" s="21">
        <f t="shared" si="1767"/>
        <v>-274.75249618461044</v>
      </c>
      <c r="DE199" s="126"/>
      <c r="DF199" s="22">
        <v>-333.17999999999995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-4.2937999999999477</v>
      </c>
      <c r="D201" s="22">
        <f>D202+D203</f>
        <v>7.148399999999965</v>
      </c>
      <c r="E201" s="22">
        <f t="shared" si="1768"/>
        <v>-15.617700000000058</v>
      </c>
      <c r="F201" s="22">
        <f t="shared" si="1768"/>
        <v>-52.159199999999991</v>
      </c>
      <c r="G201" s="22">
        <f t="shared" si="1768"/>
        <v>-13.345299999999995</v>
      </c>
      <c r="H201" s="22">
        <f t="shared" si="1768"/>
        <v>-143.86100000000002</v>
      </c>
      <c r="I201" s="22">
        <f t="shared" si="1768"/>
        <v>-169.29969999999986</v>
      </c>
      <c r="J201" s="22">
        <f t="shared" si="1768"/>
        <v>-49.712200000000053</v>
      </c>
      <c r="K201" s="22">
        <f t="shared" si="1768"/>
        <v>-13.441800000000057</v>
      </c>
      <c r="L201" s="22">
        <f t="shared" si="1768"/>
        <v>-24.480799999999832</v>
      </c>
      <c r="M201" s="22">
        <f t="shared" si="1768"/>
        <v>-6.769700000000114</v>
      </c>
      <c r="N201" s="22">
        <f t="shared" si="1768"/>
        <v>-309.0369</v>
      </c>
      <c r="O201" s="22">
        <f t="shared" si="1768"/>
        <v>-17.340399999999939</v>
      </c>
      <c r="P201" s="22">
        <f t="shared" si="1768"/>
        <v>-38.032099999999886</v>
      </c>
      <c r="Q201" s="22">
        <f t="shared" si="1768"/>
        <v>-48.4979000000002</v>
      </c>
      <c r="R201" s="22">
        <f t="shared" si="1768"/>
        <v>-78.860699999999881</v>
      </c>
      <c r="S201" s="22">
        <f t="shared" si="1768"/>
        <v>-68.980000000000018</v>
      </c>
      <c r="T201" s="22">
        <f t="shared" si="1768"/>
        <v>-27.750000000000085</v>
      </c>
      <c r="U201" s="22">
        <f t="shared" si="1768"/>
        <v>-42.410000000000011</v>
      </c>
      <c r="V201" s="22">
        <f t="shared" si="1768"/>
        <v>-147.64999999999998</v>
      </c>
      <c r="W201" s="22">
        <f t="shared" si="1768"/>
        <v>-128.67000000000013</v>
      </c>
      <c r="X201" s="22">
        <f t="shared" ref="X201:Y201" si="1769">X202+X203</f>
        <v>-50.63999999999993</v>
      </c>
      <c r="Y201" s="22">
        <f t="shared" si="1769"/>
        <v>-90.739999999999895</v>
      </c>
      <c r="Z201" s="22">
        <f t="shared" ref="Z201:AA201" si="1770">Z202+Z203</f>
        <v>-91.059999999999832</v>
      </c>
      <c r="AA201" s="22">
        <f t="shared" si="1770"/>
        <v>-82.860000000000184</v>
      </c>
      <c r="AB201" s="21">
        <f t="shared" ref="AA201:AD201" si="1771">AB202+AB203</f>
        <v>2.2737367544323206E-13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-12.32</v>
      </c>
      <c r="AJ201" s="22">
        <f t="shared" ref="AJ201:AL201" si="1774">AJ202+AJ203</f>
        <v>-479.88</v>
      </c>
      <c r="AK201" s="22">
        <f t="shared" si="1774"/>
        <v>-12.439999999999998</v>
      </c>
      <c r="AL201" s="22">
        <f t="shared" si="1774"/>
        <v>-283.37999999999994</v>
      </c>
      <c r="AM201" s="22">
        <f t="shared" ref="AM201" si="1775">AM202+AM203</f>
        <v>-12.360000000000014</v>
      </c>
      <c r="AN201" s="22">
        <f t="shared" ref="AN201:CD201" si="1776">AN202+AN203</f>
        <v>7.6999999999998998</v>
      </c>
      <c r="AO201" s="22">
        <f t="shared" si="1776"/>
        <v>-12.460000000000036</v>
      </c>
      <c r="AP201" s="22">
        <f t="shared" si="1776"/>
        <v>-0.22000000000005215</v>
      </c>
      <c r="AQ201" s="22">
        <f t="shared" si="1776"/>
        <v>-8.67999999999995</v>
      </c>
      <c r="AR201" s="22">
        <f t="shared" si="1776"/>
        <v>5.0099999999999909</v>
      </c>
      <c r="AS201" s="22">
        <f t="shared" si="1776"/>
        <v>-7.4400000000000546</v>
      </c>
      <c r="AT201" s="22">
        <f t="shared" si="1776"/>
        <v>-26.860000000000067</v>
      </c>
      <c r="AU201" s="22">
        <f t="shared" si="1776"/>
        <v>-7.4700000000000273</v>
      </c>
      <c r="AV201" s="22">
        <f t="shared" si="1776"/>
        <v>7.8300000000000942</v>
      </c>
      <c r="AW201" s="22">
        <f t="shared" si="1776"/>
        <v>-7.5399999999999636</v>
      </c>
      <c r="AX201" s="22">
        <f t="shared" si="1776"/>
        <v>-41.260000000000105</v>
      </c>
      <c r="AY201" s="22">
        <f t="shared" si="1776"/>
        <v>-8.0900000000000318</v>
      </c>
      <c r="AZ201" s="22">
        <f t="shared" si="1776"/>
        <v>9.7500000000001137</v>
      </c>
      <c r="BA201" s="22">
        <f t="shared" si="1776"/>
        <v>-8.17999999999995</v>
      </c>
      <c r="BB201" s="22">
        <f t="shared" si="1776"/>
        <v>-72.28000000000003</v>
      </c>
      <c r="BC201" s="22">
        <f t="shared" si="1776"/>
        <v>-8.25</v>
      </c>
      <c r="BD201" s="22">
        <f t="shared" si="1776"/>
        <v>-16.959999999999965</v>
      </c>
      <c r="BE201" s="22">
        <f t="shared" si="1776"/>
        <v>-8.3400000000000318</v>
      </c>
      <c r="BF201" s="22">
        <f t="shared" si="1776"/>
        <v>-35.380000000000038</v>
      </c>
      <c r="BG201" s="22">
        <f t="shared" si="1776"/>
        <v>-8.9199999999999591</v>
      </c>
      <c r="BH201" s="22">
        <f t="shared" si="1776"/>
        <v>0.44000000000008299</v>
      </c>
      <c r="BI201" s="22">
        <f t="shared" si="1776"/>
        <v>-9.0099999999999909</v>
      </c>
      <c r="BJ201" s="22">
        <f t="shared" si="1776"/>
        <v>-10.260000000000076</v>
      </c>
      <c r="BK201" s="22">
        <f t="shared" si="1776"/>
        <v>-9.07000000000005</v>
      </c>
      <c r="BL201" s="22">
        <f t="shared" si="1776"/>
        <v>-22.029999999999902</v>
      </c>
      <c r="BM201" s="22">
        <f t="shared" si="1776"/>
        <v>-9.1599999999999682</v>
      </c>
      <c r="BN201" s="22">
        <f t="shared" si="1776"/>
        <v>-2.1500000000000341</v>
      </c>
      <c r="BO201" s="22">
        <f t="shared" si="1776"/>
        <v>-9.1599999999999682</v>
      </c>
      <c r="BP201" s="22">
        <f t="shared" si="1776"/>
        <v>-44.119999999999948</v>
      </c>
      <c r="BQ201" s="22">
        <f t="shared" si="1776"/>
        <v>-9.4600000000000364</v>
      </c>
      <c r="BR201" s="22">
        <f t="shared" si="1776"/>
        <v>-84.910000000000082</v>
      </c>
      <c r="BS201" s="22">
        <f t="shared" si="1776"/>
        <v>-9.8799999999999955</v>
      </c>
      <c r="BT201" s="22">
        <f t="shared" si="1776"/>
        <v>-83.460000000000036</v>
      </c>
      <c r="BU201" s="22">
        <f t="shared" si="1776"/>
        <v>-10</v>
      </c>
      <c r="BV201" s="22">
        <f t="shared" si="1776"/>
        <v>-25.32999999999987</v>
      </c>
      <c r="BW201" s="22">
        <f t="shared" si="1776"/>
        <v>-11.789999999999964</v>
      </c>
      <c r="BX201" s="22">
        <f t="shared" si="1776"/>
        <v>-9.280000000000058</v>
      </c>
      <c r="BY201" s="22">
        <f t="shared" si="1776"/>
        <v>-11.590000000000032</v>
      </c>
      <c r="BZ201" s="22">
        <f t="shared" si="1776"/>
        <v>-17.979999999999961</v>
      </c>
      <c r="CA201" s="22">
        <f t="shared" si="1776"/>
        <v>-11.450000000000045</v>
      </c>
      <c r="CB201" s="22">
        <f t="shared" si="1776"/>
        <v>-34.920000000000044</v>
      </c>
      <c r="CC201" s="22">
        <f t="shared" si="1776"/>
        <v>-10.779999999999973</v>
      </c>
      <c r="CD201" s="22">
        <f t="shared" si="1776"/>
        <v>-33.589999999999918</v>
      </c>
      <c r="CE201" s="22">
        <f t="shared" ref="CE201:CF201" si="1777">CE202+CE203</f>
        <v>-11.460000000000036</v>
      </c>
      <c r="CF201" s="22">
        <f t="shared" si="1777"/>
        <v>-45.970000000000027</v>
      </c>
      <c r="CG201" s="22">
        <f t="shared" ref="CG201:CH201" si="1778">CG202+CG203</f>
        <v>-11.25</v>
      </c>
      <c r="CH201" s="22">
        <f t="shared" si="1778"/>
        <v>-22.379999999999939</v>
      </c>
      <c r="CI201" s="22">
        <f t="shared" ref="CI201:CJ201" si="1779">CI202+CI203</f>
        <v>0</v>
      </c>
      <c r="CJ201" s="22">
        <f t="shared" si="1779"/>
        <v>-63.610000000000014</v>
      </c>
      <c r="CK201" s="21">
        <f t="shared" ref="CK201:DB201" si="1780">CK202+CK203</f>
        <v>0</v>
      </c>
      <c r="CL201" s="22">
        <f t="shared" si="1780"/>
        <v>-19.250000000000171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-82.859999999999957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9.5012999999999987</v>
      </c>
      <c r="E202" s="23">
        <f>D140-E140</f>
        <v>-0.58000000000000007</v>
      </c>
      <c r="F202" s="23">
        <f t="shared" si="1781"/>
        <v>0.46820000000000039</v>
      </c>
      <c r="G202" s="23">
        <f t="shared" si="1781"/>
        <v>-0.11260000000000048</v>
      </c>
      <c r="H202" s="23">
        <f t="shared" si="1781"/>
        <v>-0.71549999999999958</v>
      </c>
      <c r="I202" s="23">
        <f t="shared" si="1781"/>
        <v>-1.2000000000000455E-2</v>
      </c>
      <c r="J202" s="23">
        <f>I140-J140</f>
        <v>0</v>
      </c>
      <c r="K202" s="23">
        <f>J140-K140</f>
        <v>-2</v>
      </c>
      <c r="L202" s="23">
        <f t="shared" si="1781"/>
        <v>-13.041499999999999</v>
      </c>
      <c r="M202" s="23">
        <f t="shared" si="1781"/>
        <v>0</v>
      </c>
      <c r="N202" s="23">
        <f t="shared" si="1781"/>
        <v>12.427399999999999</v>
      </c>
      <c r="O202" s="23">
        <f t="shared" si="1781"/>
        <v>-21.189799999999998</v>
      </c>
      <c r="P202" s="23">
        <f t="shared" si="1781"/>
        <v>-9.0551999999999992</v>
      </c>
      <c r="Q202" s="23">
        <f t="shared" si="1781"/>
        <v>-6.0639000000000038</v>
      </c>
      <c r="R202" s="23">
        <f t="shared" si="1781"/>
        <v>-45.756500000000003</v>
      </c>
      <c r="S202" s="23">
        <f t="shared" si="1781"/>
        <v>-15.509999999999991</v>
      </c>
      <c r="T202" s="23">
        <f t="shared" si="1781"/>
        <v>1.7800000000000011</v>
      </c>
      <c r="U202" s="23">
        <f t="shared" si="1781"/>
        <v>3.2099999999999937</v>
      </c>
      <c r="V202" s="23">
        <f t="shared" si="1781"/>
        <v>-49.100000000000009</v>
      </c>
      <c r="W202" s="23">
        <f t="shared" si="1781"/>
        <v>-25.45999999999998</v>
      </c>
      <c r="X202" s="23">
        <f t="shared" si="1781"/>
        <v>-18.79000000000002</v>
      </c>
      <c r="Y202" s="23">
        <f t="shared" si="1781"/>
        <v>-51.379999999999995</v>
      </c>
      <c r="Z202" s="23">
        <f t="shared" si="1781"/>
        <v>-29.409999999999968</v>
      </c>
      <c r="AA202" s="23">
        <f t="shared" si="1781"/>
        <v>-27.520000000000039</v>
      </c>
      <c r="AB202" s="24">
        <f t="shared" ref="AB202" si="1782">AA140-AB140</f>
        <v>-1.1100000000000136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-23.23</v>
      </c>
      <c r="AK202" s="23">
        <f t="shared" ref="AK202" si="1788">AJ140-AK140</f>
        <v>0</v>
      </c>
      <c r="AL202" s="23">
        <f t="shared" ref="AL202" si="1789">AK140-AL140</f>
        <v>12.43</v>
      </c>
      <c r="AM202" s="23">
        <f t="shared" ref="AM202" si="1790">AL140-AM140</f>
        <v>0</v>
      </c>
      <c r="AN202" s="23">
        <f t="shared" ref="AN202" si="1791">AM140-AN140</f>
        <v>-11.91</v>
      </c>
      <c r="AO202" s="23">
        <f t="shared" ref="AO202" si="1792">AN140-AO140</f>
        <v>0</v>
      </c>
      <c r="AP202" s="23">
        <f t="shared" ref="AP202" si="1793">AO140-AP140</f>
        <v>-9.2799999999999976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-9.0599999999999987</v>
      </c>
      <c r="AU202" s="23">
        <f t="shared" ref="AU202" si="1798">AT140-AU140</f>
        <v>0</v>
      </c>
      <c r="AV202" s="23">
        <f t="shared" ref="AV202" si="1799">AU140-AV140</f>
        <v>9.0599999999999987</v>
      </c>
      <c r="AW202" s="23">
        <f t="shared" ref="AW202" si="1800">AV140-AW140</f>
        <v>0</v>
      </c>
      <c r="AX202" s="23">
        <f t="shared" ref="AX202" si="1801">AW140-AX140</f>
        <v>-15.120000000000001</v>
      </c>
      <c r="AY202" s="23">
        <f t="shared" ref="AY202" si="1802">AX140-AY140</f>
        <v>0</v>
      </c>
      <c r="AZ202" s="23">
        <f t="shared" ref="AZ202" si="1803">AY140-AZ140</f>
        <v>7.5</v>
      </c>
      <c r="BA202" s="23">
        <f t="shared" ref="BA202" si="1804">AZ140-BA140</f>
        <v>0</v>
      </c>
      <c r="BB202" s="23">
        <f t="shared" ref="BB202" si="1805">BA140-BB140</f>
        <v>-54.44</v>
      </c>
      <c r="BC202" s="23">
        <f t="shared" ref="BC202" si="1806">BB140-BC140</f>
        <v>0</v>
      </c>
      <c r="BD202" s="23">
        <f t="shared" ref="BD202" si="1807">BC140-BD140</f>
        <v>1.4500000000000028</v>
      </c>
      <c r="BE202" s="23">
        <f t="shared" ref="BE202" si="1808">BD140-BE140</f>
        <v>0</v>
      </c>
      <c r="BF202" s="23">
        <f t="shared" ref="BF202" si="1809">BE140-BF140</f>
        <v>-16.920000000000002</v>
      </c>
      <c r="BG202" s="23">
        <f t="shared" ref="BG202" si="1810">BF140-BG140</f>
        <v>0</v>
      </c>
      <c r="BH202" s="23">
        <f t="shared" ref="BH202" si="1811">BG140-BH140</f>
        <v>3.539999999999992</v>
      </c>
      <c r="BI202" s="23">
        <f t="shared" ref="BI202" si="1812">BH140-BI140</f>
        <v>0</v>
      </c>
      <c r="BJ202" s="23">
        <f t="shared" ref="BJ202" si="1813">BI140-BJ140</f>
        <v>-1.7199999999999989</v>
      </c>
      <c r="BK202" s="23">
        <f t="shared" ref="BK202" si="1814">BJ140-BK140</f>
        <v>0</v>
      </c>
      <c r="BL202" s="23">
        <f t="shared" ref="BL202" si="1815">BK140-BL140</f>
        <v>-2.7999999999999972</v>
      </c>
      <c r="BM202" s="23">
        <f t="shared" ref="BM202" si="1816">BL140-BM140</f>
        <v>0</v>
      </c>
      <c r="BN202" s="23">
        <f t="shared" ref="BN202" si="1817">BM140-BN140</f>
        <v>5.8199999999999932</v>
      </c>
      <c r="BO202" s="23">
        <f t="shared" ref="BO202" si="1818">BN140-BO140</f>
        <v>0</v>
      </c>
      <c r="BP202" s="23">
        <f t="shared" ref="BP202" si="1819">BO140-BP140</f>
        <v>-12.939999999999998</v>
      </c>
      <c r="BQ202" s="23">
        <f t="shared" ref="BQ202" si="1820">BP140-BQ140</f>
        <v>0</v>
      </c>
      <c r="BR202" s="23">
        <f t="shared" ref="BR202" si="1821">BQ140-BR140</f>
        <v>-36.129999999999995</v>
      </c>
      <c r="BS202" s="23">
        <f t="shared" ref="BS202" si="1822">BR140-BS140</f>
        <v>0</v>
      </c>
      <c r="BT202" s="23">
        <f t="shared" ref="BT202" si="1823">BS140-BT140</f>
        <v>-44.620000000000005</v>
      </c>
      <c r="BU202" s="23">
        <f t="shared" ref="BU202" si="1824">BT140-BU140</f>
        <v>0</v>
      </c>
      <c r="BV202" s="23">
        <f t="shared" ref="BV202" si="1825">BU140-BV140</f>
        <v>19.180000000000007</v>
      </c>
      <c r="BW202" s="23">
        <f t="shared" ref="BW202" si="1826">BV140-BW140</f>
        <v>0</v>
      </c>
      <c r="BX202" s="23">
        <f t="shared" ref="BX202" si="1827">BW140-BX140</f>
        <v>-6.710000000000008</v>
      </c>
      <c r="BY202" s="23">
        <f t="shared" ref="BY202" si="1828">BX140-BY140</f>
        <v>0</v>
      </c>
      <c r="BZ202" s="23">
        <f t="shared" ref="BZ202" si="1829">BY140-BZ140</f>
        <v>-12.060000000000002</v>
      </c>
      <c r="CA202" s="23">
        <f t="shared" ref="CA202" si="1830">BZ140-CA140</f>
        <v>0</v>
      </c>
      <c r="CB202" s="23">
        <f t="shared" ref="CB202" si="1831">CA140-CB140</f>
        <v>-36.489999999999981</v>
      </c>
      <c r="CC202" s="23">
        <f t="shared" ref="CC202" si="1832">CB140-CC140</f>
        <v>0</v>
      </c>
      <c r="CD202" s="23">
        <f t="shared" ref="CD202" si="1833">CC140-CD140</f>
        <v>-14.850000000000023</v>
      </c>
      <c r="CE202" s="23">
        <f t="shared" ref="CE202" si="1834">CD140-CE140</f>
        <v>0</v>
      </c>
      <c r="CF202" s="23">
        <f t="shared" ref="CF202" si="1835">CE140-CF140</f>
        <v>-44.039999999999964</v>
      </c>
      <c r="CG202" s="23">
        <f t="shared" ref="CG202" si="1836">CF140-CG140</f>
        <v>0</v>
      </c>
      <c r="CH202" s="23">
        <f t="shared" ref="CH202:CL202" si="1837">CG140-CH140</f>
        <v>15.810000000000002</v>
      </c>
      <c r="CI202" s="23">
        <f t="shared" si="1837"/>
        <v>0</v>
      </c>
      <c r="CJ202" s="23">
        <f t="shared" si="1837"/>
        <v>-36.57000000000005</v>
      </c>
      <c r="CK202" s="24">
        <f t="shared" ref="CK202" si="1838">CJ140-CK140</f>
        <v>0</v>
      </c>
      <c r="CL202" s="23">
        <f t="shared" si="1837"/>
        <v>7.9399999999999977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-28.630000000000052</v>
      </c>
    </row>
    <row r="203" spans="1:110" s="23" customFormat="1" x14ac:dyDescent="0.2">
      <c r="A203" s="23" t="s">
        <v>94</v>
      </c>
      <c r="C203" s="23">
        <f t="shared" ref="C203:AE203" si="1855">B138-C32-C138</f>
        <v>-4.2937999999999477</v>
      </c>
      <c r="D203" s="23">
        <f t="shared" si="1855"/>
        <v>-2.3529000000000337</v>
      </c>
      <c r="E203" s="23">
        <f t="shared" si="1855"/>
        <v>-15.037700000000058</v>
      </c>
      <c r="F203" s="23">
        <f t="shared" si="1855"/>
        <v>-52.627399999999994</v>
      </c>
      <c r="G203" s="23">
        <f t="shared" si="1855"/>
        <v>-13.232699999999994</v>
      </c>
      <c r="H203" s="23">
        <f t="shared" si="1855"/>
        <v>-143.14550000000003</v>
      </c>
      <c r="I203" s="23">
        <f t="shared" si="1855"/>
        <v>-169.28769999999986</v>
      </c>
      <c r="J203" s="23">
        <f t="shared" si="1855"/>
        <v>-49.712200000000053</v>
      </c>
      <c r="K203" s="23">
        <f t="shared" si="1855"/>
        <v>-11.441800000000057</v>
      </c>
      <c r="L203" s="23">
        <f t="shared" si="1855"/>
        <v>-11.439299999999832</v>
      </c>
      <c r="M203" s="23">
        <f t="shared" si="1855"/>
        <v>-6.769700000000114</v>
      </c>
      <c r="N203" s="23">
        <f t="shared" si="1855"/>
        <v>-321.46429999999998</v>
      </c>
      <c r="O203" s="23">
        <f t="shared" si="1855"/>
        <v>3.8494000000000597</v>
      </c>
      <c r="P203" s="23">
        <f t="shared" si="1855"/>
        <v>-28.976899999999887</v>
      </c>
      <c r="Q203" s="23">
        <f t="shared" si="1855"/>
        <v>-42.434000000000196</v>
      </c>
      <c r="R203" s="23">
        <f t="shared" si="1855"/>
        <v>-33.104199999999878</v>
      </c>
      <c r="S203" s="23">
        <f t="shared" si="1855"/>
        <v>-53.470000000000027</v>
      </c>
      <c r="T203" s="23">
        <f t="shared" si="1855"/>
        <v>-29.530000000000086</v>
      </c>
      <c r="U203" s="23">
        <f t="shared" si="1855"/>
        <v>-45.620000000000005</v>
      </c>
      <c r="V203" s="23">
        <f t="shared" si="1855"/>
        <v>-98.549999999999955</v>
      </c>
      <c r="W203" s="23">
        <f t="shared" si="1855"/>
        <v>-103.21000000000015</v>
      </c>
      <c r="X203" s="23">
        <f t="shared" si="1855"/>
        <v>-31.849999999999909</v>
      </c>
      <c r="Y203" s="23">
        <f t="shared" si="1855"/>
        <v>-39.3599999999999</v>
      </c>
      <c r="Z203" s="23">
        <f t="shared" si="1855"/>
        <v>-61.649999999999864</v>
      </c>
      <c r="AA203" s="23">
        <f t="shared" si="1855"/>
        <v>-55.340000000000146</v>
      </c>
      <c r="AB203" s="24">
        <f t="shared" si="1855"/>
        <v>1.110000000000241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-12.32</v>
      </c>
      <c r="AJ203" s="23">
        <f t="shared" si="1856"/>
        <v>-456.65</v>
      </c>
      <c r="AK203" s="23">
        <f t="shared" si="1856"/>
        <v>-12.439999999999998</v>
      </c>
      <c r="AL203" s="23">
        <f t="shared" si="1856"/>
        <v>-295.80999999999995</v>
      </c>
      <c r="AM203" s="23">
        <f t="shared" si="1856"/>
        <v>-12.360000000000014</v>
      </c>
      <c r="AN203" s="23">
        <f t="shared" si="1856"/>
        <v>19.6099999999999</v>
      </c>
      <c r="AO203" s="23">
        <f t="shared" si="1856"/>
        <v>-12.460000000000036</v>
      </c>
      <c r="AP203" s="23">
        <f t="shared" si="1856"/>
        <v>9.0599999999999454</v>
      </c>
      <c r="AQ203" s="23">
        <f t="shared" si="1856"/>
        <v>-8.67999999999995</v>
      </c>
      <c r="AR203" s="23">
        <f t="shared" si="1856"/>
        <v>5.0099999999999909</v>
      </c>
      <c r="AS203" s="23">
        <f t="shared" si="1856"/>
        <v>-7.4400000000000546</v>
      </c>
      <c r="AT203" s="23">
        <f t="shared" si="1856"/>
        <v>-17.800000000000068</v>
      </c>
      <c r="AU203" s="23">
        <f t="shared" si="1856"/>
        <v>-7.4700000000000273</v>
      </c>
      <c r="AV203" s="23">
        <f t="shared" si="1856"/>
        <v>-1.2299999999999045</v>
      </c>
      <c r="AW203" s="23">
        <f t="shared" si="1856"/>
        <v>-7.5399999999999636</v>
      </c>
      <c r="AX203" s="23">
        <f t="shared" si="1856"/>
        <v>-26.1400000000001</v>
      </c>
      <c r="AY203" s="23">
        <f t="shared" si="1856"/>
        <v>-8.0900000000000318</v>
      </c>
      <c r="AZ203" s="23">
        <f t="shared" si="1856"/>
        <v>2.2500000000001137</v>
      </c>
      <c r="BA203" s="23">
        <f t="shared" si="1856"/>
        <v>-8.17999999999995</v>
      </c>
      <c r="BB203" s="23">
        <f t="shared" si="1856"/>
        <v>-17.840000000000032</v>
      </c>
      <c r="BC203" s="23">
        <f t="shared" si="1856"/>
        <v>-8.25</v>
      </c>
      <c r="BD203" s="23">
        <f t="shared" si="1856"/>
        <v>-18.409999999999968</v>
      </c>
      <c r="BE203" s="23">
        <f t="shared" si="1856"/>
        <v>-8.3400000000000318</v>
      </c>
      <c r="BF203" s="23">
        <f t="shared" si="1856"/>
        <v>-18.460000000000036</v>
      </c>
      <c r="BG203" s="23">
        <f t="shared" si="1856"/>
        <v>-8.9199999999999591</v>
      </c>
      <c r="BH203" s="23">
        <f t="shared" si="1856"/>
        <v>-3.0999999999999091</v>
      </c>
      <c r="BI203" s="23">
        <f t="shared" si="1856"/>
        <v>-9.0099999999999909</v>
      </c>
      <c r="BJ203" s="23">
        <f t="shared" si="1856"/>
        <v>-8.5400000000000773</v>
      </c>
      <c r="BK203" s="23">
        <f t="shared" si="1856"/>
        <v>-9.07000000000005</v>
      </c>
      <c r="BL203" s="23">
        <f t="shared" si="1856"/>
        <v>-19.229999999999905</v>
      </c>
      <c r="BM203" s="23">
        <f t="shared" si="1856"/>
        <v>-9.1599999999999682</v>
      </c>
      <c r="BN203" s="23">
        <f t="shared" si="1856"/>
        <v>-7.9700000000000273</v>
      </c>
      <c r="BO203" s="23">
        <f t="shared" ref="BO203:CT203" si="1857">BN138-BO32-BO138</f>
        <v>-9.1599999999999682</v>
      </c>
      <c r="BP203" s="23">
        <f t="shared" si="1857"/>
        <v>-31.17999999999995</v>
      </c>
      <c r="BQ203" s="23">
        <f t="shared" si="1857"/>
        <v>-9.4600000000000364</v>
      </c>
      <c r="BR203" s="23">
        <f t="shared" si="1857"/>
        <v>-48.780000000000086</v>
      </c>
      <c r="BS203" s="23">
        <f t="shared" si="1857"/>
        <v>-9.8799999999999955</v>
      </c>
      <c r="BT203" s="23">
        <f t="shared" si="1857"/>
        <v>-38.840000000000032</v>
      </c>
      <c r="BU203" s="23">
        <f t="shared" si="1857"/>
        <v>-10</v>
      </c>
      <c r="BV203" s="23">
        <f t="shared" si="1857"/>
        <v>-44.509999999999877</v>
      </c>
      <c r="BW203" s="23">
        <f t="shared" si="1857"/>
        <v>-11.789999999999964</v>
      </c>
      <c r="BX203" s="23">
        <f t="shared" si="1857"/>
        <v>-2.57000000000005</v>
      </c>
      <c r="BY203" s="23">
        <f t="shared" si="1857"/>
        <v>-11.590000000000032</v>
      </c>
      <c r="BZ203" s="23">
        <f t="shared" si="1857"/>
        <v>-5.9199999999999591</v>
      </c>
      <c r="CA203" s="23">
        <f t="shared" si="1857"/>
        <v>-11.450000000000045</v>
      </c>
      <c r="CB203" s="23">
        <f t="shared" si="1857"/>
        <v>1.5699999999999363</v>
      </c>
      <c r="CC203" s="23">
        <f t="shared" si="1857"/>
        <v>-10.779999999999973</v>
      </c>
      <c r="CD203" s="23">
        <f t="shared" si="1857"/>
        <v>-18.739999999999895</v>
      </c>
      <c r="CE203" s="23">
        <f t="shared" si="1857"/>
        <v>-11.460000000000036</v>
      </c>
      <c r="CF203" s="23">
        <f t="shared" si="1857"/>
        <v>-1.9300000000000637</v>
      </c>
      <c r="CG203" s="23">
        <f t="shared" si="1857"/>
        <v>-11.25</v>
      </c>
      <c r="CH203" s="23">
        <f t="shared" si="1857"/>
        <v>-38.189999999999941</v>
      </c>
      <c r="CI203" s="23">
        <f t="shared" si="1857"/>
        <v>0</v>
      </c>
      <c r="CJ203" s="23">
        <f t="shared" si="1857"/>
        <v>-27.039999999999964</v>
      </c>
      <c r="CK203" s="24">
        <f t="shared" si="1857"/>
        <v>0</v>
      </c>
      <c r="CL203" s="23">
        <f t="shared" si="1857"/>
        <v>-27.190000000000168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-54.229999999999905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-22.849699999999956</v>
      </c>
      <c r="D205" s="22">
        <f t="shared" si="1859"/>
        <v>-27.337800000000016</v>
      </c>
      <c r="E205" s="22">
        <f t="shared" si="1859"/>
        <v>-41.052499999999966</v>
      </c>
      <c r="F205" s="22">
        <f t="shared" si="1859"/>
        <v>33.595699999999994</v>
      </c>
      <c r="G205" s="22">
        <f t="shared" si="1859"/>
        <v>-25.322900000000004</v>
      </c>
      <c r="H205" s="22">
        <f t="shared" si="1859"/>
        <v>114.09060000000001</v>
      </c>
      <c r="I205" s="22">
        <f t="shared" si="1859"/>
        <v>92.210899999999981</v>
      </c>
      <c r="J205" s="22">
        <f t="shared" si="1859"/>
        <v>25.055200000000013</v>
      </c>
      <c r="K205" s="22">
        <f t="shared" si="1859"/>
        <v>-52.894500000000079</v>
      </c>
      <c r="L205" s="22">
        <f t="shared" si="1859"/>
        <v>65.610100000000131</v>
      </c>
      <c r="M205" s="22">
        <f t="shared" si="1859"/>
        <v>-184.38539999999995</v>
      </c>
      <c r="N205" s="22">
        <f t="shared" si="1859"/>
        <v>246.85839999999996</v>
      </c>
      <c r="O205" s="22">
        <f t="shared" si="1859"/>
        <v>-50.863399999999842</v>
      </c>
      <c r="P205" s="22">
        <f t="shared" si="1859"/>
        <v>-47.265899999999931</v>
      </c>
      <c r="Q205" s="22">
        <f t="shared" si="1859"/>
        <v>-34.661200000000008</v>
      </c>
      <c r="R205" s="22">
        <f t="shared" si="1859"/>
        <v>-101.12919999999994</v>
      </c>
      <c r="S205" s="22">
        <f t="shared" si="1859"/>
        <v>-24.28</v>
      </c>
      <c r="T205" s="22">
        <f t="shared" si="1859"/>
        <v>-76.610000000000127</v>
      </c>
      <c r="U205" s="22">
        <f t="shared" si="1859"/>
        <v>-142.24999999999997</v>
      </c>
      <c r="V205" s="22">
        <f t="shared" si="1859"/>
        <v>14.680000000000128</v>
      </c>
      <c r="W205" s="22">
        <f t="shared" si="1859"/>
        <v>-1.1700000000000097</v>
      </c>
      <c r="X205" s="22">
        <f t="shared" ref="X205:Y205" si="1860">X206+X207</f>
        <v>-19.840000000000465</v>
      </c>
      <c r="Y205" s="22">
        <f t="shared" si="1860"/>
        <v>26.180000000000064</v>
      </c>
      <c r="Z205" s="22">
        <f t="shared" ref="Z205:AA205" si="1861">Z206+Z207</f>
        <v>28.780000000000072</v>
      </c>
      <c r="AA205" s="22">
        <f t="shared" si="1861"/>
        <v>-110.81999999999981</v>
      </c>
      <c r="AB205" s="21">
        <f t="shared" ref="AA205:AD205" si="1862">AB206+AB207</f>
        <v>0</v>
      </c>
      <c r="AC205" s="21">
        <f t="shared" si="1862"/>
        <v>0</v>
      </c>
      <c r="AD205" s="21">
        <f t="shared" si="1862"/>
        <v>0</v>
      </c>
      <c r="AE205" s="21">
        <f t="shared" ref="AE205" si="1863">AE206+AE207</f>
        <v>-4.5474735088646412E-13</v>
      </c>
      <c r="AI205" s="22">
        <f t="shared" ref="AI205" si="1864">AI206+AI207</f>
        <v>-5.93</v>
      </c>
      <c r="AJ205" s="22">
        <f t="shared" ref="AJ205:AL205" si="1865">AJ206+AJ207</f>
        <v>484.59000000000003</v>
      </c>
      <c r="AK205" s="22">
        <f t="shared" si="1865"/>
        <v>0</v>
      </c>
      <c r="AL205" s="22">
        <f t="shared" si="1865"/>
        <v>236.14</v>
      </c>
      <c r="AM205" s="22">
        <f t="shared" ref="AM205" si="1866">AM206+AM207</f>
        <v>0</v>
      </c>
      <c r="AN205" s="22">
        <f t="shared" ref="AN205:CD205" si="1867">AN206+AN207</f>
        <v>-2.5999999999999091</v>
      </c>
      <c r="AO205" s="22">
        <f t="shared" si="1867"/>
        <v>0</v>
      </c>
      <c r="AP205" s="22">
        <f t="shared" si="1867"/>
        <v>-18.620000000000118</v>
      </c>
      <c r="AQ205" s="22">
        <f t="shared" si="1867"/>
        <v>0</v>
      </c>
      <c r="AR205" s="22">
        <f t="shared" si="1867"/>
        <v>-44.559999999999945</v>
      </c>
      <c r="AS205" s="22">
        <f t="shared" si="1867"/>
        <v>0</v>
      </c>
      <c r="AT205" s="22">
        <f t="shared" si="1867"/>
        <v>-16.139999999999986</v>
      </c>
      <c r="AU205" s="22">
        <f t="shared" si="1867"/>
        <v>0</v>
      </c>
      <c r="AV205" s="22">
        <f t="shared" si="1867"/>
        <v>-4.8299999999999841</v>
      </c>
      <c r="AW205" s="22">
        <f t="shared" si="1867"/>
        <v>0</v>
      </c>
      <c r="AX205" s="22">
        <f t="shared" si="1867"/>
        <v>-31.209999999999951</v>
      </c>
      <c r="AY205" s="22">
        <f t="shared" si="1867"/>
        <v>0</v>
      </c>
      <c r="AZ205" s="22">
        <f t="shared" si="1867"/>
        <v>-53.180000000000064</v>
      </c>
      <c r="BA205" s="22">
        <f t="shared" si="1867"/>
        <v>0</v>
      </c>
      <c r="BB205" s="22">
        <f t="shared" si="1867"/>
        <v>-50.160000000000139</v>
      </c>
      <c r="BC205" s="22">
        <f t="shared" si="1867"/>
        <v>0</v>
      </c>
      <c r="BD205" s="22">
        <f t="shared" si="1867"/>
        <v>-28.109999999999985</v>
      </c>
      <c r="BE205" s="22">
        <f t="shared" si="1867"/>
        <v>0</v>
      </c>
      <c r="BF205" s="22">
        <f t="shared" si="1867"/>
        <v>0.69999999999997442</v>
      </c>
      <c r="BG205" s="22">
        <f t="shared" si="1867"/>
        <v>0</v>
      </c>
      <c r="BH205" s="22">
        <f t="shared" si="1867"/>
        <v>-56.779999999999966</v>
      </c>
      <c r="BI205" s="22">
        <f t="shared" si="1867"/>
        <v>0</v>
      </c>
      <c r="BJ205" s="22">
        <f t="shared" si="1867"/>
        <v>-7.859999999999971</v>
      </c>
      <c r="BK205" s="22">
        <f t="shared" si="1867"/>
        <v>0</v>
      </c>
      <c r="BL205" s="22">
        <f t="shared" si="1867"/>
        <v>-51.129999999999974</v>
      </c>
      <c r="BM205" s="22">
        <f t="shared" si="1867"/>
        <v>0</v>
      </c>
      <c r="BN205" s="22">
        <f t="shared" si="1867"/>
        <v>-49.300000000000068</v>
      </c>
      <c r="BO205" s="22">
        <f t="shared" si="1867"/>
        <v>0</v>
      </c>
      <c r="BP205" s="22">
        <f t="shared" si="1867"/>
        <v>-12.299999999999837</v>
      </c>
      <c r="BQ205" s="22">
        <f t="shared" si="1867"/>
        <v>0</v>
      </c>
      <c r="BR205" s="22">
        <f t="shared" si="1867"/>
        <v>30.299999999999965</v>
      </c>
      <c r="BS205" s="22">
        <f t="shared" si="1867"/>
        <v>0</v>
      </c>
      <c r="BT205" s="22">
        <f t="shared" si="1867"/>
        <v>20.430000000000092</v>
      </c>
      <c r="BU205" s="22">
        <f t="shared" si="1867"/>
        <v>0</v>
      </c>
      <c r="BV205" s="22">
        <f t="shared" si="1867"/>
        <v>-21.340000000000099</v>
      </c>
      <c r="BW205" s="22">
        <f t="shared" si="1867"/>
        <v>0</v>
      </c>
      <c r="BX205" s="22">
        <f t="shared" si="1867"/>
        <v>-17.779999999999855</v>
      </c>
      <c r="BY205" s="22">
        <f t="shared" si="1867"/>
        <v>0</v>
      </c>
      <c r="BZ205" s="22">
        <f t="shared" si="1867"/>
        <v>-2.0499999999999363</v>
      </c>
      <c r="CA205" s="22">
        <f t="shared" si="1867"/>
        <v>0</v>
      </c>
      <c r="CB205" s="22">
        <f t="shared" si="1867"/>
        <v>-9.1299999999998818</v>
      </c>
      <c r="CC205" s="22">
        <f t="shared" si="1867"/>
        <v>0</v>
      </c>
      <c r="CD205" s="22">
        <f t="shared" si="1867"/>
        <v>35.309999999999945</v>
      </c>
      <c r="CE205" s="22">
        <f t="shared" ref="CE205:CF205" si="1868">CE206+CE207</f>
        <v>0</v>
      </c>
      <c r="CF205" s="22">
        <f t="shared" si="1868"/>
        <v>49.45</v>
      </c>
      <c r="CG205" s="22">
        <f t="shared" ref="CG205:CH205" si="1869">CG206+CG207</f>
        <v>0</v>
      </c>
      <c r="CH205" s="22">
        <f t="shared" si="1869"/>
        <v>-20.669999999999931</v>
      </c>
      <c r="CI205" s="22">
        <f t="shared" ref="CI205:CJ205" si="1870">CI206+CI207</f>
        <v>0</v>
      </c>
      <c r="CJ205" s="22">
        <f t="shared" si="1870"/>
        <v>-15.270000000000081</v>
      </c>
      <c r="CK205" s="21">
        <f t="shared" ref="CK205:DB205" si="1871">CK206+CK207</f>
        <v>0</v>
      </c>
      <c r="CL205" s="22">
        <f t="shared" si="1871"/>
        <v>-95.549999999999955</v>
      </c>
      <c r="CM205" s="21">
        <f t="shared" si="1871"/>
        <v>2.2737367544323206E-13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-110.81999999999981</v>
      </c>
    </row>
    <row r="206" spans="1:110" s="23" customFormat="1" x14ac:dyDescent="0.2">
      <c r="A206" s="23" t="s">
        <v>49</v>
      </c>
      <c r="C206" s="23">
        <f t="shared" ref="C206:AA206" si="1872">C128-B128</f>
        <v>0.61529999999999063</v>
      </c>
      <c r="D206" s="23">
        <f t="shared" si="1872"/>
        <v>-25.053300000000007</v>
      </c>
      <c r="E206" s="23">
        <f>E128-D128</f>
        <v>-38.768100000000004</v>
      </c>
      <c r="F206" s="23">
        <f t="shared" si="1872"/>
        <v>35.90470000000002</v>
      </c>
      <c r="G206" s="23">
        <f t="shared" si="1872"/>
        <v>-22.115900000000011</v>
      </c>
      <c r="H206" s="23">
        <f t="shared" si="1872"/>
        <v>118.69730000000001</v>
      </c>
      <c r="I206" s="23">
        <f t="shared" si="1872"/>
        <v>96.975699999999989</v>
      </c>
      <c r="J206" s="23">
        <f>J128-I128</f>
        <v>29.661900000000003</v>
      </c>
      <c r="K206" s="23">
        <f>K128-J128</f>
        <v>-45.023400000000038</v>
      </c>
      <c r="L206" s="23">
        <f t="shared" si="1872"/>
        <v>72.147600000000011</v>
      </c>
      <c r="M206" s="23">
        <f t="shared" si="1872"/>
        <v>-177.84789999999998</v>
      </c>
      <c r="N206" s="23">
        <f t="shared" si="1872"/>
        <v>214.71909999999997</v>
      </c>
      <c r="O206" s="23">
        <f t="shared" si="1872"/>
        <v>-44.947299999999927</v>
      </c>
      <c r="P206" s="23">
        <f t="shared" si="1872"/>
        <v>-60.557000000000016</v>
      </c>
      <c r="Q206" s="23">
        <f t="shared" si="1872"/>
        <v>-27.070500000000038</v>
      </c>
      <c r="R206" s="23">
        <f t="shared" si="1872"/>
        <v>-131.12289999999999</v>
      </c>
      <c r="S206" s="23">
        <f t="shared" si="1872"/>
        <v>-21.510000000000019</v>
      </c>
      <c r="T206" s="23">
        <f t="shared" si="1872"/>
        <v>-52.279999999999973</v>
      </c>
      <c r="U206" s="23">
        <f t="shared" si="1872"/>
        <v>-86.72</v>
      </c>
      <c r="V206" s="23">
        <f t="shared" si="1872"/>
        <v>-2.4300000000000006</v>
      </c>
      <c r="W206" s="23">
        <f t="shared" si="1872"/>
        <v>-3.6800000000000006</v>
      </c>
      <c r="X206" s="23">
        <f t="shared" si="1872"/>
        <v>-4.0999999999999996</v>
      </c>
      <c r="Y206" s="23">
        <f t="shared" si="1872"/>
        <v>21</v>
      </c>
      <c r="Z206" s="23">
        <f t="shared" si="1872"/>
        <v>60.86</v>
      </c>
      <c r="AA206" s="23">
        <f t="shared" si="1872"/>
        <v>-81.86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157.42000000000002</v>
      </c>
      <c r="AK206" s="23">
        <f t="shared" ref="AK206" si="1879">AK128-AJ128</f>
        <v>0</v>
      </c>
      <c r="AL206" s="23">
        <f t="shared" ref="AL206" si="1880">AL128-AK128</f>
        <v>214.64999999999998</v>
      </c>
      <c r="AM206" s="23">
        <f t="shared" ref="AM206" si="1881">AM128-AL128</f>
        <v>0</v>
      </c>
      <c r="AN206" s="23">
        <f t="shared" ref="AN206" si="1882">AN128-AM128</f>
        <v>-2.5799999999999841</v>
      </c>
      <c r="AO206" s="23">
        <f t="shared" ref="AO206" si="1883">AO128-AN128</f>
        <v>0</v>
      </c>
      <c r="AP206" s="23">
        <f t="shared" ref="AP206" si="1884">AP128-AO128</f>
        <v>-12.730000000000018</v>
      </c>
      <c r="AQ206" s="23">
        <f t="shared" ref="AQ206" si="1885">AQ128-AP128</f>
        <v>0</v>
      </c>
      <c r="AR206" s="23">
        <f t="shared" ref="AR206" si="1886">AR128-AQ128</f>
        <v>-44.559999999999945</v>
      </c>
      <c r="AS206" s="23">
        <f t="shared" ref="AS206" si="1887">AS128-AR128</f>
        <v>0</v>
      </c>
      <c r="AT206" s="23">
        <f t="shared" ref="AT206" si="1888">AT128-AS128</f>
        <v>-28.57000000000005</v>
      </c>
      <c r="AU206" s="23">
        <f t="shared" ref="AU206" si="1889">AU128-AT128</f>
        <v>0</v>
      </c>
      <c r="AV206" s="23">
        <f t="shared" ref="AV206" si="1890">AV128-AU128</f>
        <v>16.090000000000032</v>
      </c>
      <c r="AW206" s="23">
        <f t="shared" ref="AW206" si="1891">AW128-AV128</f>
        <v>0</v>
      </c>
      <c r="AX206" s="23">
        <f t="shared" ref="AX206" si="1892">AX128-AW128</f>
        <v>-45.000000000000028</v>
      </c>
      <c r="AY206" s="23">
        <f t="shared" ref="AY206" si="1893">AY128-AX128</f>
        <v>0</v>
      </c>
      <c r="AZ206" s="23">
        <f t="shared" ref="AZ206" si="1894">AZ128-AY128</f>
        <v>-31.800000000000011</v>
      </c>
      <c r="BA206" s="23">
        <f t="shared" ref="BA206" si="1895">BA128-AZ128</f>
        <v>0</v>
      </c>
      <c r="BB206" s="23">
        <f t="shared" ref="BB206" si="1896">BB128-BA128</f>
        <v>-106.07999999999998</v>
      </c>
      <c r="BC206" s="23">
        <f t="shared" ref="BC206" si="1897">BC128-BB128</f>
        <v>0</v>
      </c>
      <c r="BD206" s="23">
        <f t="shared" ref="BD206" si="1898">BD128-BC128</f>
        <v>1.0300000000000011</v>
      </c>
      <c r="BE206" s="23">
        <f t="shared" ref="BE206" si="1899">BE128-BD128</f>
        <v>0</v>
      </c>
      <c r="BF206" s="23">
        <f t="shared" ref="BF206" si="1900">BF128-BE128</f>
        <v>-26.070000000000007</v>
      </c>
      <c r="BG206" s="23">
        <f t="shared" ref="BG206" si="1901">BG128-BF128</f>
        <v>0</v>
      </c>
      <c r="BH206" s="23">
        <f t="shared" ref="BH206" si="1902">BH128-BG128</f>
        <v>-29.369999999999997</v>
      </c>
      <c r="BI206" s="23">
        <f t="shared" ref="BI206" si="1903">BI128-BH128</f>
        <v>0</v>
      </c>
      <c r="BJ206" s="23">
        <f t="shared" ref="BJ206" si="1904">BJ128-BI128</f>
        <v>-10.950000000000003</v>
      </c>
      <c r="BK206" s="23">
        <f t="shared" ref="BK206" si="1905">BK128-BJ128</f>
        <v>0</v>
      </c>
      <c r="BL206" s="23">
        <f t="shared" ref="BL206" si="1906">BL128-BK128</f>
        <v>-18.729999999999997</v>
      </c>
      <c r="BM206" s="23">
        <f t="shared" ref="BM206" si="1907">BM128-BL128</f>
        <v>0</v>
      </c>
      <c r="BN206" s="23">
        <f t="shared" ref="BN206" si="1908">BN128-BM128</f>
        <v>-26.12</v>
      </c>
      <c r="BO206" s="23">
        <f t="shared" ref="BO206" si="1909">BO128-BN128</f>
        <v>0</v>
      </c>
      <c r="BP206" s="23">
        <f t="shared" ref="BP206" si="1910">BP128-BO128</f>
        <v>3.13</v>
      </c>
      <c r="BQ206" s="23">
        <f t="shared" ref="BQ206" si="1911">BQ128-BP128</f>
        <v>0</v>
      </c>
      <c r="BR206" s="23">
        <f t="shared" ref="BR206" si="1912">BR128-BQ128</f>
        <v>-2.2399999999999993</v>
      </c>
      <c r="BS206" s="23">
        <f t="shared" ref="BS206" si="1913">BS128-BR128</f>
        <v>0</v>
      </c>
      <c r="BT206" s="23">
        <f t="shared" ref="BT206" si="1914">BT128-BS128</f>
        <v>-0.47000000000000064</v>
      </c>
      <c r="BU206" s="23">
        <f t="shared" ref="BU206" si="1915">BU128-BT128</f>
        <v>0</v>
      </c>
      <c r="BV206" s="23">
        <f t="shared" ref="BV206" si="1916">BV128-BU128</f>
        <v>-2.95</v>
      </c>
      <c r="BW206" s="23">
        <f t="shared" ref="BW206" si="1917">BW128-BV128</f>
        <v>0</v>
      </c>
      <c r="BX206" s="23">
        <f t="shared" ref="BX206" si="1918">BX128-BW128</f>
        <v>-0.61999999999999966</v>
      </c>
      <c r="BY206" s="23">
        <f t="shared" ref="BY206" si="1919">BY128-BX128</f>
        <v>0</v>
      </c>
      <c r="BZ206" s="23">
        <f t="shared" ref="BZ206" si="1920">BZ128-BY128</f>
        <v>-3.48</v>
      </c>
      <c r="CA206" s="23">
        <f t="shared" ref="CA206" si="1921">CA128-BZ128</f>
        <v>0</v>
      </c>
      <c r="CB206" s="23">
        <f t="shared" ref="CB206" si="1922">CB128-CA128</f>
        <v>0</v>
      </c>
      <c r="CC206" s="23">
        <f t="shared" ref="CC206" si="1923">CC128-CB128</f>
        <v>0</v>
      </c>
      <c r="CD206" s="23">
        <f t="shared" ref="CD206" si="1924">CD128-CC128</f>
        <v>21</v>
      </c>
      <c r="CE206" s="23">
        <f t="shared" ref="CE206" si="1925">CE128-CD128</f>
        <v>0</v>
      </c>
      <c r="CF206" s="23">
        <f t="shared" ref="CF206" si="1926">CF128-CE128</f>
        <v>61.45</v>
      </c>
      <c r="CG206" s="23">
        <f t="shared" ref="CG206" si="1927">CG128-CF128</f>
        <v>0</v>
      </c>
      <c r="CH206" s="23">
        <f t="shared" ref="CH206:CL206" si="1928">CH128-CG128</f>
        <v>-0.59000000000000341</v>
      </c>
      <c r="CI206" s="23">
        <f t="shared" si="1928"/>
        <v>0</v>
      </c>
      <c r="CJ206" s="23">
        <f t="shared" si="1928"/>
        <v>-5.1099999999999994</v>
      </c>
      <c r="CK206" s="24">
        <f t="shared" ref="CK206" si="1929">CK128-CJ128</f>
        <v>0</v>
      </c>
      <c r="CL206" s="23">
        <f t="shared" si="1928"/>
        <v>-76.75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-81.86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-23.464999999999947</v>
      </c>
      <c r="D207" s="23">
        <f t="shared" si="1946"/>
        <v>-2.2845000000000084</v>
      </c>
      <c r="E207" s="23">
        <f t="shared" si="1946"/>
        <v>-2.2843999999999625</v>
      </c>
      <c r="F207" s="23">
        <f t="shared" si="1946"/>
        <v>-2.3090000000000259</v>
      </c>
      <c r="G207" s="23">
        <f t="shared" si="1946"/>
        <v>-3.2069999999999936</v>
      </c>
      <c r="H207" s="23">
        <f t="shared" si="1946"/>
        <v>-4.6067000000000036</v>
      </c>
      <c r="I207" s="23">
        <f t="shared" si="1946"/>
        <v>-4.7648000000000081</v>
      </c>
      <c r="J207" s="23">
        <f t="shared" si="1946"/>
        <v>-4.6066999999999894</v>
      </c>
      <c r="K207" s="23">
        <f t="shared" si="1946"/>
        <v>-7.8711000000000411</v>
      </c>
      <c r="L207" s="23">
        <f t="shared" si="1946"/>
        <v>-6.5374999999998806</v>
      </c>
      <c r="M207" s="23">
        <f t="shared" si="1946"/>
        <v>-6.5374999999999659</v>
      </c>
      <c r="N207" s="23">
        <f t="shared" si="1946"/>
        <v>32.139299999999992</v>
      </c>
      <c r="O207" s="23">
        <f t="shared" si="1946"/>
        <v>-5.9160999999999149</v>
      </c>
      <c r="P207" s="23">
        <f t="shared" si="1946"/>
        <v>13.291100000000085</v>
      </c>
      <c r="Q207" s="23">
        <f t="shared" si="1946"/>
        <v>-7.5906999999999698</v>
      </c>
      <c r="R207" s="23">
        <f t="shared" si="1946"/>
        <v>29.993700000000047</v>
      </c>
      <c r="S207" s="23">
        <f t="shared" si="1946"/>
        <v>-2.7699999999999818</v>
      </c>
      <c r="T207" s="23">
        <f t="shared" si="1946"/>
        <v>-24.330000000000155</v>
      </c>
      <c r="U207" s="23">
        <f t="shared" si="1946"/>
        <v>-55.529999999999973</v>
      </c>
      <c r="V207" s="23">
        <f t="shared" si="1946"/>
        <v>17.110000000000127</v>
      </c>
      <c r="W207" s="23">
        <f t="shared" si="1946"/>
        <v>2.5099999999999909</v>
      </c>
      <c r="X207" s="23">
        <f t="shared" si="1946"/>
        <v>-15.740000000000464</v>
      </c>
      <c r="Y207" s="23">
        <f t="shared" si="1946"/>
        <v>5.1800000000000637</v>
      </c>
      <c r="Z207" s="23">
        <f t="shared" si="1946"/>
        <v>-32.079999999999927</v>
      </c>
      <c r="AA207" s="23">
        <f t="shared" si="1946"/>
        <v>-28.959999999999809</v>
      </c>
      <c r="AB207" s="24">
        <f t="shared" si="1946"/>
        <v>0</v>
      </c>
      <c r="AC207" s="24">
        <f t="shared" si="1946"/>
        <v>0</v>
      </c>
      <c r="AD207" s="24">
        <f t="shared" si="1946"/>
        <v>0</v>
      </c>
      <c r="AE207" s="24">
        <f t="shared" si="1946"/>
        <v>-4.5474735088646412E-13</v>
      </c>
      <c r="AI207" s="23">
        <f t="shared" ref="AI207:BN207" si="1947">AI120-AI48-AH120+AI122-AH122</f>
        <v>-5.93</v>
      </c>
      <c r="AJ207" s="23">
        <f t="shared" si="1947"/>
        <v>327.17</v>
      </c>
      <c r="AK207" s="23">
        <f t="shared" si="1947"/>
        <v>0</v>
      </c>
      <c r="AL207" s="23">
        <f t="shared" si="1947"/>
        <v>21.490000000000009</v>
      </c>
      <c r="AM207" s="23">
        <f t="shared" si="1947"/>
        <v>0</v>
      </c>
      <c r="AN207" s="23">
        <f t="shared" si="1947"/>
        <v>-1.9999999999924967E-2</v>
      </c>
      <c r="AO207" s="23">
        <f t="shared" si="1947"/>
        <v>0</v>
      </c>
      <c r="AP207" s="23">
        <f t="shared" si="1947"/>
        <v>-5.8900000000001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12.430000000000064</v>
      </c>
      <c r="AU207" s="23">
        <f t="shared" si="1947"/>
        <v>0</v>
      </c>
      <c r="AV207" s="23">
        <f t="shared" si="1947"/>
        <v>-20.920000000000016</v>
      </c>
      <c r="AW207" s="23">
        <f t="shared" si="1947"/>
        <v>0</v>
      </c>
      <c r="AX207" s="23">
        <f t="shared" si="1947"/>
        <v>13.790000000000077</v>
      </c>
      <c r="AY207" s="23">
        <f t="shared" si="1947"/>
        <v>0</v>
      </c>
      <c r="AZ207" s="23">
        <f t="shared" si="1947"/>
        <v>-21.380000000000052</v>
      </c>
      <c r="BA207" s="23">
        <f t="shared" si="1947"/>
        <v>0</v>
      </c>
      <c r="BB207" s="23">
        <f t="shared" si="1947"/>
        <v>55.919999999999845</v>
      </c>
      <c r="BC207" s="23">
        <f t="shared" si="1947"/>
        <v>0</v>
      </c>
      <c r="BD207" s="23">
        <f t="shared" si="1947"/>
        <v>-29.139999999999986</v>
      </c>
      <c r="BE207" s="23">
        <f t="shared" si="1947"/>
        <v>0</v>
      </c>
      <c r="BF207" s="23">
        <f t="shared" si="1947"/>
        <v>26.769999999999982</v>
      </c>
      <c r="BG207" s="23">
        <f t="shared" si="1947"/>
        <v>0</v>
      </c>
      <c r="BH207" s="23">
        <f t="shared" si="1947"/>
        <v>-27.409999999999968</v>
      </c>
      <c r="BI207" s="23">
        <f t="shared" si="1947"/>
        <v>0</v>
      </c>
      <c r="BJ207" s="23">
        <f t="shared" si="1947"/>
        <v>3.0900000000000318</v>
      </c>
      <c r="BK207" s="23">
        <f t="shared" si="1947"/>
        <v>0</v>
      </c>
      <c r="BL207" s="23">
        <f t="shared" si="1947"/>
        <v>-32.399999999999977</v>
      </c>
      <c r="BM207" s="23">
        <f t="shared" si="1947"/>
        <v>0</v>
      </c>
      <c r="BN207" s="23">
        <f t="shared" si="1947"/>
        <v>-23.180000000000064</v>
      </c>
      <c r="BO207" s="23">
        <f t="shared" ref="BO207:CT207" si="1948">BO120-BO48-BN120+BO122-BN122</f>
        <v>0</v>
      </c>
      <c r="BP207" s="23">
        <f t="shared" si="1948"/>
        <v>-15.429999999999836</v>
      </c>
      <c r="BQ207" s="23">
        <f t="shared" si="1948"/>
        <v>0</v>
      </c>
      <c r="BR207" s="23">
        <f t="shared" si="1948"/>
        <v>32.539999999999964</v>
      </c>
      <c r="BS207" s="23">
        <f t="shared" si="1948"/>
        <v>0</v>
      </c>
      <c r="BT207" s="23">
        <f t="shared" si="1948"/>
        <v>20.900000000000091</v>
      </c>
      <c r="BU207" s="23">
        <f t="shared" si="1948"/>
        <v>0</v>
      </c>
      <c r="BV207" s="23">
        <f t="shared" si="1948"/>
        <v>-18.3900000000001</v>
      </c>
      <c r="BW207" s="23">
        <f t="shared" si="1948"/>
        <v>0</v>
      </c>
      <c r="BX207" s="23">
        <f t="shared" si="1948"/>
        <v>-17.159999999999854</v>
      </c>
      <c r="BY207" s="23">
        <f t="shared" si="1948"/>
        <v>0</v>
      </c>
      <c r="BZ207" s="23">
        <f t="shared" si="1948"/>
        <v>1.4300000000000637</v>
      </c>
      <c r="CA207" s="23">
        <f t="shared" si="1948"/>
        <v>0</v>
      </c>
      <c r="CB207" s="23">
        <f t="shared" si="1948"/>
        <v>-9.1299999999998818</v>
      </c>
      <c r="CC207" s="23">
        <f t="shared" si="1948"/>
        <v>0</v>
      </c>
      <c r="CD207" s="23">
        <f t="shared" si="1948"/>
        <v>14.309999999999945</v>
      </c>
      <c r="CE207" s="23">
        <f t="shared" si="1948"/>
        <v>0</v>
      </c>
      <c r="CF207" s="23">
        <f t="shared" si="1948"/>
        <v>-12</v>
      </c>
      <c r="CG207" s="23">
        <f t="shared" si="1948"/>
        <v>0</v>
      </c>
      <c r="CH207" s="23">
        <f t="shared" si="1948"/>
        <v>-20.079999999999927</v>
      </c>
      <c r="CI207" s="23">
        <f t="shared" si="1948"/>
        <v>0</v>
      </c>
      <c r="CJ207" s="23">
        <f t="shared" si="1948"/>
        <v>-10.160000000000082</v>
      </c>
      <c r="CK207" s="24">
        <f t="shared" si="1948"/>
        <v>0</v>
      </c>
      <c r="CL207" s="23">
        <f t="shared" si="1948"/>
        <v>-18.799999999999955</v>
      </c>
      <c r="CM207" s="24">
        <f t="shared" si="1948"/>
        <v>2.2737367544323206E-13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-28.959999999999809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12.9823</v>
      </c>
      <c r="D209" s="23">
        <f t="shared" ref="D209" si="1951">C161</f>
        <v>25.604399999999998</v>
      </c>
      <c r="E209" s="23">
        <f>D161</f>
        <v>46.034500000000001</v>
      </c>
      <c r="F209" s="23">
        <f t="shared" ref="F209" si="1952">E161</f>
        <v>47.889400000000002</v>
      </c>
      <c r="G209" s="23">
        <f t="shared" ref="G209" si="1953">F161</f>
        <v>59.569499999999998</v>
      </c>
      <c r="H209" s="23">
        <f t="shared" ref="H209" si="1954">G161</f>
        <v>61.889899999999997</v>
      </c>
      <c r="I209" s="23">
        <f t="shared" ref="I209" si="1955">H161</f>
        <v>72.101799999999997</v>
      </c>
      <c r="J209" s="23">
        <f>I161</f>
        <v>80.456400000000002</v>
      </c>
      <c r="K209" s="23">
        <f>J161</f>
        <v>64.409400000000005</v>
      </c>
      <c r="L209" s="23">
        <f t="shared" ref="L209" si="1956">K161</f>
        <v>91.682199999999995</v>
      </c>
      <c r="M209" s="23">
        <f t="shared" ref="M209" si="1957">L161</f>
        <v>28.8445</v>
      </c>
      <c r="N209" s="23">
        <f t="shared" ref="N209" si="1958">M161</f>
        <v>6.4896000000000003</v>
      </c>
      <c r="O209" s="23">
        <f t="shared" ref="O209" si="1959">N161</f>
        <v>74.0244</v>
      </c>
      <c r="P209" s="23">
        <f t="shared" ref="P209" si="1960">O161</f>
        <v>29.9605</v>
      </c>
      <c r="Q209" s="23">
        <f t="shared" ref="Q209" si="1961">P161</f>
        <v>11.8825</v>
      </c>
      <c r="R209" s="23">
        <f t="shared" ref="R209" si="1962">Q161</f>
        <v>10.4033</v>
      </c>
      <c r="S209" s="23">
        <f t="shared" ref="S209" si="1963">R161</f>
        <v>20.11</v>
      </c>
      <c r="T209" s="23">
        <f t="shared" ref="T209" si="1964">S161</f>
        <v>143.81</v>
      </c>
      <c r="U209" s="23">
        <f t="shared" ref="U209" si="1965">T161</f>
        <v>311.5</v>
      </c>
      <c r="V209" s="23">
        <f t="shared" ref="V209" si="1966">U161</f>
        <v>326.35000000000002</v>
      </c>
      <c r="W209" s="23">
        <f t="shared" ref="W209:AA209" si="1967">V161</f>
        <v>206.96</v>
      </c>
      <c r="X209" s="23">
        <f t="shared" si="1967"/>
        <v>330.55</v>
      </c>
      <c r="Y209" s="23">
        <f t="shared" si="1967"/>
        <v>497.26</v>
      </c>
      <c r="Z209" s="23">
        <f t="shared" si="1967"/>
        <v>608.46</v>
      </c>
      <c r="AA209" s="23">
        <f t="shared" si="1967"/>
        <v>672.93</v>
      </c>
      <c r="AB209" s="24">
        <f t="shared" ref="AB209" si="1968">AA161</f>
        <v>146.07</v>
      </c>
      <c r="AC209" s="24">
        <f t="shared" ref="AC209" si="1969">AB161</f>
        <v>268.8358419803568</v>
      </c>
      <c r="AD209" s="24">
        <f t="shared" ref="AD209" si="1970">AC161</f>
        <v>420.65193183861589</v>
      </c>
      <c r="AE209" s="24">
        <f t="shared" ref="AE209" si="1971">AD161</f>
        <v>586.36595289550792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4.5199999999999996</v>
      </c>
      <c r="AL209" s="23">
        <f t="shared" ref="AL209" si="1975">AK161</f>
        <v>7.694287971558321</v>
      </c>
      <c r="AM209" s="23">
        <f t="shared" ref="AM209" si="1976">AL161</f>
        <v>74.02</v>
      </c>
      <c r="AN209" s="23">
        <f t="shared" ref="AN209" si="1977">AM161</f>
        <v>91.616229579234812</v>
      </c>
      <c r="AO209" s="23">
        <f t="shared" ref="AO209" si="1978">AN161</f>
        <v>78.63</v>
      </c>
      <c r="AP209" s="23">
        <f t="shared" ref="AP209" si="1979">AO161</f>
        <v>80.728179917968092</v>
      </c>
      <c r="AQ209" s="23">
        <f t="shared" ref="AQ209" si="1980">AP161</f>
        <v>29.96</v>
      </c>
      <c r="AR209" s="23">
        <f t="shared" ref="AR209" si="1981">AQ161</f>
        <v>49.403557966478935</v>
      </c>
      <c r="AS209" s="23">
        <f t="shared" ref="AS209" si="1982">AR161</f>
        <v>5.3</v>
      </c>
      <c r="AT209" s="23">
        <f t="shared" ref="AT209" si="1983">AS161</f>
        <v>-0.3488872951711377</v>
      </c>
      <c r="AU209" s="23">
        <f t="shared" ref="AU209" si="1984">AT161</f>
        <v>11.879999999999999</v>
      </c>
      <c r="AV209" s="23">
        <f t="shared" ref="AV209" si="1985">AU161</f>
        <v>24.932112495184228</v>
      </c>
      <c r="AW209" s="23">
        <f t="shared" ref="AW209" si="1986">AV161</f>
        <v>9.64</v>
      </c>
      <c r="AX209" s="23">
        <f t="shared" ref="AX209" si="1987">AW161</f>
        <v>17.121492979783422</v>
      </c>
      <c r="AY209" s="23">
        <f t="shared" ref="AY209" si="1988">AX161</f>
        <v>10.4</v>
      </c>
      <c r="AZ209" s="23">
        <f t="shared" ref="AZ209" si="1989">AY161</f>
        <v>41.687273191779227</v>
      </c>
      <c r="BA209" s="23">
        <f t="shared" ref="BA209" si="1990">AZ161</f>
        <v>3.33</v>
      </c>
      <c r="BB209" s="23">
        <f t="shared" ref="BB209" si="1991">BA161</f>
        <v>35.478889334256607</v>
      </c>
      <c r="BC209" s="23">
        <f t="shared" ref="BC209" si="1992">BB161</f>
        <v>20.11</v>
      </c>
      <c r="BD209" s="23">
        <f t="shared" ref="BD209" si="1993">BC161</f>
        <v>54.814624020334648</v>
      </c>
      <c r="BE209" s="23">
        <f t="shared" ref="BE209" si="1994">BD161</f>
        <v>23.8</v>
      </c>
      <c r="BF209" s="23">
        <f t="shared" ref="BF209" si="1995">BE161</f>
        <v>32.738594684970138</v>
      </c>
      <c r="BG209" s="23">
        <f t="shared" ref="BG209" si="1996">BF161</f>
        <v>143.81</v>
      </c>
      <c r="BH209" s="23">
        <f t="shared" ref="BH209" si="1997">BG161</f>
        <v>176.18302098304119</v>
      </c>
      <c r="BI209" s="23">
        <f t="shared" ref="BI209" si="1998">BH161</f>
        <v>183.48</v>
      </c>
      <c r="BJ209" s="23">
        <f t="shared" ref="BJ209" si="1999">BI161</f>
        <v>231.25025807425291</v>
      </c>
      <c r="BK209" s="23">
        <f t="shared" ref="BK209" si="2000">BJ161</f>
        <v>311.5</v>
      </c>
      <c r="BL209" s="23">
        <f t="shared" ref="BL209" si="2001">BK161</f>
        <v>340.03496161859857</v>
      </c>
      <c r="BM209" s="23">
        <f t="shared" ref="BM209" si="2002">BL161</f>
        <v>259.87</v>
      </c>
      <c r="BN209" s="23">
        <f t="shared" ref="BN209" si="2003">BM161</f>
        <v>307.28841773628938</v>
      </c>
      <c r="BO209" s="23">
        <f t="shared" ref="BO209" si="2004">BN161</f>
        <v>326.35000000000002</v>
      </c>
      <c r="BP209" s="23">
        <f t="shared" ref="BP209" si="2005">BO161</f>
        <v>376.99890581587749</v>
      </c>
      <c r="BQ209" s="23">
        <f t="shared" ref="BQ209" si="2006">BP161</f>
        <v>158.38</v>
      </c>
      <c r="BR209" s="23">
        <f t="shared" ref="BR209" si="2007">BQ161</f>
        <v>144.73430793777422</v>
      </c>
      <c r="BS209" s="23">
        <f t="shared" ref="BS209" si="2008">BR161</f>
        <v>206.96</v>
      </c>
      <c r="BT209" s="23">
        <f t="shared" ref="BT209" si="2009">BS161</f>
        <v>272.91718076184088</v>
      </c>
      <c r="BU209" s="23">
        <f t="shared" ref="BU209" si="2010">BT161</f>
        <v>168.45</v>
      </c>
      <c r="BV209" s="23">
        <f t="shared" ref="BV209" si="2011">BU161</f>
        <v>173.2149493975904</v>
      </c>
      <c r="BW209" s="23">
        <f t="shared" ref="BW209" si="2012">BV161</f>
        <v>330.55</v>
      </c>
      <c r="BX209" s="23">
        <f t="shared" ref="BX209" si="2013">BW161</f>
        <v>393.40063612042979</v>
      </c>
      <c r="BY209" s="23">
        <f t="shared" ref="BY209" si="2014">BX161</f>
        <v>178.89</v>
      </c>
      <c r="BZ209" s="23">
        <f t="shared" ref="BZ209" si="2015">BY161</f>
        <v>288.29627966571684</v>
      </c>
      <c r="CA209" s="23">
        <f t="shared" ref="CA209" si="2016">BZ161</f>
        <v>497.26</v>
      </c>
      <c r="CB209" s="23">
        <f t="shared" ref="CB209" si="2017">CA161</f>
        <v>595.42086588621169</v>
      </c>
      <c r="CC209" s="23">
        <f t="shared" ref="CC209" si="2018">CB161</f>
        <v>590.05999999999995</v>
      </c>
      <c r="CD209" s="23">
        <f t="shared" ref="CD209" si="2019">CC161</f>
        <v>610.15724196931228</v>
      </c>
      <c r="CE209" s="23">
        <f t="shared" ref="CE209" si="2020">CD161</f>
        <v>608.46</v>
      </c>
      <c r="CF209" s="23">
        <f t="shared" ref="CF209" si="2021">CE161</f>
        <v>677.56110672376406</v>
      </c>
      <c r="CG209" s="23">
        <f t="shared" ref="CG209" si="2022">CF161</f>
        <v>742.05</v>
      </c>
      <c r="CH209" s="23">
        <f t="shared" ref="CH209:CL209" si="2023">CG161</f>
        <v>739.61894044721055</v>
      </c>
      <c r="CI209" s="23">
        <f t="shared" si="2023"/>
        <v>672.93</v>
      </c>
      <c r="CJ209" s="23">
        <f t="shared" si="2023"/>
        <v>795.16181049069382</v>
      </c>
      <c r="CK209" s="24">
        <f t="shared" ref="CK209" si="2024">CJ161</f>
        <v>544.51</v>
      </c>
      <c r="CL209" s="23">
        <f t="shared" si="2023"/>
        <v>513.65783783783786</v>
      </c>
      <c r="CM209" s="24">
        <f t="shared" ref="CM209" si="2025">CL161</f>
        <v>146.07</v>
      </c>
      <c r="CN209" s="24">
        <f t="shared" ref="CN209" si="2026">CM161</f>
        <v>498.14850777625441</v>
      </c>
      <c r="CO209" s="24">
        <f t="shared" ref="CO209" si="2027">CN161</f>
        <v>582.24150387669488</v>
      </c>
      <c r="CP209" s="24">
        <f t="shared" ref="CP209" si="2028">CO161</f>
        <v>547.15494481952214</v>
      </c>
      <c r="CQ209" s="24">
        <f t="shared" ref="CQ209" si="2029">CP161</f>
        <v>268.8358419803568</v>
      </c>
      <c r="CR209" s="24">
        <f t="shared" ref="CR209" si="2030">CQ161</f>
        <v>652.35114361776709</v>
      </c>
      <c r="CS209" s="24">
        <f t="shared" ref="CS209" si="2031">CR161</f>
        <v>734.36309083723836</v>
      </c>
      <c r="CT209" s="24">
        <f t="shared" ref="CT209" si="2032">CS161</f>
        <v>698.4715492330098</v>
      </c>
      <c r="CU209" s="24">
        <f t="shared" ref="CU209" si="2033">CT161</f>
        <v>420.65193183861589</v>
      </c>
      <c r="CV209" s="24">
        <f t="shared" ref="CV209" si="2034">CU161</f>
        <v>812.68111922760249</v>
      </c>
      <c r="CW209" s="24">
        <f t="shared" ref="CW209" si="2035">CV161</f>
        <v>896.48652901643231</v>
      </c>
      <c r="CX209" s="24">
        <f t="shared" ref="CX209" si="2036">CW161</f>
        <v>862.67984812548525</v>
      </c>
      <c r="CY209" s="24">
        <f t="shared" ref="CY209" si="2037">CX161</f>
        <v>586.36595289550792</v>
      </c>
      <c r="CZ209" s="24">
        <f t="shared" ref="CZ209" si="2038">CY161</f>
        <v>983.75944154723641</v>
      </c>
      <c r="DA209" s="24">
        <f t="shared" ref="DA209" si="2039">CZ161</f>
        <v>1070.6105181554319</v>
      </c>
      <c r="DB209" s="24">
        <f t="shared" ref="DB209" si="2040">DA161</f>
        <v>1039.5137631481114</v>
      </c>
      <c r="DE209" s="123"/>
      <c r="DF209" s="23">
        <v>672.93</v>
      </c>
    </row>
    <row r="210" spans="1:110" s="23" customFormat="1" x14ac:dyDescent="0.2">
      <c r="A210" s="23" t="s">
        <v>443</v>
      </c>
      <c r="C210" s="23">
        <f t="shared" ref="C210:W210" si="2041">C209+C205+C201+C199</f>
        <v>25.604400000000034</v>
      </c>
      <c r="D210" s="23">
        <f t="shared" si="2041"/>
        <v>46.034499999999973</v>
      </c>
      <c r="E210" s="23">
        <f t="shared" si="2041"/>
        <v>47.889399999999924</v>
      </c>
      <c r="F210" s="23">
        <f t="shared" si="2041"/>
        <v>59.569500000000069</v>
      </c>
      <c r="G210" s="23">
        <f t="shared" si="2041"/>
        <v>61.88989999999994</v>
      </c>
      <c r="H210" s="23">
        <f t="shared" si="2041"/>
        <v>72.101800000000054</v>
      </c>
      <c r="I210" s="23">
        <f t="shared" si="2041"/>
        <v>80.456400000000144</v>
      </c>
      <c r="J210" s="23">
        <f>J209+J205+J201+J199</f>
        <v>64.409399999999948</v>
      </c>
      <c r="K210" s="23">
        <f>K209+K205+K201+K199</f>
        <v>91.682199999999895</v>
      </c>
      <c r="L210" s="23">
        <f>L209+L205+L201+L199</f>
        <v>28.844500000000181</v>
      </c>
      <c r="M210" s="23">
        <f>M209+M205+M201+M199</f>
        <v>6.4895999999999106</v>
      </c>
      <c r="N210" s="23">
        <f t="shared" si="2041"/>
        <v>74.024399999999957</v>
      </c>
      <c r="O210" s="23">
        <f t="shared" si="2041"/>
        <v>29.960500000000202</v>
      </c>
      <c r="P210" s="23">
        <f t="shared" si="2041"/>
        <v>11.882500000000036</v>
      </c>
      <c r="Q210" s="23">
        <f t="shared" si="2041"/>
        <v>10.403299999999817</v>
      </c>
      <c r="R210" s="23">
        <f t="shared" si="2041"/>
        <v>20.110000000000184</v>
      </c>
      <c r="S210" s="23">
        <f t="shared" si="2041"/>
        <v>143.80999999999983</v>
      </c>
      <c r="T210" s="23">
        <f t="shared" si="2041"/>
        <v>311.49999999999989</v>
      </c>
      <c r="U210" s="23">
        <f t="shared" si="2041"/>
        <v>326.34999999999991</v>
      </c>
      <c r="V210" s="23">
        <f t="shared" si="2041"/>
        <v>206.96000000000024</v>
      </c>
      <c r="W210" s="23">
        <f t="shared" si="2041"/>
        <v>330.54999999999984</v>
      </c>
      <c r="X210" s="23">
        <f t="shared" ref="X210:Y210" si="2042">X209+X205+X201+X199</f>
        <v>497.25999999999988</v>
      </c>
      <c r="Y210" s="23">
        <f t="shared" si="2042"/>
        <v>608.46</v>
      </c>
      <c r="Z210" s="23">
        <f t="shared" ref="Z210:AA210" si="2043">Z209+Z205+Z201+Z199</f>
        <v>672.93000000000029</v>
      </c>
      <c r="AA210" s="23">
        <f t="shared" si="2043"/>
        <v>146.07000000000005</v>
      </c>
      <c r="AB210" s="24">
        <f t="shared" ref="AA210:AD210" si="2044">AB209+AB205+AB201+AB199</f>
        <v>268.83584198035726</v>
      </c>
      <c r="AC210" s="24">
        <f t="shared" si="2044"/>
        <v>420.65193183861584</v>
      </c>
      <c r="AD210" s="24">
        <f t="shared" si="2044"/>
        <v>586.3659528955078</v>
      </c>
      <c r="AE210" s="24">
        <f t="shared" ref="AE210" si="2045">AE209+AE205+AE201+AE199</f>
        <v>764.76126696350093</v>
      </c>
      <c r="AI210" s="23">
        <f t="shared" ref="AI210" si="2046">AI209+AI205+AI201+AI199</f>
        <v>0</v>
      </c>
      <c r="AJ210" s="23">
        <f t="shared" ref="AJ210:AL210" si="2047">AJ209+AJ205+AJ201+AJ199</f>
        <v>4.5200000000000529</v>
      </c>
      <c r="AK210" s="23">
        <f t="shared" si="2047"/>
        <v>7.694287971558321</v>
      </c>
      <c r="AL210" s="23">
        <f t="shared" si="2047"/>
        <v>74.019999999999982</v>
      </c>
      <c r="AM210" s="23">
        <f t="shared" ref="AM210" si="2048">AM209+AM205+AM201+AM199</f>
        <v>91.616229579234812</v>
      </c>
      <c r="AN210" s="23">
        <f t="shared" ref="AN210:CD210" si="2049">AN209+AN205+AN201+AN199</f>
        <v>78.630000000000024</v>
      </c>
      <c r="AO210" s="23">
        <f t="shared" si="2049"/>
        <v>80.728179917968092</v>
      </c>
      <c r="AP210" s="23">
        <f t="shared" si="2049"/>
        <v>29.95999999999983</v>
      </c>
      <c r="AQ210" s="23">
        <f t="shared" si="2049"/>
        <v>49.403557966478935</v>
      </c>
      <c r="AR210" s="23">
        <f t="shared" si="2049"/>
        <v>5.3000000000000771</v>
      </c>
      <c r="AS210" s="23">
        <f t="shared" si="2049"/>
        <v>-0.3488872951711377</v>
      </c>
      <c r="AT210" s="23">
        <f t="shared" si="2049"/>
        <v>11.879999999999797</v>
      </c>
      <c r="AU210" s="23">
        <f t="shared" si="2049"/>
        <v>24.932112495184228</v>
      </c>
      <c r="AV210" s="23">
        <f t="shared" si="2049"/>
        <v>9.640000000000196</v>
      </c>
      <c r="AW210" s="23">
        <f t="shared" si="2049"/>
        <v>17.121492979783422</v>
      </c>
      <c r="AX210" s="23">
        <f t="shared" si="2049"/>
        <v>10.399999999999864</v>
      </c>
      <c r="AY210" s="23">
        <f t="shared" si="2049"/>
        <v>41.687273191779227</v>
      </c>
      <c r="AZ210" s="23">
        <f t="shared" si="2049"/>
        <v>3.3300000000000622</v>
      </c>
      <c r="BA210" s="23">
        <f t="shared" si="2049"/>
        <v>35.478889334256607</v>
      </c>
      <c r="BB210" s="23">
        <f t="shared" si="2049"/>
        <v>20.109999999999943</v>
      </c>
      <c r="BC210" s="23">
        <f t="shared" si="2049"/>
        <v>54.814624020334648</v>
      </c>
      <c r="BD210" s="23">
        <f t="shared" si="2049"/>
        <v>23.800000000000111</v>
      </c>
      <c r="BE210" s="23">
        <f t="shared" si="2049"/>
        <v>32.738594684970138</v>
      </c>
      <c r="BF210" s="23">
        <f t="shared" si="2049"/>
        <v>143.80999999999977</v>
      </c>
      <c r="BG210" s="23">
        <f t="shared" si="2049"/>
        <v>176.18302098304119</v>
      </c>
      <c r="BH210" s="23">
        <f t="shared" si="2049"/>
        <v>183.48000000000019</v>
      </c>
      <c r="BI210" s="23">
        <f t="shared" si="2049"/>
        <v>231.25025807425291</v>
      </c>
      <c r="BJ210" s="23">
        <f t="shared" si="2049"/>
        <v>311.49999999999989</v>
      </c>
      <c r="BK210" s="23">
        <f t="shared" si="2049"/>
        <v>340.03496161859857</v>
      </c>
      <c r="BL210" s="23">
        <f t="shared" si="2049"/>
        <v>259.87000000000012</v>
      </c>
      <c r="BM210" s="23">
        <f t="shared" si="2049"/>
        <v>307.28841773628938</v>
      </c>
      <c r="BN210" s="23">
        <f t="shared" si="2049"/>
        <v>326.34999999999974</v>
      </c>
      <c r="BO210" s="23">
        <f t="shared" si="2049"/>
        <v>376.99890581587749</v>
      </c>
      <c r="BP210" s="23">
        <f t="shared" si="2049"/>
        <v>158.38000000000031</v>
      </c>
      <c r="BQ210" s="23">
        <f t="shared" si="2049"/>
        <v>144.73430793777422</v>
      </c>
      <c r="BR210" s="23">
        <f t="shared" si="2049"/>
        <v>206.95999999999981</v>
      </c>
      <c r="BS210" s="23">
        <f t="shared" si="2049"/>
        <v>272.91718076184088</v>
      </c>
      <c r="BT210" s="23">
        <f t="shared" si="2049"/>
        <v>168.45000000000005</v>
      </c>
      <c r="BU210" s="23">
        <f t="shared" si="2049"/>
        <v>173.2149493975904</v>
      </c>
      <c r="BV210" s="23">
        <f t="shared" si="2049"/>
        <v>330.55000000000007</v>
      </c>
      <c r="BW210" s="23">
        <f t="shared" si="2049"/>
        <v>393.40063612042979</v>
      </c>
      <c r="BX210" s="23">
        <f t="shared" si="2049"/>
        <v>178.8900000000001</v>
      </c>
      <c r="BY210" s="23">
        <f t="shared" si="2049"/>
        <v>288.29627966571684</v>
      </c>
      <c r="BZ210" s="23">
        <f t="shared" si="2049"/>
        <v>497.26</v>
      </c>
      <c r="CA210" s="23">
        <f t="shared" si="2049"/>
        <v>595.42086588621169</v>
      </c>
      <c r="CB210" s="23">
        <f t="shared" si="2049"/>
        <v>590.05999999999995</v>
      </c>
      <c r="CC210" s="23">
        <f t="shared" si="2049"/>
        <v>610.15724196931228</v>
      </c>
      <c r="CD210" s="23">
        <f t="shared" si="2049"/>
        <v>608.45999999999981</v>
      </c>
      <c r="CE210" s="23">
        <f t="shared" ref="CE210:CF210" si="2050">CE209+CE205+CE201+CE199</f>
        <v>677.56110672376406</v>
      </c>
      <c r="CF210" s="23">
        <f t="shared" si="2050"/>
        <v>742.0500000000003</v>
      </c>
      <c r="CG210" s="23">
        <f t="shared" ref="CG210:CH210" si="2051">CG209+CG205+CG201+CG199</f>
        <v>739.61894044721055</v>
      </c>
      <c r="CH210" s="23">
        <f t="shared" si="2051"/>
        <v>672.93000000000006</v>
      </c>
      <c r="CI210" s="23">
        <f t="shared" ref="CI210:CJ210" si="2052">CI209+CI205+CI201+CI199</f>
        <v>795.16181049069382</v>
      </c>
      <c r="CJ210" s="23">
        <f t="shared" si="2052"/>
        <v>544.50999999999976</v>
      </c>
      <c r="CK210" s="24">
        <f t="shared" ref="CK210:DB210" si="2053">CK209+CK205+CK201+CK199</f>
        <v>513.65783783783786</v>
      </c>
      <c r="CL210" s="23">
        <f t="shared" si="2053"/>
        <v>146.07000000000031</v>
      </c>
      <c r="CM210" s="24">
        <f t="shared" si="2053"/>
        <v>498.14850777625441</v>
      </c>
      <c r="CN210" s="24">
        <f t="shared" si="2053"/>
        <v>582.24150387669488</v>
      </c>
      <c r="CO210" s="24">
        <f t="shared" si="2053"/>
        <v>547.15494481952214</v>
      </c>
      <c r="CP210" s="24">
        <f t="shared" si="2053"/>
        <v>268.8358419803568</v>
      </c>
      <c r="CQ210" s="24">
        <f t="shared" si="2053"/>
        <v>652.35114361776709</v>
      </c>
      <c r="CR210" s="24">
        <f t="shared" si="2053"/>
        <v>734.36309083723836</v>
      </c>
      <c r="CS210" s="24">
        <f t="shared" si="2053"/>
        <v>698.4715492330098</v>
      </c>
      <c r="CT210" s="24">
        <f t="shared" si="2053"/>
        <v>420.65193183861589</v>
      </c>
      <c r="CU210" s="24">
        <f t="shared" si="2053"/>
        <v>812.68111922760249</v>
      </c>
      <c r="CV210" s="24">
        <f t="shared" si="2053"/>
        <v>896.48652901643231</v>
      </c>
      <c r="CW210" s="24">
        <f t="shared" si="2053"/>
        <v>862.67984812548525</v>
      </c>
      <c r="CX210" s="24">
        <f t="shared" si="2053"/>
        <v>586.36595289550792</v>
      </c>
      <c r="CY210" s="24">
        <f t="shared" si="2053"/>
        <v>983.75944154723641</v>
      </c>
      <c r="CZ210" s="24">
        <f t="shared" si="2053"/>
        <v>1070.6105181554319</v>
      </c>
      <c r="DA210" s="24">
        <f t="shared" si="2053"/>
        <v>1039.5137631481114</v>
      </c>
      <c r="DB210" s="24">
        <f t="shared" si="2053"/>
        <v>764.76126696350093</v>
      </c>
      <c r="DE210" s="123"/>
      <c r="DF210" s="23">
        <v>146.07000000000022</v>
      </c>
    </row>
    <row r="211" spans="1:110" s="28" customFormat="1" x14ac:dyDescent="0.2">
      <c r="A211" s="28" t="s">
        <v>444</v>
      </c>
      <c r="C211" s="28">
        <f t="shared" ref="C211:W211" si="2054">C210-C161</f>
        <v>3.5527136788005009E-14</v>
      </c>
      <c r="D211" s="28">
        <f t="shared" si="2054"/>
        <v>0</v>
      </c>
      <c r="E211" s="28">
        <f t="shared" si="2054"/>
        <v>-7.815970093361102E-14</v>
      </c>
      <c r="F211" s="28">
        <f t="shared" si="2054"/>
        <v>7.1054273576010019E-14</v>
      </c>
      <c r="G211" s="28">
        <f t="shared" si="2054"/>
        <v>-5.6843418860808015E-14</v>
      </c>
      <c r="H211" s="28">
        <f t="shared" si="2054"/>
        <v>0</v>
      </c>
      <c r="I211" s="28">
        <f t="shared" si="2054"/>
        <v>1.4210854715202004E-13</v>
      </c>
      <c r="J211" s="28">
        <f>J210-J161</f>
        <v>0</v>
      </c>
      <c r="K211" s="28">
        <f t="shared" si="2054"/>
        <v>0</v>
      </c>
      <c r="L211" s="28">
        <f t="shared" si="2054"/>
        <v>1.8118839761882555E-13</v>
      </c>
      <c r="M211" s="28">
        <f t="shared" si="2054"/>
        <v>-8.9706020389712648E-14</v>
      </c>
      <c r="N211" s="28">
        <f t="shared" si="2054"/>
        <v>0</v>
      </c>
      <c r="O211" s="28">
        <f t="shared" si="2054"/>
        <v>2.0250467969162855E-13</v>
      </c>
      <c r="P211" s="28">
        <f t="shared" si="2054"/>
        <v>3.5527136788005009E-14</v>
      </c>
      <c r="Q211" s="28">
        <f t="shared" si="2054"/>
        <v>-1.829647544582258E-13</v>
      </c>
      <c r="R211" s="28">
        <f t="shared" si="2054"/>
        <v>1.8474111129762605E-13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2.2737367544323206E-13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4.5474735088646412E-13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5.3290705182007514E-14</v>
      </c>
      <c r="AK211" s="28">
        <f t="shared" si="2060"/>
        <v>0</v>
      </c>
      <c r="AL211" s="28">
        <f t="shared" si="2060"/>
        <v>0</v>
      </c>
      <c r="AM211" s="28">
        <f t="shared" ref="AM211" si="2061">AM210-AM161</f>
        <v>0</v>
      </c>
      <c r="AN211" s="28">
        <f t="shared" ref="AN211:CD211" si="2062">AN210-AN161</f>
        <v>0</v>
      </c>
      <c r="AO211" s="28">
        <f t="shared" si="2062"/>
        <v>0</v>
      </c>
      <c r="AP211" s="28">
        <f t="shared" si="2062"/>
        <v>-1.7053025658242404E-13</v>
      </c>
      <c r="AQ211" s="28">
        <f t="shared" si="2062"/>
        <v>0</v>
      </c>
      <c r="AR211" s="28">
        <f t="shared" si="2062"/>
        <v>7.7271522513910895E-14</v>
      </c>
      <c r="AS211" s="28">
        <f t="shared" si="2062"/>
        <v>0</v>
      </c>
      <c r="AT211" s="28">
        <f t="shared" si="2062"/>
        <v>-2.0250467969162855E-13</v>
      </c>
      <c r="AU211" s="28">
        <f t="shared" si="2062"/>
        <v>0</v>
      </c>
      <c r="AV211" s="28">
        <f t="shared" si="2062"/>
        <v>1.9539925233402755E-13</v>
      </c>
      <c r="AW211" s="28">
        <f t="shared" si="2062"/>
        <v>0</v>
      </c>
      <c r="AX211" s="28">
        <f t="shared" si="2062"/>
        <v>-1.3677947663381929E-13</v>
      </c>
      <c r="AY211" s="28">
        <f t="shared" si="2062"/>
        <v>0</v>
      </c>
      <c r="AZ211" s="28">
        <f t="shared" si="2062"/>
        <v>6.2172489379008766E-14</v>
      </c>
      <c r="BA211" s="28">
        <f t="shared" si="2062"/>
        <v>0</v>
      </c>
      <c r="BB211" s="28">
        <f t="shared" si="2062"/>
        <v>-5.6843418860808015E-14</v>
      </c>
      <c r="BC211" s="28">
        <f t="shared" si="2062"/>
        <v>0</v>
      </c>
      <c r="BD211" s="28">
        <f t="shared" si="2062"/>
        <v>1.1013412404281553E-13</v>
      </c>
      <c r="BE211" s="28">
        <f t="shared" si="2062"/>
        <v>0</v>
      </c>
      <c r="BF211" s="28">
        <f t="shared" si="2062"/>
        <v>-2.2737367544323206E-13</v>
      </c>
      <c r="BG211" s="28">
        <f t="shared" si="2062"/>
        <v>0</v>
      </c>
      <c r="BH211" s="28">
        <f t="shared" si="2062"/>
        <v>0</v>
      </c>
      <c r="BI211" s="28">
        <f t="shared" si="2062"/>
        <v>0</v>
      </c>
      <c r="BJ211" s="28">
        <f t="shared" si="2062"/>
        <v>0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3.1263880373444408E-13</v>
      </c>
      <c r="BQ211" s="28">
        <f t="shared" si="2062"/>
        <v>0</v>
      </c>
      <c r="BR211" s="28">
        <f t="shared" si="2062"/>
        <v>0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3.1263880373444408E-13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2.2737367544323206E-13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35.471799999999988</v>
      </c>
      <c r="D213" s="22">
        <f t="shared" si="2067"/>
        <v>47.76789999999999</v>
      </c>
      <c r="E213" s="22">
        <f t="shared" si="2067"/>
        <v>42.907399999999889</v>
      </c>
      <c r="F213" s="22">
        <f t="shared" si="2067"/>
        <v>-21.91559999999992</v>
      </c>
      <c r="G213" s="22">
        <f t="shared" si="2067"/>
        <v>27.643299999999947</v>
      </c>
      <c r="H213" s="22">
        <f t="shared" si="2067"/>
        <v>-103.87869999999995</v>
      </c>
      <c r="I213" s="22">
        <f t="shared" si="2067"/>
        <v>-83.856299999999834</v>
      </c>
      <c r="J213" s="22">
        <f>J199+J201</f>
        <v>-41.102200000000074</v>
      </c>
      <c r="K213" s="22">
        <f t="shared" si="2067"/>
        <v>80.167299999999969</v>
      </c>
      <c r="L213" s="22">
        <f t="shared" si="2067"/>
        <v>-128.44779999999997</v>
      </c>
      <c r="M213" s="22">
        <f t="shared" si="2067"/>
        <v>162.03049999999985</v>
      </c>
      <c r="N213" s="22">
        <f t="shared" si="2067"/>
        <v>-179.3236</v>
      </c>
      <c r="O213" s="22">
        <f t="shared" si="2067"/>
        <v>6.7995000000000445</v>
      </c>
      <c r="P213" s="22">
        <f t="shared" si="2067"/>
        <v>29.187899999999971</v>
      </c>
      <c r="Q213" s="22">
        <f t="shared" si="2067"/>
        <v>33.181999999999817</v>
      </c>
      <c r="R213" s="22">
        <f t="shared" si="2067"/>
        <v>110.83590000000011</v>
      </c>
      <c r="S213" s="22">
        <f t="shared" si="2067"/>
        <v>147.97999999999985</v>
      </c>
      <c r="T213" s="22">
        <f t="shared" si="2067"/>
        <v>244.30000000000004</v>
      </c>
      <c r="U213" s="22">
        <f t="shared" si="2067"/>
        <v>157.09999999999991</v>
      </c>
      <c r="V213" s="22">
        <f t="shared" si="2067"/>
        <v>-134.06999999999991</v>
      </c>
      <c r="W213" s="22">
        <f t="shared" si="2067"/>
        <v>124.75999999999988</v>
      </c>
      <c r="X213" s="22">
        <f t="shared" ref="X213:Y213" si="2068">X199+X201</f>
        <v>186.55000000000035</v>
      </c>
      <c r="Y213" s="22">
        <f t="shared" si="2068"/>
        <v>85.019999999999953</v>
      </c>
      <c r="Z213" s="22">
        <f t="shared" ref="Z213:AA213" si="2069">Z199+Z201</f>
        <v>35.690000000000197</v>
      </c>
      <c r="AA213" s="22">
        <f t="shared" si="2069"/>
        <v>-416.04000000000008</v>
      </c>
      <c r="AB213" s="21">
        <f t="shared" ref="AA213:AD213" si="2070">AB199+AB201</f>
        <v>122.76584198035729</v>
      </c>
      <c r="AC213" s="21">
        <f t="shared" si="2070"/>
        <v>151.81608985825901</v>
      </c>
      <c r="AD213" s="21">
        <f t="shared" si="2070"/>
        <v>165.71402105689194</v>
      </c>
      <c r="AE213" s="21">
        <f t="shared" ref="AE213" si="2071">AE199+AE201</f>
        <v>178.39531406799341</v>
      </c>
      <c r="AI213" s="22">
        <f t="shared" ref="AI213" si="2072">AI199+AI201</f>
        <v>5.93</v>
      </c>
      <c r="AJ213" s="22">
        <f t="shared" ref="AJ213:AL213" si="2073">AJ199+AJ201</f>
        <v>-480.07</v>
      </c>
      <c r="AK213" s="22">
        <f t="shared" si="2073"/>
        <v>3.1742879715583214</v>
      </c>
      <c r="AL213" s="22">
        <f t="shared" si="2073"/>
        <v>-169.81428797155831</v>
      </c>
      <c r="AM213" s="22">
        <f t="shared" ref="AM213" si="2074">AM199+AM201</f>
        <v>17.596229579234816</v>
      </c>
      <c r="AN213" s="22">
        <f t="shared" ref="AN213:CD213" si="2075">AN199+AN201</f>
        <v>-10.38622957923489</v>
      </c>
      <c r="AO213" s="22">
        <f t="shared" si="2075"/>
        <v>2.0981799179680962</v>
      </c>
      <c r="AP213" s="22">
        <f t="shared" si="2075"/>
        <v>-32.148179917968136</v>
      </c>
      <c r="AQ213" s="22">
        <f t="shared" si="2075"/>
        <v>19.443557966478934</v>
      </c>
      <c r="AR213" s="22">
        <f t="shared" si="2075"/>
        <v>0.45644203352108725</v>
      </c>
      <c r="AS213" s="22">
        <f t="shared" si="2075"/>
        <v>-5.6488872951711375</v>
      </c>
      <c r="AT213" s="22">
        <f t="shared" si="2075"/>
        <v>28.368887295170925</v>
      </c>
      <c r="AU213" s="22">
        <f t="shared" si="2075"/>
        <v>13.052112495184229</v>
      </c>
      <c r="AV213" s="22">
        <f t="shared" si="2075"/>
        <v>-10.462112495184048</v>
      </c>
      <c r="AW213" s="22">
        <f t="shared" si="2075"/>
        <v>7.4814929797834218</v>
      </c>
      <c r="AX213" s="22">
        <f t="shared" si="2075"/>
        <v>24.488507020216389</v>
      </c>
      <c r="AY213" s="22">
        <f t="shared" si="2075"/>
        <v>31.287273191779228</v>
      </c>
      <c r="AZ213" s="22">
        <f t="shared" si="2075"/>
        <v>14.822726808220899</v>
      </c>
      <c r="BA213" s="22">
        <f t="shared" si="2075"/>
        <v>32.148889334256609</v>
      </c>
      <c r="BB213" s="22">
        <f t="shared" si="2075"/>
        <v>34.791110665743474</v>
      </c>
      <c r="BC213" s="22">
        <f t="shared" si="2075"/>
        <v>34.704624020334649</v>
      </c>
      <c r="BD213" s="22">
        <f t="shared" si="2075"/>
        <v>-2.9046240203345519</v>
      </c>
      <c r="BE213" s="22">
        <f t="shared" si="2075"/>
        <v>8.9385946849701341</v>
      </c>
      <c r="BF213" s="22">
        <f t="shared" si="2075"/>
        <v>110.37140531502966</v>
      </c>
      <c r="BG213" s="22">
        <f t="shared" si="2075"/>
        <v>32.373020983041194</v>
      </c>
      <c r="BH213" s="22">
        <f t="shared" si="2075"/>
        <v>64.076979016958987</v>
      </c>
      <c r="BI213" s="22">
        <f t="shared" si="2075"/>
        <v>47.770258074252922</v>
      </c>
      <c r="BJ213" s="22">
        <f t="shared" si="2075"/>
        <v>88.10974192574696</v>
      </c>
      <c r="BK213" s="22">
        <f t="shared" si="2075"/>
        <v>28.534961618598601</v>
      </c>
      <c r="BL213" s="22">
        <f t="shared" si="2075"/>
        <v>-29.034961618598473</v>
      </c>
      <c r="BM213" s="22">
        <f t="shared" si="2075"/>
        <v>47.418417736289399</v>
      </c>
      <c r="BN213" s="22">
        <f t="shared" si="2075"/>
        <v>68.361582263710432</v>
      </c>
      <c r="BO213" s="22">
        <f t="shared" si="2075"/>
        <v>50.648905815877455</v>
      </c>
      <c r="BP213" s="22">
        <f t="shared" si="2075"/>
        <v>-206.31890581587734</v>
      </c>
      <c r="BQ213" s="22">
        <f t="shared" si="2075"/>
        <v>-13.645692062225766</v>
      </c>
      <c r="BR213" s="22">
        <f t="shared" si="2075"/>
        <v>31.925692062225636</v>
      </c>
      <c r="BS213" s="22">
        <f t="shared" si="2075"/>
        <v>65.957180761840874</v>
      </c>
      <c r="BT213" s="22">
        <f t="shared" si="2075"/>
        <v>-124.8971807618409</v>
      </c>
      <c r="BU213" s="22">
        <f t="shared" si="2075"/>
        <v>4.7649493975904065</v>
      </c>
      <c r="BV213" s="22">
        <f t="shared" si="2075"/>
        <v>178.67505060240973</v>
      </c>
      <c r="BW213" s="22">
        <f t="shared" si="2075"/>
        <v>62.850636120429812</v>
      </c>
      <c r="BX213" s="22">
        <f t="shared" si="2075"/>
        <v>-196.73063612042981</v>
      </c>
      <c r="BY213" s="22">
        <f t="shared" si="2075"/>
        <v>109.40627966571684</v>
      </c>
      <c r="BZ213" s="22">
        <f t="shared" si="2075"/>
        <v>211.01372033428311</v>
      </c>
      <c r="CA213" s="22">
        <f t="shared" si="2075"/>
        <v>98.160865886211667</v>
      </c>
      <c r="CB213" s="22">
        <f t="shared" si="2075"/>
        <v>3.7691341137881693</v>
      </c>
      <c r="CC213" s="22">
        <f t="shared" si="2075"/>
        <v>20.097241969312307</v>
      </c>
      <c r="CD213" s="22">
        <f t="shared" si="2075"/>
        <v>-37.007241969312361</v>
      </c>
      <c r="CE213" s="22">
        <f t="shared" ref="CE213:CF213" si="2076">CE199+CE201</f>
        <v>69.101106723763991</v>
      </c>
      <c r="CF213" s="22">
        <f t="shared" si="2076"/>
        <v>15.038893276236145</v>
      </c>
      <c r="CG213" s="22">
        <f t="shared" ref="CG213:CH213" si="2077">CG199+CG201</f>
        <v>-2.4310595527894172</v>
      </c>
      <c r="CH213" s="22">
        <f t="shared" si="2077"/>
        <v>-46.018940447210568</v>
      </c>
      <c r="CI213" s="22">
        <f t="shared" ref="CI213:CJ213" si="2078">CI199+CI201</f>
        <v>122.23181049069382</v>
      </c>
      <c r="CJ213" s="22">
        <f t="shared" si="2078"/>
        <v>-235.38181049069397</v>
      </c>
      <c r="CK213" s="21">
        <f t="shared" ref="CK213:DB213" si="2079">CK199+CK201</f>
        <v>-30.852162162162188</v>
      </c>
      <c r="CL213" s="22">
        <f t="shared" si="2079"/>
        <v>-272.03783783783763</v>
      </c>
      <c r="CM213" s="21">
        <f t="shared" si="2079"/>
        <v>352.07850777625418</v>
      </c>
      <c r="CN213" s="21">
        <f t="shared" si="2079"/>
        <v>84.092996100440459</v>
      </c>
      <c r="CO213" s="21">
        <f t="shared" si="2079"/>
        <v>-35.086559057172764</v>
      </c>
      <c r="CP213" s="21">
        <f t="shared" si="2079"/>
        <v>-278.31910283916534</v>
      </c>
      <c r="CQ213" s="21">
        <f t="shared" si="2079"/>
        <v>383.51530163741023</v>
      </c>
      <c r="CR213" s="21">
        <f t="shared" si="2079"/>
        <v>82.011947219471224</v>
      </c>
      <c r="CS213" s="21">
        <f t="shared" si="2079"/>
        <v>-35.891541604228614</v>
      </c>
      <c r="CT213" s="21">
        <f t="shared" si="2079"/>
        <v>-277.8196173943939</v>
      </c>
      <c r="CU213" s="21">
        <f t="shared" si="2079"/>
        <v>392.02918738898654</v>
      </c>
      <c r="CV213" s="21">
        <f t="shared" si="2079"/>
        <v>83.805409788829763</v>
      </c>
      <c r="CW213" s="21">
        <f t="shared" si="2079"/>
        <v>-33.806680890947021</v>
      </c>
      <c r="CX213" s="21">
        <f t="shared" si="2079"/>
        <v>-276.31389522997739</v>
      </c>
      <c r="CY213" s="21">
        <f t="shared" si="2079"/>
        <v>397.39348865172849</v>
      </c>
      <c r="CZ213" s="21">
        <f t="shared" si="2079"/>
        <v>86.851076608195584</v>
      </c>
      <c r="DA213" s="21">
        <f t="shared" si="2079"/>
        <v>-31.096755007320482</v>
      </c>
      <c r="DB213" s="21">
        <f t="shared" si="2079"/>
        <v>-274.75249618461044</v>
      </c>
      <c r="DE213" s="126"/>
      <c r="DF213" s="22">
        <v>-416.03999999999991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833.79</v>
      </c>
      <c r="AM225" s="66">
        <f t="shared" si="2080"/>
        <v>851.91</v>
      </c>
      <c r="AN225" s="66">
        <f t="shared" si="2080"/>
        <v>902.95</v>
      </c>
      <c r="AO225" s="66">
        <f t="shared" si="2080"/>
        <v>955.22</v>
      </c>
      <c r="AP225" s="66">
        <f t="shared" si="2080"/>
        <v>1012.0300000000001</v>
      </c>
      <c r="AQ225" s="66">
        <f t="shared" si="2080"/>
        <v>1008.3300000000002</v>
      </c>
      <c r="AR225" s="66">
        <f t="shared" si="2080"/>
        <v>984.83999999999992</v>
      </c>
      <c r="AS225" s="66">
        <f t="shared" si="2080"/>
        <v>990.22</v>
      </c>
      <c r="AT225" s="66">
        <f t="shared" si="2080"/>
        <v>1014.1199999999999</v>
      </c>
      <c r="AU225" s="66">
        <f t="shared" si="2080"/>
        <v>1037.94</v>
      </c>
      <c r="AV225" s="66">
        <f t="shared" si="2080"/>
        <v>1038.8899999999999</v>
      </c>
      <c r="AW225" s="66">
        <f t="shared" si="2080"/>
        <v>1005.24</v>
      </c>
      <c r="AX225" s="66">
        <f t="shared" si="2080"/>
        <v>1031.5</v>
      </c>
      <c r="AY225" s="66">
        <f t="shared" si="2080"/>
        <v>1035.83</v>
      </c>
      <c r="AZ225" s="66">
        <f t="shared" si="2080"/>
        <v>1064.92</v>
      </c>
      <c r="BA225" s="66">
        <f t="shared" si="2080"/>
        <v>1130.6599999999999</v>
      </c>
      <c r="BB225" s="66">
        <f t="shared" si="2080"/>
        <v>1107.6100000000001</v>
      </c>
      <c r="BC225" s="66">
        <f t="shared" si="2080"/>
        <v>1104.42</v>
      </c>
      <c r="BD225" s="66">
        <f t="shared" si="2080"/>
        <v>1071.5900000000001</v>
      </c>
      <c r="BE225" s="66">
        <f t="shared" si="2080"/>
        <v>1075.43</v>
      </c>
      <c r="BF225" s="66">
        <f t="shared" si="2080"/>
        <v>1108.6399999999999</v>
      </c>
      <c r="BG225" s="66">
        <f t="shared" si="2080"/>
        <v>1144.9000000000001</v>
      </c>
      <c r="BH225" s="66">
        <f t="shared" si="2080"/>
        <v>1248.92</v>
      </c>
      <c r="BI225" s="66">
        <f t="shared" si="2080"/>
        <v>1308.6499999999999</v>
      </c>
      <c r="BJ225" s="66">
        <f t="shared" si="2080"/>
        <v>1325.51</v>
      </c>
      <c r="BK225" s="66">
        <f t="shared" si="2080"/>
        <v>1329.1200000000001</v>
      </c>
      <c r="BL225" s="66">
        <f t="shared" si="2080"/>
        <v>1297.77</v>
      </c>
      <c r="BM225" s="66">
        <f t="shared" si="2080"/>
        <v>1228.68</v>
      </c>
      <c r="BN225" s="66">
        <f t="shared" si="2080"/>
        <v>1184.25</v>
      </c>
      <c r="BO225" s="66">
        <f t="shared" si="2080"/>
        <v>1044.97</v>
      </c>
      <c r="BP225" s="66">
        <f t="shared" si="2080"/>
        <v>895.43999999999994</v>
      </c>
      <c r="BQ225" s="66">
        <f t="shared" si="2080"/>
        <v>774.49999999999989</v>
      </c>
      <c r="BR225" s="66">
        <f t="shared" ref="BR225:CW225" si="2081">SUM(BO10:BR10)</f>
        <v>782.06</v>
      </c>
      <c r="BS225" s="66">
        <f t="shared" si="2081"/>
        <v>860.88999999999987</v>
      </c>
      <c r="BT225" s="66">
        <f t="shared" si="2081"/>
        <v>1042.47</v>
      </c>
      <c r="BU225" s="66">
        <f t="shared" si="2081"/>
        <v>1212.1100000000001</v>
      </c>
      <c r="BV225" s="66">
        <f t="shared" si="2081"/>
        <v>1355.2</v>
      </c>
      <c r="BW225" s="66">
        <f t="shared" si="2081"/>
        <v>1568.0500000000002</v>
      </c>
      <c r="BX225" s="66">
        <f t="shared" si="2081"/>
        <v>1758.96</v>
      </c>
      <c r="BY225" s="66">
        <f t="shared" si="2081"/>
        <v>1980.6100000000001</v>
      </c>
      <c r="BZ225" s="66">
        <f t="shared" si="2081"/>
        <v>2082.7999999999997</v>
      </c>
      <c r="CA225" s="66">
        <f t="shared" si="2081"/>
        <v>2078.46</v>
      </c>
      <c r="CB225" s="66">
        <f t="shared" si="2081"/>
        <v>1917.9099999999999</v>
      </c>
      <c r="CC225" s="66">
        <f t="shared" si="2081"/>
        <v>1835.57</v>
      </c>
      <c r="CD225" s="66">
        <f t="shared" si="2081"/>
        <v>1801.83</v>
      </c>
      <c r="CE225" s="66">
        <f t="shared" si="2081"/>
        <v>1797.49</v>
      </c>
      <c r="CF225" s="66">
        <f t="shared" si="2081"/>
        <v>1833.6000000000001</v>
      </c>
      <c r="CG225" s="66">
        <f t="shared" si="2081"/>
        <v>1791.46</v>
      </c>
      <c r="CH225" s="66">
        <f t="shared" si="2081"/>
        <v>1754.38</v>
      </c>
      <c r="CI225" s="66">
        <f t="shared" si="2081"/>
        <v>1717.5500000000002</v>
      </c>
      <c r="CJ225" s="66">
        <f t="shared" si="2081"/>
        <v>1665.3999999999999</v>
      </c>
      <c r="CK225" s="50">
        <f t="shared" si="2081"/>
        <v>1620.9499999999998</v>
      </c>
      <c r="CL225" s="66">
        <f t="shared" si="2081"/>
        <v>1710.44</v>
      </c>
      <c r="CM225" s="50">
        <f t="shared" si="2081"/>
        <v>1696.6606437668179</v>
      </c>
      <c r="CN225" s="50">
        <f t="shared" si="2081"/>
        <v>1688.735144686992</v>
      </c>
      <c r="CO225" s="50">
        <f t="shared" si="2081"/>
        <v>1690.3262942836941</v>
      </c>
      <c r="CP225" s="50">
        <f t="shared" si="2081"/>
        <v>1708.6166968746261</v>
      </c>
      <c r="CQ225" s="50">
        <f t="shared" si="2081"/>
        <v>1706.4221640944447</v>
      </c>
      <c r="CR225" s="50">
        <f t="shared" si="2081"/>
        <v>1706.9489487829687</v>
      </c>
      <c r="CS225" s="50">
        <f t="shared" si="2081"/>
        <v>1709.9274046428761</v>
      </c>
      <c r="CT225" s="50">
        <f t="shared" si="2081"/>
        <v>1715.1475032994877</v>
      </c>
      <c r="CU225" s="50">
        <f t="shared" si="2081"/>
        <v>1716.2441674385891</v>
      </c>
      <c r="CV225" s="50">
        <f t="shared" si="2081"/>
        <v>1718.002161583297</v>
      </c>
      <c r="CW225" s="50">
        <f t="shared" si="2081"/>
        <v>1720.3878924597159</v>
      </c>
      <c r="CX225" s="50">
        <f t="shared" ref="CX225:DB225" si="2082">SUM(CU10:CX10)</f>
        <v>1723.8962986581146</v>
      </c>
      <c r="CY225" s="50">
        <f t="shared" si="2082"/>
        <v>1725.7444357752552</v>
      </c>
      <c r="CZ225" s="50">
        <f t="shared" si="2082"/>
        <v>1727.6157041968045</v>
      </c>
      <c r="DA225" s="50">
        <f t="shared" si="2082"/>
        <v>1729.8090476223633</v>
      </c>
      <c r="DB225" s="50">
        <f t="shared" si="2082"/>
        <v>1733.1743001937541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105.23</v>
      </c>
      <c r="AM226" s="66">
        <f t="shared" si="2083"/>
        <v>109.57000000000002</v>
      </c>
      <c r="AN226" s="66">
        <f t="shared" si="2083"/>
        <v>112.34999999999997</v>
      </c>
      <c r="AO226" s="66">
        <f t="shared" si="2083"/>
        <v>112.08000000000001</v>
      </c>
      <c r="AP226" s="66">
        <f t="shared" si="2083"/>
        <v>124.82000000000002</v>
      </c>
      <c r="AQ226" s="66">
        <f t="shared" si="2083"/>
        <v>117.67000000000003</v>
      </c>
      <c r="AR226" s="66">
        <f t="shared" si="2083"/>
        <v>115.55000000000005</v>
      </c>
      <c r="AS226" s="66">
        <f t="shared" si="2083"/>
        <v>111.74000000000004</v>
      </c>
      <c r="AT226" s="66">
        <f t="shared" si="2083"/>
        <v>89.279999999999959</v>
      </c>
      <c r="AU226" s="66">
        <f t="shared" si="2083"/>
        <v>87.439999999999927</v>
      </c>
      <c r="AV226" s="66">
        <f t="shared" si="2083"/>
        <v>85.339999999999961</v>
      </c>
      <c r="AW226" s="66">
        <f t="shared" si="2083"/>
        <v>86.189999999999927</v>
      </c>
      <c r="AX226" s="66">
        <f t="shared" si="2083"/>
        <v>107.03999999999995</v>
      </c>
      <c r="AY226" s="66">
        <f t="shared" si="2083"/>
        <v>127.33999999999996</v>
      </c>
      <c r="AZ226" s="66">
        <f t="shared" si="2083"/>
        <v>151.67999999999998</v>
      </c>
      <c r="BA226" s="66">
        <f t="shared" si="2083"/>
        <v>189.82000000000005</v>
      </c>
      <c r="BB226" s="66">
        <f t="shared" si="2083"/>
        <v>213.69000000000017</v>
      </c>
      <c r="BC226" s="66">
        <f t="shared" si="2083"/>
        <v>209.80000000000013</v>
      </c>
      <c r="BD226" s="66">
        <f t="shared" si="2083"/>
        <v>208.03000000000009</v>
      </c>
      <c r="BE226" s="66">
        <f t="shared" si="2083"/>
        <v>197.03000000000009</v>
      </c>
      <c r="BF226" s="66">
        <f t="shared" si="2083"/>
        <v>207.18999999999997</v>
      </c>
      <c r="BG226" s="66">
        <f t="shared" si="2083"/>
        <v>214.68999999999997</v>
      </c>
      <c r="BH226" s="66">
        <f t="shared" si="2083"/>
        <v>248.75999999999993</v>
      </c>
      <c r="BI226" s="66">
        <f t="shared" si="2083"/>
        <v>284.18999999999994</v>
      </c>
      <c r="BJ226" s="66">
        <f t="shared" si="2083"/>
        <v>295.85000000000002</v>
      </c>
      <c r="BK226" s="66">
        <f t="shared" si="2083"/>
        <v>310.75</v>
      </c>
      <c r="BL226" s="66">
        <f t="shared" si="2083"/>
        <v>300.77000000000004</v>
      </c>
      <c r="BM226" s="66">
        <f t="shared" si="2083"/>
        <v>285.37</v>
      </c>
      <c r="BN226" s="66">
        <f t="shared" si="2083"/>
        <v>266.93999999999994</v>
      </c>
      <c r="BO226" s="66">
        <f t="shared" si="2083"/>
        <v>236.14999999999995</v>
      </c>
      <c r="BP226" s="66">
        <f t="shared" si="2083"/>
        <v>192.02999999999992</v>
      </c>
      <c r="BQ226" s="66">
        <f t="shared" si="2083"/>
        <v>137.99999999999994</v>
      </c>
      <c r="BR226" s="66">
        <f t="shared" ref="BR226:CW226" si="2084">SUM(BO28:BR28)</f>
        <v>107.54999999999997</v>
      </c>
      <c r="BS226" s="66">
        <f t="shared" si="2084"/>
        <v>107.42999999999995</v>
      </c>
      <c r="BT226" s="66">
        <f t="shared" si="2084"/>
        <v>119.34999999999997</v>
      </c>
      <c r="BU226" s="66">
        <f t="shared" si="2084"/>
        <v>120.80000000000001</v>
      </c>
      <c r="BV226" s="66">
        <f t="shared" si="2084"/>
        <v>165.71000000000004</v>
      </c>
      <c r="BW226" s="66">
        <f t="shared" si="2084"/>
        <v>222.16000000000005</v>
      </c>
      <c r="BX226" s="66">
        <f t="shared" si="2084"/>
        <v>321.85000000000002</v>
      </c>
      <c r="BY226" s="66">
        <f t="shared" si="2084"/>
        <v>456.44000000000005</v>
      </c>
      <c r="BZ226" s="66">
        <f t="shared" si="2084"/>
        <v>534.12999999999988</v>
      </c>
      <c r="CA226" s="66">
        <f t="shared" si="2084"/>
        <v>541.42000000000007</v>
      </c>
      <c r="CB226" s="66">
        <f t="shared" si="2084"/>
        <v>491.18999999999994</v>
      </c>
      <c r="CC226" s="66">
        <f t="shared" si="2084"/>
        <v>429.02</v>
      </c>
      <c r="CD226" s="66">
        <f t="shared" si="2084"/>
        <v>339.91999999999996</v>
      </c>
      <c r="CE226" s="66">
        <f t="shared" si="2084"/>
        <v>292.62999999999988</v>
      </c>
      <c r="CF226" s="66">
        <f t="shared" si="2084"/>
        <v>233.95999999999995</v>
      </c>
      <c r="CG226" s="66">
        <f t="shared" si="2084"/>
        <v>153.92999999999989</v>
      </c>
      <c r="CH226" s="66">
        <f t="shared" si="2084"/>
        <v>111.40999999999997</v>
      </c>
      <c r="CI226" s="66">
        <f t="shared" si="2084"/>
        <v>84.90999999999994</v>
      </c>
      <c r="CJ226" s="66">
        <f t="shared" si="2084"/>
        <v>80.469999999999914</v>
      </c>
      <c r="CK226" s="50">
        <f t="shared" si="2084"/>
        <v>97.539999999999964</v>
      </c>
      <c r="CL226" s="66">
        <f t="shared" si="2084"/>
        <v>95.910000000000053</v>
      </c>
      <c r="CM226" s="50">
        <f t="shared" si="2084"/>
        <v>96.429294584573128</v>
      </c>
      <c r="CN226" s="50">
        <f t="shared" si="2084"/>
        <v>90.298521112778786</v>
      </c>
      <c r="CO226" s="50">
        <f t="shared" si="2084"/>
        <v>87.155680173051422</v>
      </c>
      <c r="CP226" s="50">
        <f t="shared" si="2084"/>
        <v>96.164992577112315</v>
      </c>
      <c r="CQ226" s="50">
        <f t="shared" si="2084"/>
        <v>95.327563089295055</v>
      </c>
      <c r="CR226" s="50">
        <f t="shared" si="2084"/>
        <v>94.254324892318436</v>
      </c>
      <c r="CS226" s="50">
        <f t="shared" si="2084"/>
        <v>94.423819977108252</v>
      </c>
      <c r="CT226" s="50">
        <f t="shared" si="2084"/>
        <v>95.995694027071892</v>
      </c>
      <c r="CU226" s="50">
        <f t="shared" si="2084"/>
        <v>95.774058160040227</v>
      </c>
      <c r="CV226" s="50">
        <f t="shared" si="2084"/>
        <v>95.710105397793086</v>
      </c>
      <c r="CW226" s="50">
        <f t="shared" si="2084"/>
        <v>95.927938572245893</v>
      </c>
      <c r="CX226" s="50">
        <f t="shared" ref="CX226:DB226" si="2085">SUM(CU28:CX28)</f>
        <v>96.288788079392873</v>
      </c>
      <c r="CY226" s="50">
        <f t="shared" si="2085"/>
        <v>96.321654902366816</v>
      </c>
      <c r="CZ226" s="50">
        <f t="shared" si="2085"/>
        <v>96.410485877187298</v>
      </c>
      <c r="DA226" s="50">
        <f t="shared" si="2085"/>
        <v>96.5574268914404</v>
      </c>
      <c r="DB226" s="50">
        <f t="shared" si="2085"/>
        <v>96.75994757322502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20.520000000000003</v>
      </c>
      <c r="AM227" s="66">
        <f t="shared" si="2086"/>
        <v>21.380000000000024</v>
      </c>
      <c r="AN227" s="66">
        <f t="shared" si="2086"/>
        <v>21.76999999999996</v>
      </c>
      <c r="AO227" s="66">
        <f t="shared" si="2086"/>
        <v>21.850000000000009</v>
      </c>
      <c r="AP227" s="66">
        <f t="shared" si="2086"/>
        <v>26.790000000000017</v>
      </c>
      <c r="AQ227" s="66">
        <f t="shared" si="2086"/>
        <v>25.030000000000022</v>
      </c>
      <c r="AR227" s="66">
        <f t="shared" si="2086"/>
        <v>29.430000000000049</v>
      </c>
      <c r="AS227" s="66">
        <f t="shared" si="2086"/>
        <v>29.980000000000036</v>
      </c>
      <c r="AT227" s="66">
        <f t="shared" si="2086"/>
        <v>20.569999999999958</v>
      </c>
      <c r="AU227" s="66">
        <f t="shared" si="2086"/>
        <v>20.929999999999929</v>
      </c>
      <c r="AV227" s="66">
        <f t="shared" si="2086"/>
        <v>18.029999999999959</v>
      </c>
      <c r="AW227" s="66">
        <f t="shared" si="2086"/>
        <v>19.509999999999927</v>
      </c>
      <c r="AX227" s="66">
        <f t="shared" si="2086"/>
        <v>35.579999999999956</v>
      </c>
      <c r="AY227" s="66">
        <f t="shared" si="2086"/>
        <v>54.30999999999996</v>
      </c>
      <c r="AZ227" s="66">
        <f t="shared" si="2086"/>
        <v>77.809999999999974</v>
      </c>
      <c r="BA227" s="66">
        <f t="shared" si="2086"/>
        <v>108.17000000000004</v>
      </c>
      <c r="BB227" s="66">
        <f t="shared" si="2086"/>
        <v>128.05000000000018</v>
      </c>
      <c r="BC227" s="66">
        <f t="shared" si="2086"/>
        <v>125.68000000000013</v>
      </c>
      <c r="BD227" s="66">
        <f t="shared" si="2086"/>
        <v>121.25000000000011</v>
      </c>
      <c r="BE227" s="66">
        <f t="shared" si="2086"/>
        <v>112.84000000000009</v>
      </c>
      <c r="BF227" s="66">
        <f t="shared" si="2086"/>
        <v>118.04999999999997</v>
      </c>
      <c r="BG227" s="66">
        <f t="shared" si="2086"/>
        <v>123.20999999999998</v>
      </c>
      <c r="BH227" s="66">
        <f t="shared" si="2086"/>
        <v>147.11999999999995</v>
      </c>
      <c r="BI227" s="66">
        <f t="shared" si="2086"/>
        <v>171.58999999999992</v>
      </c>
      <c r="BJ227" s="66">
        <f t="shared" si="2086"/>
        <v>189.73</v>
      </c>
      <c r="BK227" s="66">
        <f t="shared" si="2086"/>
        <v>201.68</v>
      </c>
      <c r="BL227" s="66">
        <f t="shared" si="2086"/>
        <v>197.81000000000006</v>
      </c>
      <c r="BM227" s="66">
        <f t="shared" si="2086"/>
        <v>190.80999999999997</v>
      </c>
      <c r="BN227" s="66">
        <f t="shared" si="2086"/>
        <v>173.06999999999996</v>
      </c>
      <c r="BO227" s="66">
        <f t="shared" si="2086"/>
        <v>152.11999999999992</v>
      </c>
      <c r="BP227" s="66">
        <f t="shared" si="2086"/>
        <v>121.30999999999992</v>
      </c>
      <c r="BQ227" s="66">
        <f t="shared" si="2086"/>
        <v>82.239999999999952</v>
      </c>
      <c r="BR227" s="66">
        <f t="shared" ref="BR227:CW227" si="2087">SUM(BO41:BR41)</f>
        <v>99.299999999999955</v>
      </c>
      <c r="BS227" s="66">
        <f t="shared" si="2087"/>
        <v>99.989999999999938</v>
      </c>
      <c r="BT227" s="66">
        <f t="shared" si="2087"/>
        <v>108.41999999999994</v>
      </c>
      <c r="BU227" s="66">
        <f t="shared" si="2087"/>
        <v>109.86</v>
      </c>
      <c r="BV227" s="66">
        <f t="shared" si="2087"/>
        <v>102.00000000000003</v>
      </c>
      <c r="BW227" s="66">
        <f t="shared" si="2087"/>
        <v>143.09000000000006</v>
      </c>
      <c r="BX227" s="66">
        <f t="shared" si="2087"/>
        <v>219.49</v>
      </c>
      <c r="BY227" s="66">
        <f t="shared" si="2087"/>
        <v>323.02999999999997</v>
      </c>
      <c r="BZ227" s="66">
        <f t="shared" si="2087"/>
        <v>385.28999999999996</v>
      </c>
      <c r="CA227" s="66">
        <f t="shared" si="2087"/>
        <v>395.4899999999999</v>
      </c>
      <c r="CB227" s="66">
        <f t="shared" si="2087"/>
        <v>364.27</v>
      </c>
      <c r="CC227" s="66">
        <f t="shared" si="2087"/>
        <v>320.57999999999993</v>
      </c>
      <c r="CD227" s="66">
        <f t="shared" si="2087"/>
        <v>257.87999999999988</v>
      </c>
      <c r="CE227" s="66">
        <f t="shared" si="2087"/>
        <v>224.7299999999999</v>
      </c>
      <c r="CF227" s="66">
        <f t="shared" si="2087"/>
        <v>180.39999999999995</v>
      </c>
      <c r="CG227" s="66">
        <f t="shared" si="2087"/>
        <v>130.4499999999999</v>
      </c>
      <c r="CH227" s="66">
        <f t="shared" si="2087"/>
        <v>102.97999999999996</v>
      </c>
      <c r="CI227" s="66">
        <f t="shared" si="2087"/>
        <v>82.489999999999952</v>
      </c>
      <c r="CJ227" s="66">
        <f t="shared" si="2087"/>
        <v>75.489999999999924</v>
      </c>
      <c r="CK227" s="50">
        <f t="shared" si="2087"/>
        <v>75.209999999999965</v>
      </c>
      <c r="CL227" s="66">
        <f t="shared" si="2087"/>
        <v>67.000000000000057</v>
      </c>
      <c r="CM227" s="50">
        <f t="shared" si="2087"/>
        <v>61.408816586206065</v>
      </c>
      <c r="CN227" s="50">
        <f t="shared" si="2087"/>
        <v>59.716917987858324</v>
      </c>
      <c r="CO227" s="50">
        <f t="shared" si="2087"/>
        <v>62.961308559686969</v>
      </c>
      <c r="CP227" s="50">
        <f t="shared" si="2087"/>
        <v>71.954577498502118</v>
      </c>
      <c r="CQ227" s="50">
        <f t="shared" si="2087"/>
        <v>74.095348752262836</v>
      </c>
      <c r="CR227" s="50">
        <f t="shared" si="2087"/>
        <v>76.618744997508969</v>
      </c>
      <c r="CS227" s="50">
        <f t="shared" si="2087"/>
        <v>80.014903027885381</v>
      </c>
      <c r="CT227" s="50">
        <f t="shared" si="2087"/>
        <v>84.399477907420163</v>
      </c>
      <c r="CU227" s="50">
        <f t="shared" si="2087"/>
        <v>87.488536477344837</v>
      </c>
      <c r="CV227" s="50">
        <f t="shared" si="2087"/>
        <v>90.839978138840749</v>
      </c>
      <c r="CW227" s="50">
        <f t="shared" si="2087"/>
        <v>94.424980700796056</v>
      </c>
      <c r="CX227" s="50">
        <f t="shared" ref="CX227:DB227" si="2088">SUM(CU41:CX41)</f>
        <v>98.145448515247722</v>
      </c>
      <c r="CY227" s="50">
        <f t="shared" si="2088"/>
        <v>101.6494545250749</v>
      </c>
      <c r="CZ227" s="50">
        <f t="shared" si="2088"/>
        <v>105.28631031897373</v>
      </c>
      <c r="DA227" s="50">
        <f t="shared" si="2088"/>
        <v>109.01601031409328</v>
      </c>
      <c r="DB227" s="50">
        <f t="shared" si="2088"/>
        <v>112.83087340434368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262.14069999999998</v>
      </c>
      <c r="C231" s="64">
        <f t="shared" si="2089"/>
        <v>362.20060000000001</v>
      </c>
      <c r="D231" s="64">
        <f t="shared" si="2089"/>
        <v>391.24689999999998</v>
      </c>
      <c r="E231" s="64">
        <f t="shared" si="2089"/>
        <v>418.00389999999999</v>
      </c>
      <c r="F231" s="64">
        <f t="shared" si="2089"/>
        <v>432.1232</v>
      </c>
      <c r="G231" s="64">
        <f t="shared" si="2089"/>
        <v>469.24810000000002</v>
      </c>
      <c r="H231" s="64">
        <f t="shared" si="2089"/>
        <v>503.89510000000001</v>
      </c>
      <c r="I231" s="64">
        <f t="shared" si="2089"/>
        <v>547.23009999999999</v>
      </c>
      <c r="J231" s="64">
        <f t="shared" si="2089"/>
        <v>561.15940000000001</v>
      </c>
      <c r="K231" s="64">
        <f t="shared" si="2089"/>
        <v>528.97230000000002</v>
      </c>
      <c r="L231" s="64">
        <f t="shared" si="2089"/>
        <v>595.14480000000003</v>
      </c>
      <c r="M231" s="64">
        <f t="shared" si="2089"/>
        <v>639.11779999999999</v>
      </c>
      <c r="N231" s="64">
        <f t="shared" si="2089"/>
        <v>880.77940000000001</v>
      </c>
      <c r="O231" s="64">
        <f t="shared" si="2089"/>
        <v>1064.2192</v>
      </c>
      <c r="P231" s="64">
        <f t="shared" si="2089"/>
        <v>1068.521</v>
      </c>
      <c r="Q231" s="64">
        <f t="shared" si="2089"/>
        <v>1077.2476999999999</v>
      </c>
      <c r="R231" s="64">
        <f t="shared" si="2089"/>
        <v>1167.05</v>
      </c>
      <c r="S231" s="64">
        <f t="shared" si="2089"/>
        <v>1169.07</v>
      </c>
      <c r="T231" s="64">
        <f t="shared" si="2089"/>
        <v>1382.32</v>
      </c>
      <c r="U231" s="64">
        <f t="shared" si="2089"/>
        <v>1243.8399999999999</v>
      </c>
      <c r="V231" s="64">
        <f t="shared" si="2089"/>
        <v>821.73</v>
      </c>
      <c r="W231" s="64">
        <f t="shared" si="2089"/>
        <v>1419.19</v>
      </c>
      <c r="X231" s="64">
        <f t="shared" si="2089"/>
        <v>2193.0300000000002</v>
      </c>
      <c r="Y231" s="64">
        <f t="shared" si="2089"/>
        <v>1906.87</v>
      </c>
      <c r="Z231" s="64">
        <f t="shared" si="2089"/>
        <v>1862.07</v>
      </c>
      <c r="AA231" s="64">
        <f t="shared" ref="AA231" si="2090">AA8-AA237</f>
        <v>1821.95</v>
      </c>
      <c r="AB231" s="30"/>
      <c r="AC231" s="30"/>
      <c r="AD231" s="30"/>
      <c r="AE231" s="30"/>
      <c r="AI231" s="64">
        <f t="shared" ref="AI231:BN231" si="2091">AI8-AI237</f>
        <v>199.26</v>
      </c>
      <c r="AJ231" s="64">
        <f t="shared" si="2091"/>
        <v>202.52</v>
      </c>
      <c r="AK231" s="64">
        <f t="shared" si="2091"/>
        <v>201.23999999999998</v>
      </c>
      <c r="AL231" s="64">
        <f t="shared" si="2091"/>
        <v>230.77</v>
      </c>
      <c r="AM231" s="64">
        <f t="shared" si="2091"/>
        <v>217.38</v>
      </c>
      <c r="AN231" s="64">
        <f t="shared" si="2091"/>
        <v>253.56</v>
      </c>
      <c r="AO231" s="64">
        <f t="shared" si="2091"/>
        <v>253.51000000000002</v>
      </c>
      <c r="AP231" s="64">
        <f t="shared" si="2091"/>
        <v>287.58000000000004</v>
      </c>
      <c r="AQ231" s="64">
        <f t="shared" si="2091"/>
        <v>213.68</v>
      </c>
      <c r="AR231" s="64">
        <f t="shared" si="2091"/>
        <v>230.07</v>
      </c>
      <c r="AS231" s="64">
        <f t="shared" si="2091"/>
        <v>258.89</v>
      </c>
      <c r="AT231" s="64">
        <f t="shared" si="2091"/>
        <v>311.47999999999996</v>
      </c>
      <c r="AU231" s="64">
        <f t="shared" si="2091"/>
        <v>237.5</v>
      </c>
      <c r="AV231" s="64">
        <f t="shared" si="2091"/>
        <v>242.87</v>
      </c>
      <c r="AW231" s="64">
        <f t="shared" si="2091"/>
        <v>237.58999999999997</v>
      </c>
      <c r="AX231" s="64">
        <f t="shared" si="2091"/>
        <v>352.28</v>
      </c>
      <c r="AY231" s="64">
        <f t="shared" si="2091"/>
        <v>255.86</v>
      </c>
      <c r="AZ231" s="64">
        <f t="shared" si="2091"/>
        <v>274.43</v>
      </c>
      <c r="BA231" s="64">
        <f t="shared" si="2091"/>
        <v>305.92</v>
      </c>
      <c r="BB231" s="64">
        <f t="shared" si="2091"/>
        <v>330.47</v>
      </c>
      <c r="BC231" s="64">
        <f t="shared" si="2091"/>
        <v>251.78</v>
      </c>
      <c r="BD231" s="64">
        <f t="shared" si="2091"/>
        <v>227.28</v>
      </c>
      <c r="BE231" s="64">
        <f t="shared" si="2091"/>
        <v>294.82</v>
      </c>
      <c r="BF231" s="64">
        <f t="shared" si="2091"/>
        <v>347.9</v>
      </c>
      <c r="BG231" s="64">
        <f t="shared" si="2091"/>
        <v>274.89999999999998</v>
      </c>
      <c r="BH231" s="64">
        <f t="shared" si="2091"/>
        <v>331.3</v>
      </c>
      <c r="BI231" s="64">
        <f t="shared" si="2091"/>
        <v>354.55</v>
      </c>
      <c r="BJ231" s="64">
        <f t="shared" si="2091"/>
        <v>364.76</v>
      </c>
      <c r="BK231" s="64">
        <f t="shared" si="2091"/>
        <v>278.51</v>
      </c>
      <c r="BL231" s="64">
        <f t="shared" si="2091"/>
        <v>299.95</v>
      </c>
      <c r="BM231" s="64">
        <f t="shared" si="2091"/>
        <v>285.45999999999998</v>
      </c>
      <c r="BN231" s="64">
        <f t="shared" si="2091"/>
        <v>320.33</v>
      </c>
      <c r="BO231" s="64">
        <f t="shared" ref="BO231:CT231" si="2092">BO8-BO237</f>
        <v>139.22999999999999</v>
      </c>
      <c r="BP231" s="64">
        <f t="shared" si="2092"/>
        <v>150.41999999999999</v>
      </c>
      <c r="BQ231" s="64">
        <f t="shared" si="2092"/>
        <v>164.52</v>
      </c>
      <c r="BR231" s="64">
        <f t="shared" si="2092"/>
        <v>327.89</v>
      </c>
      <c r="BS231" s="64">
        <f t="shared" si="2092"/>
        <v>218.06</v>
      </c>
      <c r="BT231" s="64">
        <f t="shared" si="2092"/>
        <v>332</v>
      </c>
      <c r="BU231" s="64">
        <f t="shared" si="2092"/>
        <v>334.16</v>
      </c>
      <c r="BV231" s="64">
        <f t="shared" si="2092"/>
        <v>470.98</v>
      </c>
      <c r="BW231" s="64">
        <f t="shared" si="2092"/>
        <v>430.91</v>
      </c>
      <c r="BX231" s="64">
        <f t="shared" si="2092"/>
        <v>522.91</v>
      </c>
      <c r="BY231" s="64">
        <f t="shared" si="2092"/>
        <v>555.80999999999995</v>
      </c>
      <c r="BZ231" s="64">
        <f t="shared" si="2092"/>
        <v>573.16999999999996</v>
      </c>
      <c r="CA231" s="64">
        <f t="shared" si="2092"/>
        <v>426.57</v>
      </c>
      <c r="CB231" s="64">
        <f t="shared" si="2092"/>
        <v>362.36</v>
      </c>
      <c r="CC231" s="64">
        <f t="shared" si="2092"/>
        <v>473.47</v>
      </c>
      <c r="CD231" s="64">
        <f t="shared" si="2092"/>
        <v>539.42999999999995</v>
      </c>
      <c r="CE231" s="64">
        <f t="shared" si="2092"/>
        <v>422.23</v>
      </c>
      <c r="CF231" s="64">
        <f t="shared" si="2092"/>
        <v>398.47</v>
      </c>
      <c r="CG231" s="64">
        <f t="shared" si="2092"/>
        <v>431.33</v>
      </c>
      <c r="CH231" s="64">
        <f t="shared" si="2092"/>
        <v>502.35</v>
      </c>
      <c r="CI231" s="64">
        <f t="shared" si="2092"/>
        <v>385.4</v>
      </c>
      <c r="CJ231" s="64">
        <f t="shared" si="2092"/>
        <v>346.32</v>
      </c>
      <c r="CK231" s="30">
        <f t="shared" si="2092"/>
        <v>386.88</v>
      </c>
      <c r="CL231" s="64">
        <f t="shared" ref="CL231" si="2093">CL8-CL237</f>
        <v>591.84</v>
      </c>
      <c r="CM231" s="30">
        <f t="shared" si="2092"/>
        <v>371.62064376681798</v>
      </c>
      <c r="CN231" s="30">
        <f t="shared" si="2092"/>
        <v>338.39450092017398</v>
      </c>
      <c r="CO231" s="30">
        <f t="shared" si="2092"/>
        <v>388.47114959670216</v>
      </c>
      <c r="CP231" s="30">
        <f t="shared" si="2092"/>
        <v>610.13040259093179</v>
      </c>
      <c r="CQ231" s="30">
        <f t="shared" si="2092"/>
        <v>369.42611098663684</v>
      </c>
      <c r="CR231" s="30">
        <f t="shared" si="2092"/>
        <v>338.92128560869776</v>
      </c>
      <c r="CS231" s="30">
        <f t="shared" si="2092"/>
        <v>391.44960545660962</v>
      </c>
      <c r="CT231" s="30">
        <f t="shared" si="2092"/>
        <v>615.35050124754343</v>
      </c>
      <c r="CU231" s="30">
        <f t="shared" ref="CU231:DB231" si="2094">CU8-CU237</f>
        <v>370.52277512573829</v>
      </c>
      <c r="CV231" s="30">
        <f t="shared" si="2094"/>
        <v>340.67927975340575</v>
      </c>
      <c r="CW231" s="30">
        <f t="shared" si="2094"/>
        <v>393.83533633302847</v>
      </c>
      <c r="CX231" s="30">
        <f t="shared" si="2094"/>
        <v>618.85890744594201</v>
      </c>
      <c r="CY231" s="30">
        <f t="shared" si="2094"/>
        <v>372.37091224287906</v>
      </c>
      <c r="CZ231" s="30">
        <f t="shared" si="2094"/>
        <v>342.55054817495488</v>
      </c>
      <c r="DA231" s="30">
        <f t="shared" si="2094"/>
        <v>396.02867975858737</v>
      </c>
      <c r="DB231" s="30">
        <f t="shared" si="2094"/>
        <v>622.22416001733268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22.214699999999965</v>
      </c>
      <c r="C232" s="64">
        <f t="shared" si="2095"/>
        <v>37.86609999999996</v>
      </c>
      <c r="D232" s="64">
        <f t="shared" si="2095"/>
        <v>66.389600000000002</v>
      </c>
      <c r="E232" s="64">
        <f t="shared" si="2095"/>
        <v>54.762599999999964</v>
      </c>
      <c r="F232" s="64">
        <f t="shared" si="2095"/>
        <v>29.065900000000028</v>
      </c>
      <c r="G232" s="64">
        <f t="shared" si="2095"/>
        <v>47.055299999999988</v>
      </c>
      <c r="H232" s="64">
        <f t="shared" si="2095"/>
        <v>61.821800000000025</v>
      </c>
      <c r="I232" s="64">
        <f t="shared" si="2095"/>
        <v>81.530799999999999</v>
      </c>
      <c r="J232" s="64">
        <f t="shared" si="2095"/>
        <v>66.366199999999992</v>
      </c>
      <c r="K232" s="64">
        <f t="shared" si="2095"/>
        <v>112.98810000000003</v>
      </c>
      <c r="L232" s="64">
        <f t="shared" si="2095"/>
        <v>110.41159999999991</v>
      </c>
      <c r="M232" s="64">
        <f t="shared" si="2095"/>
        <v>98.906799999999976</v>
      </c>
      <c r="N232" s="64">
        <f t="shared" si="2095"/>
        <v>104.96010000000001</v>
      </c>
      <c r="O232" s="64">
        <f t="shared" si="2095"/>
        <v>123.64479999999992</v>
      </c>
      <c r="P232" s="64">
        <f t="shared" si="2095"/>
        <v>89.494599999999878</v>
      </c>
      <c r="Q232" s="64">
        <f t="shared" si="2095"/>
        <v>107.23919999999998</v>
      </c>
      <c r="R232" s="64">
        <f t="shared" si="2095"/>
        <v>213.94</v>
      </c>
      <c r="S232" s="64">
        <f t="shared" si="2095"/>
        <v>207.32999999999993</v>
      </c>
      <c r="T232" s="64">
        <f t="shared" si="2095"/>
        <v>295.85000000000014</v>
      </c>
      <c r="U232" s="64">
        <f t="shared" si="2095"/>
        <v>266.93999999999994</v>
      </c>
      <c r="V232" s="64">
        <f t="shared" si="2095"/>
        <v>107.55000000000001</v>
      </c>
      <c r="W232" s="64">
        <f t="shared" si="2095"/>
        <v>165.71000000000004</v>
      </c>
      <c r="X232" s="64">
        <f t="shared" si="2095"/>
        <v>534.13000000000034</v>
      </c>
      <c r="Y232" s="64">
        <f t="shared" si="2095"/>
        <v>339.91999999999996</v>
      </c>
      <c r="Z232" s="64">
        <f t="shared" si="2095"/>
        <v>111.40999999999985</v>
      </c>
      <c r="AA232" s="64">
        <f t="shared" ref="AA232" si="2096">AA28-AA238</f>
        <v>95.920000000000073</v>
      </c>
      <c r="AB232" s="30"/>
      <c r="AC232" s="30"/>
      <c r="AD232" s="30"/>
      <c r="AE232" s="30"/>
      <c r="AI232" s="64">
        <f t="shared" ref="AI232:BN232" si="2097">AI28-AI238</f>
        <v>28.11</v>
      </c>
      <c r="AJ232" s="64">
        <f t="shared" si="2097"/>
        <v>26.930000000000021</v>
      </c>
      <c r="AK232" s="64">
        <f t="shared" si="2097"/>
        <v>23.889999999999972</v>
      </c>
      <c r="AL232" s="64">
        <f t="shared" si="2097"/>
        <v>26.300000000000011</v>
      </c>
      <c r="AM232" s="64">
        <f t="shared" si="2097"/>
        <v>32.450000000000017</v>
      </c>
      <c r="AN232" s="64">
        <f t="shared" si="2097"/>
        <v>29.709999999999965</v>
      </c>
      <c r="AO232" s="64">
        <f t="shared" si="2097"/>
        <v>23.620000000000019</v>
      </c>
      <c r="AP232" s="64">
        <f t="shared" si="2097"/>
        <v>39.04000000000002</v>
      </c>
      <c r="AQ232" s="64">
        <f t="shared" si="2097"/>
        <v>25.300000000000026</v>
      </c>
      <c r="AR232" s="64">
        <f t="shared" si="2097"/>
        <v>27.589999999999989</v>
      </c>
      <c r="AS232" s="64">
        <f t="shared" si="2097"/>
        <v>19.810000000000002</v>
      </c>
      <c r="AT232" s="64">
        <f t="shared" si="2097"/>
        <v>16.579999999999941</v>
      </c>
      <c r="AU232" s="64">
        <f t="shared" si="2097"/>
        <v>23.459999999999994</v>
      </c>
      <c r="AV232" s="64">
        <f t="shared" si="2097"/>
        <v>25.490000000000023</v>
      </c>
      <c r="AW232" s="64">
        <f t="shared" si="2097"/>
        <v>20.659999999999968</v>
      </c>
      <c r="AX232" s="64">
        <f t="shared" si="2097"/>
        <v>37.429999999999964</v>
      </c>
      <c r="AY232" s="64">
        <f t="shared" si="2097"/>
        <v>43.760000000000005</v>
      </c>
      <c r="AZ232" s="64">
        <f t="shared" si="2097"/>
        <v>49.830000000000041</v>
      </c>
      <c r="BA232" s="64">
        <f t="shared" si="2097"/>
        <v>58.80000000000004</v>
      </c>
      <c r="BB232" s="64">
        <f t="shared" si="2097"/>
        <v>61.300000000000068</v>
      </c>
      <c r="BC232" s="64">
        <f t="shared" si="2097"/>
        <v>39.869999999999976</v>
      </c>
      <c r="BD232" s="64">
        <f t="shared" si="2097"/>
        <v>48.060000000000016</v>
      </c>
      <c r="BE232" s="64">
        <f t="shared" si="2097"/>
        <v>47.800000000000026</v>
      </c>
      <c r="BF232" s="64">
        <f t="shared" si="2097"/>
        <v>71.459999999999951</v>
      </c>
      <c r="BG232" s="64">
        <f t="shared" si="2097"/>
        <v>47.369999999999976</v>
      </c>
      <c r="BH232" s="64">
        <f t="shared" si="2097"/>
        <v>82.13</v>
      </c>
      <c r="BI232" s="64">
        <f t="shared" si="2097"/>
        <v>83.230000000000018</v>
      </c>
      <c r="BJ232" s="64">
        <f t="shared" si="2097"/>
        <v>83.12</v>
      </c>
      <c r="BK232" s="64">
        <f t="shared" si="2097"/>
        <v>62.27000000000001</v>
      </c>
      <c r="BL232" s="64">
        <f t="shared" si="2097"/>
        <v>72.150000000000006</v>
      </c>
      <c r="BM232" s="64">
        <f t="shared" si="2097"/>
        <v>67.829999999999956</v>
      </c>
      <c r="BN232" s="64">
        <f t="shared" si="2097"/>
        <v>64.689999999999984</v>
      </c>
      <c r="BO232" s="64">
        <f t="shared" ref="BO232:CT232" si="2098">BO28-BO238</f>
        <v>31.47999999999999</v>
      </c>
      <c r="BP232" s="64">
        <f t="shared" si="2098"/>
        <v>28.029999999999987</v>
      </c>
      <c r="BQ232" s="64">
        <f t="shared" si="2098"/>
        <v>13.799999999999997</v>
      </c>
      <c r="BR232" s="64">
        <f t="shared" si="2098"/>
        <v>34.239999999999995</v>
      </c>
      <c r="BS232" s="64">
        <f t="shared" si="2098"/>
        <v>31.359999999999971</v>
      </c>
      <c r="BT232" s="64">
        <f t="shared" si="2098"/>
        <v>39.950000000000003</v>
      </c>
      <c r="BU232" s="64">
        <f t="shared" si="2098"/>
        <v>15.250000000000043</v>
      </c>
      <c r="BV232" s="64">
        <f t="shared" si="2098"/>
        <v>79.150000000000006</v>
      </c>
      <c r="BW232" s="64">
        <f t="shared" si="2098"/>
        <v>87.81</v>
      </c>
      <c r="BX232" s="64">
        <f t="shared" si="2098"/>
        <v>139.63999999999999</v>
      </c>
      <c r="BY232" s="64">
        <f t="shared" si="2098"/>
        <v>149.84</v>
      </c>
      <c r="BZ232" s="64">
        <f t="shared" si="2098"/>
        <v>156.83999999999997</v>
      </c>
      <c r="CA232" s="64">
        <f t="shared" si="2098"/>
        <v>95.100000000000023</v>
      </c>
      <c r="CB232" s="64">
        <f t="shared" si="2098"/>
        <v>89.41</v>
      </c>
      <c r="CC232" s="64">
        <f t="shared" si="2098"/>
        <v>87.669999999999987</v>
      </c>
      <c r="CD232" s="64">
        <f t="shared" si="2098"/>
        <v>67.739999999999924</v>
      </c>
      <c r="CE232" s="64">
        <f t="shared" si="2098"/>
        <v>47.81</v>
      </c>
      <c r="CF232" s="64">
        <f t="shared" si="2098"/>
        <v>30.740000000000038</v>
      </c>
      <c r="CG232" s="64">
        <f t="shared" si="2098"/>
        <v>7.6399999999999295</v>
      </c>
      <c r="CH232" s="64">
        <f t="shared" si="2098"/>
        <v>25.22</v>
      </c>
      <c r="CI232" s="64">
        <f t="shared" si="2098"/>
        <v>21.309999999999974</v>
      </c>
      <c r="CJ232" s="64">
        <f t="shared" si="2098"/>
        <v>26.300000000000011</v>
      </c>
      <c r="CK232" s="30">
        <f t="shared" si="2098"/>
        <v>24.70999999999998</v>
      </c>
      <c r="CL232" s="64">
        <f t="shared" ref="CL232" si="2099">CL28-CL238</f>
        <v>23.590000000000089</v>
      </c>
      <c r="CM232" s="30">
        <f t="shared" si="2098"/>
        <v>21.829294584573049</v>
      </c>
      <c r="CN232" s="30">
        <f t="shared" si="2098"/>
        <v>20.16922652820567</v>
      </c>
      <c r="CO232" s="30">
        <f t="shared" si="2098"/>
        <v>21.567159060272616</v>
      </c>
      <c r="CP232" s="30">
        <f t="shared" si="2098"/>
        <v>32.599312404060981</v>
      </c>
      <c r="CQ232" s="30">
        <f t="shared" si="2098"/>
        <v>20.991865096755788</v>
      </c>
      <c r="CR232" s="30">
        <f t="shared" si="2098"/>
        <v>19.095988331229051</v>
      </c>
      <c r="CS232" s="30">
        <f t="shared" si="2098"/>
        <v>21.736654145062431</v>
      </c>
      <c r="CT232" s="30">
        <f t="shared" si="2098"/>
        <v>34.171186454024621</v>
      </c>
      <c r="CU232" s="30">
        <f t="shared" ref="CU232:DB232" si="2100">CU28-CU238</f>
        <v>20.770229229724123</v>
      </c>
      <c r="CV232" s="30">
        <f t="shared" si="2100"/>
        <v>19.032035568981911</v>
      </c>
      <c r="CW232" s="30">
        <f t="shared" si="2100"/>
        <v>21.954487319515238</v>
      </c>
      <c r="CX232" s="30">
        <f t="shared" si="2100"/>
        <v>34.532035961171601</v>
      </c>
      <c r="CY232" s="30">
        <f t="shared" si="2100"/>
        <v>20.803096052698066</v>
      </c>
      <c r="CZ232" s="30">
        <f t="shared" si="2100"/>
        <v>19.120866543802393</v>
      </c>
      <c r="DA232" s="30">
        <f t="shared" si="2100"/>
        <v>22.101428333768339</v>
      </c>
      <c r="DB232" s="30">
        <f t="shared" si="2100"/>
        <v>34.734556642956221</v>
      </c>
      <c r="DE232" s="139"/>
    </row>
    <row r="233" spans="1:109" s="89" customFormat="1" hidden="1" outlineLevel="1" x14ac:dyDescent="0.2">
      <c r="A233" s="86" t="s">
        <v>476</v>
      </c>
      <c r="B233" s="86">
        <f>+B232/B231</f>
        <v>8.474342213933192E-2</v>
      </c>
      <c r="C233" s="86">
        <f t="shared" ref="C233" si="2101">+C232/C231</f>
        <v>0.1045445534877633</v>
      </c>
      <c r="D233" s="86">
        <f t="shared" ref="D233" si="2102">+D232/D231</f>
        <v>0.16968722308087297</v>
      </c>
      <c r="E233" s="86">
        <f t="shared" ref="E233" si="2103">+E232/E231</f>
        <v>0.13100978244461348</v>
      </c>
      <c r="F233" s="86">
        <f t="shared" ref="F233" si="2104">+F232/F231</f>
        <v>6.726299351666383E-2</v>
      </c>
      <c r="G233" s="86">
        <f t="shared" ref="G233" si="2105">+G232/G231</f>
        <v>0.10027808317178052</v>
      </c>
      <c r="H233" s="86">
        <f t="shared" ref="H233" si="2106">+H232/H231</f>
        <v>0.12268783721056233</v>
      </c>
      <c r="I233" s="86">
        <f t="shared" ref="I233" si="2107">+I232/I231</f>
        <v>0.14898814959191756</v>
      </c>
      <c r="J233" s="86">
        <f t="shared" ref="J233" si="2108">+J232/J231</f>
        <v>0.11826621811912977</v>
      </c>
      <c r="K233" s="86">
        <f t="shared" ref="K233" si="2109">+K232/K231</f>
        <v>0.21359927542519719</v>
      </c>
      <c r="L233" s="86">
        <f t="shared" ref="L233" si="2110">+L232/L231</f>
        <v>0.18552056575139345</v>
      </c>
      <c r="M233" s="86">
        <f t="shared" ref="M233" si="2111">+M232/M231</f>
        <v>0.15475519536461038</v>
      </c>
      <c r="N233" s="86">
        <f t="shared" ref="N233" si="2112">+N232/N231</f>
        <v>0.11916729660116938</v>
      </c>
      <c r="O233" s="86">
        <f t="shared" ref="O233" si="2113">+O232/O231</f>
        <v>0.11618358323172512</v>
      </c>
      <c r="P233" s="86">
        <f t="shared" ref="P233" si="2114">+P232/P231</f>
        <v>8.3755583652543916E-2</v>
      </c>
      <c r="Q233" s="86">
        <f t="shared" ref="Q233" si="2115">+Q232/Q231</f>
        <v>9.954924944374445E-2</v>
      </c>
      <c r="R233" s="86">
        <f t="shared" ref="R233" si="2116">+R232/R231</f>
        <v>0.18331691015809093</v>
      </c>
      <c r="S233" s="86">
        <f t="shared" ref="S233" si="2117">+S232/S231</f>
        <v>0.17734609561446271</v>
      </c>
      <c r="T233" s="86">
        <f t="shared" ref="T233" si="2118">+T232/T231</f>
        <v>0.21402424908848902</v>
      </c>
      <c r="U233" s="86">
        <f t="shared" ref="U233" si="2119">+U232/U231</f>
        <v>0.21460959608952918</v>
      </c>
      <c r="V233" s="86">
        <f t="shared" ref="V233" si="2120">+V232/V231</f>
        <v>0.13088240662991496</v>
      </c>
      <c r="W233" s="86">
        <f t="shared" ref="W233" si="2121">+W232/W231</f>
        <v>0.11676378779444616</v>
      </c>
      <c r="X233" s="86">
        <f t="shared" ref="X233:Y233" si="2122">+X232/X231</f>
        <v>0.24355799966256744</v>
      </c>
      <c r="Y233" s="86">
        <f t="shared" si="2122"/>
        <v>0.17826070995925258</v>
      </c>
      <c r="Z233" s="86">
        <f t="shared" ref="Z233:AA233" si="2123">+Z232/Z231</f>
        <v>5.9831263056705636E-2</v>
      </c>
      <c r="AA233" s="86">
        <f t="shared" si="2123"/>
        <v>5.2646889321880441E-2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0.14107196627521831</v>
      </c>
      <c r="AJ233" s="86">
        <f t="shared" ref="AJ233" si="2125">+AJ232/AJ231</f>
        <v>0.1329745210349596</v>
      </c>
      <c r="AK233" s="86">
        <f t="shared" ref="AK233" si="2126">+AK232/AK231</f>
        <v>0.11871397336513603</v>
      </c>
      <c r="AL233" s="86">
        <f t="shared" ref="AL233" si="2127">+AL232/AL231</f>
        <v>0.11396628677904412</v>
      </c>
      <c r="AM233" s="86">
        <f t="shared" ref="AM233" si="2128">+AM232/AM231</f>
        <v>0.14927776244364716</v>
      </c>
      <c r="AN233" s="86">
        <f t="shared" ref="AN233" si="2129">+AN232/AN231</f>
        <v>0.1171714781511278</v>
      </c>
      <c r="AO233" s="86">
        <f t="shared" ref="AO233" si="2130">+AO232/AO231</f>
        <v>9.3171866987495633E-2</v>
      </c>
      <c r="AP233" s="86">
        <f t="shared" ref="AP233" si="2131">+AP232/AP231</f>
        <v>0.13575352945267408</v>
      </c>
      <c r="AQ233" s="86">
        <f t="shared" ref="AQ233" si="2132">+AQ232/AQ231</f>
        <v>0.11840134780980918</v>
      </c>
      <c r="AR233" s="86">
        <f t="shared" ref="AR233" si="2133">+AR232/AR231</f>
        <v>0.1199200243404181</v>
      </c>
      <c r="AS233" s="86">
        <f t="shared" ref="AS233" si="2134">+AS232/AS231</f>
        <v>7.6518984897060535E-2</v>
      </c>
      <c r="AT233" s="86">
        <f t="shared" ref="AT233" si="2135">+AT232/AT231</f>
        <v>5.3229741877487941E-2</v>
      </c>
      <c r="AU233" s="86">
        <f t="shared" ref="AU233" si="2136">+AU232/AU231</f>
        <v>9.8778947368421022E-2</v>
      </c>
      <c r="AV233" s="86">
        <f t="shared" ref="AV233" si="2137">+AV232/AV231</f>
        <v>0.10495326717997291</v>
      </c>
      <c r="AW233" s="86">
        <f t="shared" ref="AW233" si="2138">+AW232/AW231</f>
        <v>8.6956521739130307E-2</v>
      </c>
      <c r="AX233" s="86">
        <f t="shared" ref="AX233" si="2139">+AX232/AX231</f>
        <v>0.10625070966276816</v>
      </c>
      <c r="AY233" s="86">
        <f t="shared" ref="AY233" si="2140">+AY232/AY231</f>
        <v>0.17103103259595093</v>
      </c>
      <c r="AZ233" s="86">
        <f t="shared" ref="AZ233" si="2141">+AZ232/AZ231</f>
        <v>0.18157635826986859</v>
      </c>
      <c r="BA233" s="86">
        <f t="shared" ref="BA233" si="2142">+BA232/BA231</f>
        <v>0.19220711297071141</v>
      </c>
      <c r="BB233" s="86">
        <f t="shared" ref="BB233" si="2143">+BB232/BB231</f>
        <v>0.18549338820467837</v>
      </c>
      <c r="BC233" s="86">
        <f t="shared" ref="BC233" si="2144">+BC232/BC231</f>
        <v>0.15835252998649604</v>
      </c>
      <c r="BD233" s="86">
        <f t="shared" ref="BD233" si="2145">+BD232/BD231</f>
        <v>0.21145723336853228</v>
      </c>
      <c r="BE233" s="86">
        <f t="shared" ref="BE233" si="2146">+BE232/BE231</f>
        <v>0.16213282680957883</v>
      </c>
      <c r="BF233" s="86">
        <f t="shared" ref="BF233" si="2147">+BF232/BF231</f>
        <v>0.20540385168151756</v>
      </c>
      <c r="BG233" s="86">
        <f t="shared" ref="BG233" si="2148">+BG232/BG231</f>
        <v>0.17231720625682059</v>
      </c>
      <c r="BH233" s="86">
        <f t="shared" ref="BH233" si="2149">+BH232/BH231</f>
        <v>0.24790220344099001</v>
      </c>
      <c r="BI233" s="86">
        <f t="shared" ref="BI233" si="2150">+BI232/BI231</f>
        <v>0.23474827245804544</v>
      </c>
      <c r="BJ233" s="86">
        <f t="shared" ref="BJ233" si="2151">+BJ232/BJ231</f>
        <v>0.22787586358153308</v>
      </c>
      <c r="BK233" s="86">
        <f t="shared" ref="BK233" si="2152">+BK232/BK231</f>
        <v>0.22358263617105315</v>
      </c>
      <c r="BL233" s="86">
        <f t="shared" ref="BL233" si="2153">+BL232/BL231</f>
        <v>0.24054009001500254</v>
      </c>
      <c r="BM233" s="86">
        <f t="shared" ref="BM233" si="2154">+BM232/BM231</f>
        <v>0.23761647866601263</v>
      </c>
      <c r="BN233" s="86">
        <f t="shared" ref="BN233" si="2155">+BN232/BN231</f>
        <v>0.20194799113414288</v>
      </c>
      <c r="BO233" s="86">
        <f t="shared" ref="BO233" si="2156">+BO232/BO231</f>
        <v>0.22610069668893193</v>
      </c>
      <c r="BP233" s="86">
        <f t="shared" ref="BP233" si="2157">+BP232/BP231</f>
        <v>0.18634490094402334</v>
      </c>
      <c r="BQ233" s="86">
        <f t="shared" ref="BQ233" si="2158">+BQ232/BQ231</f>
        <v>8.3880379285193263E-2</v>
      </c>
      <c r="BR233" s="86">
        <f t="shared" ref="BR233" si="2159">+BR232/BR231</f>
        <v>0.10442526457043519</v>
      </c>
      <c r="BS233" s="86">
        <f t="shared" ref="BS233" si="2160">+BS232/BS231</f>
        <v>0.14381362927634583</v>
      </c>
      <c r="BT233" s="86">
        <f t="shared" ref="BT233" si="2161">+BT232/BT231</f>
        <v>0.12033132530120483</v>
      </c>
      <c r="BU233" s="86">
        <f t="shared" ref="BU233" si="2162">+BU232/BU231</f>
        <v>4.563682068470206E-2</v>
      </c>
      <c r="BV233" s="86">
        <f t="shared" ref="BV233" si="2163">+BV232/BV231</f>
        <v>0.16805384517389274</v>
      </c>
      <c r="BW233" s="86">
        <f t="shared" ref="BW233" si="2164">+BW232/BW231</f>
        <v>0.20377805110115801</v>
      </c>
      <c r="BX233" s="86">
        <f t="shared" ref="BX233" si="2165">+BX232/BX231</f>
        <v>0.26704404199575454</v>
      </c>
      <c r="BY233" s="86">
        <f t="shared" ref="BY233" si="2166">+BY232/BY231</f>
        <v>0.26958852845396813</v>
      </c>
      <c r="BZ233" s="86">
        <f t="shared" ref="BZ233" si="2167">+BZ232/BZ231</f>
        <v>0.27363609400352423</v>
      </c>
      <c r="CA233" s="86">
        <f t="shared" ref="CA233" si="2168">+CA232/CA231</f>
        <v>0.22294113510092137</v>
      </c>
      <c r="CB233" s="86">
        <f t="shared" ref="CB233:CC233" si="2169">+CB232/CB231</f>
        <v>0.24674356993045587</v>
      </c>
      <c r="CC233" s="86">
        <f t="shared" si="2169"/>
        <v>0.18516484676959466</v>
      </c>
      <c r="CD233" s="86">
        <f t="shared" ref="CD233" si="2170">+CD232/CD231</f>
        <v>0.12557699794227226</v>
      </c>
      <c r="CE233" s="86">
        <f t="shared" ref="CE233:CF233" si="2171">+CE232/CE231</f>
        <v>0.11323212467138763</v>
      </c>
      <c r="CF233" s="86">
        <f t="shared" si="2171"/>
        <v>7.7145079930735147E-2</v>
      </c>
      <c r="CG233" s="86">
        <f t="shared" ref="CG233:CH233" si="2172">+CG232/CG231</f>
        <v>1.7712656202907125E-2</v>
      </c>
      <c r="CH233" s="86">
        <f t="shared" si="2172"/>
        <v>5.0204041007265846E-2</v>
      </c>
      <c r="CI233" s="86">
        <f t="shared" ref="CI233:CJ233" si="2173">+CI232/CI231</f>
        <v>5.5293201868188833E-2</v>
      </c>
      <c r="CJ233" s="86">
        <f t="shared" si="2173"/>
        <v>7.5941325941325979E-2</v>
      </c>
      <c r="CK233" s="47">
        <f t="shared" ref="CK233:DB233" si="2174">+CK232/CK231</f>
        <v>6.3869933829611203E-2</v>
      </c>
      <c r="CL233" s="86">
        <f t="shared" si="2174"/>
        <v>3.9858745606920938E-2</v>
      </c>
      <c r="CM233" s="47">
        <f t="shared" si="2174"/>
        <v>5.8740801811511707E-2</v>
      </c>
      <c r="CN233" s="47">
        <f t="shared" si="2174"/>
        <v>5.9602701797342492E-2</v>
      </c>
      <c r="CO233" s="47">
        <f t="shared" si="2174"/>
        <v>5.5518045761346557E-2</v>
      </c>
      <c r="CP233" s="47">
        <f t="shared" si="2174"/>
        <v>5.343007374428041E-2</v>
      </c>
      <c r="CQ233" s="47">
        <f t="shared" si="2174"/>
        <v>5.6822905778620293E-2</v>
      </c>
      <c r="CR233" s="47">
        <f t="shared" si="2174"/>
        <v>5.6343431770397454E-2</v>
      </c>
      <c r="CS233" s="47">
        <f t="shared" si="2174"/>
        <v>5.5528614263661173E-2</v>
      </c>
      <c r="CT233" s="47">
        <f t="shared" si="2174"/>
        <v>5.5531256389239898E-2</v>
      </c>
      <c r="CU233" s="47">
        <f t="shared" si="2174"/>
        <v>5.6056552050479672E-2</v>
      </c>
      <c r="CV233" s="47">
        <f t="shared" si="2174"/>
        <v>5.586496361844457E-2</v>
      </c>
      <c r="CW233" s="47">
        <f t="shared" si="2174"/>
        <v>5.5745346580456281E-2</v>
      </c>
      <c r="CX233" s="47">
        <f t="shared" si="2174"/>
        <v>5.5799529659655116E-2</v>
      </c>
      <c r="CY233" s="47">
        <f t="shared" si="2174"/>
        <v>5.5866597977258868E-2</v>
      </c>
      <c r="CZ233" s="47">
        <f t="shared" si="2174"/>
        <v>5.5819109458953679E-2</v>
      </c>
      <c r="DA233" s="47">
        <f t="shared" si="2174"/>
        <v>5.5807645919080939E-2</v>
      </c>
      <c r="DB233" s="47">
        <f t="shared" si="2174"/>
        <v>5.5823220753737135E-2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2.8439999999999683</v>
      </c>
      <c r="C234" s="64">
        <f t="shared" si="2175"/>
        <v>2.6915999999999598</v>
      </c>
      <c r="D234" s="64">
        <f t="shared" si="2175"/>
        <v>21.482100000000003</v>
      </c>
      <c r="E234" s="64">
        <f t="shared" si="2175"/>
        <v>19.661699999999964</v>
      </c>
      <c r="F234" s="64">
        <f t="shared" si="2175"/>
        <v>6.5844000000000289</v>
      </c>
      <c r="G234" s="64">
        <f t="shared" si="2175"/>
        <v>17.91299999999999</v>
      </c>
      <c r="H234" s="64">
        <f t="shared" si="2175"/>
        <v>41.401700000000019</v>
      </c>
      <c r="I234" s="64">
        <f t="shared" si="2175"/>
        <v>45.790300000000002</v>
      </c>
      <c r="J234" s="64">
        <f t="shared" si="2175"/>
        <v>15.027299999999988</v>
      </c>
      <c r="K234" s="64">
        <f t="shared" si="2175"/>
        <v>39.929600000000036</v>
      </c>
      <c r="L234" s="64">
        <f t="shared" si="2175"/>
        <v>65.002299999999892</v>
      </c>
      <c r="M234" s="64">
        <f t="shared" si="2175"/>
        <v>34.095399999999984</v>
      </c>
      <c r="N234" s="64">
        <f t="shared" si="2175"/>
        <v>20.504700000000014</v>
      </c>
      <c r="O234" s="64">
        <f t="shared" si="2175"/>
        <v>26.790299999999931</v>
      </c>
      <c r="P234" s="64">
        <f t="shared" si="2175"/>
        <v>20.604899999999876</v>
      </c>
      <c r="Q234" s="64">
        <f t="shared" si="2175"/>
        <v>35.599499999999992</v>
      </c>
      <c r="R234" s="64">
        <f t="shared" si="2175"/>
        <v>127.90999999999997</v>
      </c>
      <c r="S234" s="64">
        <f t="shared" si="2175"/>
        <v>117.52999999999992</v>
      </c>
      <c r="T234" s="64">
        <f t="shared" si="2175"/>
        <v>189.74000000000012</v>
      </c>
      <c r="U234" s="64">
        <f t="shared" si="2175"/>
        <v>173.06999999999994</v>
      </c>
      <c r="V234" s="64">
        <f t="shared" si="2175"/>
        <v>99.300000000000011</v>
      </c>
      <c r="W234" s="64">
        <f t="shared" si="2175"/>
        <v>102.00000000000003</v>
      </c>
      <c r="X234" s="64">
        <f t="shared" si="2175"/>
        <v>385.2900000000003</v>
      </c>
      <c r="Y234" s="64">
        <f t="shared" si="2175"/>
        <v>257.87999999999994</v>
      </c>
      <c r="Z234" s="64">
        <f t="shared" si="2175"/>
        <v>102.97999999999985</v>
      </c>
      <c r="AA234" s="64">
        <f t="shared" ref="AA234" si="2176">AA41-AA240</f>
        <v>67.000000000000085</v>
      </c>
      <c r="AB234" s="30"/>
      <c r="AC234" s="30"/>
      <c r="AD234" s="30"/>
      <c r="AE234" s="30"/>
      <c r="AI234" s="64">
        <f t="shared" ref="AI234:BN234" si="2177">AI41-AI240</f>
        <v>5.93</v>
      </c>
      <c r="AJ234" s="64">
        <f t="shared" si="2177"/>
        <v>5.300000000000022</v>
      </c>
      <c r="AK234" s="64">
        <f t="shared" si="2177"/>
        <v>2.0199999999999729</v>
      </c>
      <c r="AL234" s="64">
        <f t="shared" si="2177"/>
        <v>7.2700000000000085</v>
      </c>
      <c r="AM234" s="64">
        <f t="shared" si="2177"/>
        <v>6.7900000000000187</v>
      </c>
      <c r="AN234" s="64">
        <f t="shared" si="2177"/>
        <v>5.689999999999964</v>
      </c>
      <c r="AO234" s="64">
        <f t="shared" si="2177"/>
        <v>2.1000000000000165</v>
      </c>
      <c r="AP234" s="64">
        <f t="shared" si="2177"/>
        <v>12.210000000000019</v>
      </c>
      <c r="AQ234" s="64">
        <f t="shared" si="2177"/>
        <v>5.0300000000000242</v>
      </c>
      <c r="AR234" s="64">
        <f t="shared" si="2177"/>
        <v>10.089999999999991</v>
      </c>
      <c r="AS234" s="64">
        <f t="shared" si="2177"/>
        <v>2.6500000000000012</v>
      </c>
      <c r="AT234" s="64">
        <f t="shared" si="2177"/>
        <v>2.7999999999999408</v>
      </c>
      <c r="AU234" s="64">
        <f t="shared" si="2177"/>
        <v>5.3899999999999952</v>
      </c>
      <c r="AV234" s="64">
        <f t="shared" si="2177"/>
        <v>7.1900000000000226</v>
      </c>
      <c r="AW234" s="64">
        <f t="shared" si="2177"/>
        <v>4.1299999999999688</v>
      </c>
      <c r="AX234" s="64">
        <f t="shared" si="2177"/>
        <v>18.869999999999965</v>
      </c>
      <c r="AY234" s="64">
        <f t="shared" si="2177"/>
        <v>24.12</v>
      </c>
      <c r="AZ234" s="64">
        <f t="shared" si="2177"/>
        <v>30.69000000000004</v>
      </c>
      <c r="BA234" s="64">
        <f t="shared" si="2177"/>
        <v>34.490000000000045</v>
      </c>
      <c r="BB234" s="64">
        <f t="shared" si="2177"/>
        <v>38.750000000000071</v>
      </c>
      <c r="BC234" s="64">
        <f t="shared" si="2177"/>
        <v>21.749999999999972</v>
      </c>
      <c r="BD234" s="64">
        <f t="shared" si="2177"/>
        <v>26.260000000000019</v>
      </c>
      <c r="BE234" s="64">
        <f t="shared" si="2177"/>
        <v>26.080000000000027</v>
      </c>
      <c r="BF234" s="64">
        <f t="shared" si="2177"/>
        <v>43.959999999999951</v>
      </c>
      <c r="BG234" s="64">
        <f t="shared" si="2177"/>
        <v>26.909999999999975</v>
      </c>
      <c r="BH234" s="64">
        <f t="shared" si="2177"/>
        <v>50.169999999999995</v>
      </c>
      <c r="BI234" s="64">
        <f t="shared" si="2177"/>
        <v>50.550000000000011</v>
      </c>
      <c r="BJ234" s="64">
        <f t="shared" si="2177"/>
        <v>62.100000000000009</v>
      </c>
      <c r="BK234" s="64">
        <f t="shared" si="2177"/>
        <v>38.860000000000014</v>
      </c>
      <c r="BL234" s="64">
        <f t="shared" si="2177"/>
        <v>46.3</v>
      </c>
      <c r="BM234" s="64">
        <f t="shared" si="2177"/>
        <v>43.549999999999955</v>
      </c>
      <c r="BN234" s="64">
        <f t="shared" si="2177"/>
        <v>44.359999999999978</v>
      </c>
      <c r="BO234" s="64">
        <f t="shared" ref="BO234:CT234" si="2178">BO41-BO240</f>
        <v>17.909999999999989</v>
      </c>
      <c r="BP234" s="64">
        <f t="shared" si="2178"/>
        <v>15.489999999999988</v>
      </c>
      <c r="BQ234" s="64">
        <f t="shared" si="2178"/>
        <v>4.479999999999996</v>
      </c>
      <c r="BR234" s="64">
        <f t="shared" si="2178"/>
        <v>61.419999999999987</v>
      </c>
      <c r="BS234" s="64">
        <f t="shared" si="2178"/>
        <v>18.599999999999969</v>
      </c>
      <c r="BT234" s="64">
        <f t="shared" si="2178"/>
        <v>23.920000000000005</v>
      </c>
      <c r="BU234" s="64">
        <f t="shared" si="2178"/>
        <v>5.9200000000000426</v>
      </c>
      <c r="BV234" s="64">
        <f t="shared" si="2178"/>
        <v>53.56</v>
      </c>
      <c r="BW234" s="64">
        <f t="shared" si="2178"/>
        <v>59.690000000000005</v>
      </c>
      <c r="BX234" s="64">
        <f t="shared" si="2178"/>
        <v>100.31999999999998</v>
      </c>
      <c r="BY234" s="64">
        <f t="shared" si="2178"/>
        <v>109.46000000000001</v>
      </c>
      <c r="BZ234" s="64">
        <f t="shared" si="2178"/>
        <v>115.81999999999996</v>
      </c>
      <c r="CA234" s="64">
        <f t="shared" si="2178"/>
        <v>69.890000000000015</v>
      </c>
      <c r="CB234" s="64">
        <f t="shared" si="2178"/>
        <v>69.099999999999994</v>
      </c>
      <c r="CC234" s="64">
        <f t="shared" si="2178"/>
        <v>65.769999999999982</v>
      </c>
      <c r="CD234" s="64">
        <f t="shared" si="2178"/>
        <v>53.119999999999919</v>
      </c>
      <c r="CE234" s="64">
        <f t="shared" si="2178"/>
        <v>36.74</v>
      </c>
      <c r="CF234" s="64">
        <f t="shared" si="2178"/>
        <v>24.770000000000039</v>
      </c>
      <c r="CG234" s="64">
        <f t="shared" si="2178"/>
        <v>15.819999999999927</v>
      </c>
      <c r="CH234" s="64">
        <f t="shared" si="2178"/>
        <v>25.65</v>
      </c>
      <c r="CI234" s="64">
        <f t="shared" si="2178"/>
        <v>16.249999999999979</v>
      </c>
      <c r="CJ234" s="64">
        <f t="shared" si="2178"/>
        <v>17.77000000000001</v>
      </c>
      <c r="CK234" s="30">
        <f t="shared" si="2178"/>
        <v>15.539999999999978</v>
      </c>
      <c r="CL234" s="64">
        <f t="shared" ref="CL234" si="2179">CL41-CL240</f>
        <v>17.44000000000009</v>
      </c>
      <c r="CM234" s="30">
        <f t="shared" si="2178"/>
        <v>10.658816586205985</v>
      </c>
      <c r="CN234" s="30">
        <f t="shared" si="2178"/>
        <v>16.078101401652265</v>
      </c>
      <c r="CO234" s="30">
        <f t="shared" si="2178"/>
        <v>18.78439057182862</v>
      </c>
      <c r="CP234" s="30">
        <f t="shared" si="2178"/>
        <v>26.433268938815242</v>
      </c>
      <c r="CQ234" s="30">
        <f t="shared" si="2178"/>
        <v>12.799587839966701</v>
      </c>
      <c r="CR234" s="30">
        <f t="shared" si="2178"/>
        <v>18.601497646898409</v>
      </c>
      <c r="CS234" s="30">
        <f t="shared" si="2178"/>
        <v>22.180548602205025</v>
      </c>
      <c r="CT234" s="30">
        <f t="shared" si="2178"/>
        <v>30.817843818350028</v>
      </c>
      <c r="CU234" s="30">
        <f t="shared" ref="CU234:DB234" si="2180">CU41-CU240</f>
        <v>15.888646409891383</v>
      </c>
      <c r="CV234" s="30">
        <f t="shared" si="2180"/>
        <v>21.952939308394317</v>
      </c>
      <c r="CW234" s="30">
        <f t="shared" si="2180"/>
        <v>25.765551164160321</v>
      </c>
      <c r="CX234" s="30">
        <f t="shared" si="2180"/>
        <v>34.538311632801708</v>
      </c>
      <c r="CY234" s="30">
        <f t="shared" si="2180"/>
        <v>19.392652419718562</v>
      </c>
      <c r="CZ234" s="30">
        <f t="shared" si="2180"/>
        <v>25.589795102293145</v>
      </c>
      <c r="DA234" s="30">
        <f t="shared" si="2180"/>
        <v>29.495251159279867</v>
      </c>
      <c r="DB234" s="30">
        <f t="shared" si="2180"/>
        <v>38.353174723052106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1.0544300706853214</v>
      </c>
      <c r="C244" s="84">
        <f>C8/C165</f>
        <v>1.5854643538127251</v>
      </c>
      <c r="D244" s="84">
        <f>D8/D165</f>
        <v>1.7947401883700831</v>
      </c>
      <c r="E244" s="84">
        <f t="shared" ref="E244:Y244" si="2235">E10/(E161+E148+E138)</f>
        <v>1.113562912149153</v>
      </c>
      <c r="F244" s="84">
        <f t="shared" si="2235"/>
        <v>0.96838729624668685</v>
      </c>
      <c r="G244" s="84">
        <f t="shared" si="2235"/>
        <v>1.0387162450822864</v>
      </c>
      <c r="H244" s="84">
        <f t="shared" si="2235"/>
        <v>0.80593967716817927</v>
      </c>
      <c r="I244" s="84">
        <f t="shared" si="2235"/>
        <v>0.66908427408591287</v>
      </c>
      <c r="J244" s="84">
        <f t="shared" si="2235"/>
        <v>0.71461643641722794</v>
      </c>
      <c r="K244" s="84">
        <f t="shared" si="2235"/>
        <v>0.69487372998967489</v>
      </c>
      <c r="L244" s="84">
        <f t="shared" si="2235"/>
        <v>0.6742055482770265</v>
      </c>
      <c r="M244" s="84">
        <f t="shared" si="2235"/>
        <v>0.7778943468549504</v>
      </c>
      <c r="N244" s="84">
        <f t="shared" si="2235"/>
        <v>0.75281763352290509</v>
      </c>
      <c r="O244" s="84">
        <f t="shared" si="2235"/>
        <v>0.95223339291559816</v>
      </c>
      <c r="P244" s="84">
        <f t="shared" si="2235"/>
        <v>0.93775343178939308</v>
      </c>
      <c r="Q244" s="84">
        <f t="shared" si="2235"/>
        <v>0.94295497955496699</v>
      </c>
      <c r="R244" s="84">
        <f t="shared" si="2235"/>
        <v>1.0803771671509645</v>
      </c>
      <c r="S244" s="84">
        <f t="shared" si="2235"/>
        <v>0.94236788019887252</v>
      </c>
      <c r="T244" s="84">
        <f t="shared" si="2235"/>
        <v>0.99696137790981898</v>
      </c>
      <c r="U244" s="84">
        <f t="shared" si="2235"/>
        <v>0.88069280423595198</v>
      </c>
      <c r="V244" s="84">
        <f t="shared" si="2235"/>
        <v>0.57292933436872728</v>
      </c>
      <c r="W244" s="84">
        <f t="shared" si="2235"/>
        <v>0.91461274734767695</v>
      </c>
      <c r="X244" s="84">
        <f t="shared" si="2235"/>
        <v>1.106642084066118</v>
      </c>
      <c r="Y244" s="84">
        <f t="shared" si="2235"/>
        <v>0.84068418179527737</v>
      </c>
      <c r="Z244" s="84">
        <f>Z10/(Z161+Z148+Z138)</f>
        <v>0.78172566213952166</v>
      </c>
      <c r="AA244" s="84">
        <f>AA10/(AA161+AA148+AA138)</f>
        <v>0.77861688471308022</v>
      </c>
      <c r="AB244" s="50">
        <f t="shared" ref="AA244:AE244" si="2236">AB10/(AB161+AB148+AB138)</f>
        <v>0.7388858511139208</v>
      </c>
      <c r="AC244" s="50">
        <f t="shared" si="2236"/>
        <v>0.70459871649385963</v>
      </c>
      <c r="AD244" s="50">
        <f t="shared" si="2236"/>
        <v>0.67109239999668557</v>
      </c>
      <c r="AE244" s="50">
        <f t="shared" si="2236"/>
        <v>0.63767281166787526</v>
      </c>
      <c r="AL244" s="84">
        <f>SUM(AI10:AL10)/(AL161+AL148+AL138)</f>
        <v>0.75302777150598321</v>
      </c>
      <c r="AM244" s="84">
        <f t="shared" ref="AM244:CL244" si="2237">SUM(AJ10:AM10)/(AM161+AM148+AM138)</f>
        <v>0.76470324225342001</v>
      </c>
      <c r="AN244" s="84">
        <f t="shared" si="2237"/>
        <v>0.8240850597791366</v>
      </c>
      <c r="AO244" s="84">
        <f t="shared" si="2237"/>
        <v>0.87015346943908412</v>
      </c>
      <c r="AP244" s="84">
        <f t="shared" si="2237"/>
        <v>0.95334225102679093</v>
      </c>
      <c r="AQ244" s="84">
        <f t="shared" si="2237"/>
        <v>0.9874011431552866</v>
      </c>
      <c r="AR244" s="84">
        <f t="shared" si="2237"/>
        <v>0.92775522123727072</v>
      </c>
      <c r="AS244" s="84">
        <f t="shared" si="2237"/>
        <v>0.90906894338092192</v>
      </c>
      <c r="AT244" s="84">
        <f t="shared" si="2237"/>
        <v>0.93746360132005868</v>
      </c>
      <c r="AU244" s="84">
        <f t="shared" si="2237"/>
        <v>1.0042438879169748</v>
      </c>
      <c r="AV244" s="84">
        <f t="shared" si="2237"/>
        <v>0.95072890833051149</v>
      </c>
      <c r="AW244" s="84">
        <f t="shared" si="2237"/>
        <v>0.9298726242755847</v>
      </c>
      <c r="AX244" s="84">
        <f t="shared" si="2237"/>
        <v>0.94834877905266268</v>
      </c>
      <c r="AY244" s="84">
        <f t="shared" si="2237"/>
        <v>0.99345486626485779</v>
      </c>
      <c r="AZ244" s="84">
        <f t="shared" si="2237"/>
        <v>0.97163347049753201</v>
      </c>
      <c r="BA244" s="84">
        <f t="shared" si="2237"/>
        <v>0.98862868185592623</v>
      </c>
      <c r="BB244" s="84">
        <f t="shared" si="2237"/>
        <v>1.0812702565504315</v>
      </c>
      <c r="BC244" s="84">
        <f t="shared" si="2237"/>
        <v>1.1112514646995997</v>
      </c>
      <c r="BD244" s="84">
        <f t="shared" si="2237"/>
        <v>1.0326090098771381</v>
      </c>
      <c r="BE244" s="84">
        <f t="shared" si="2237"/>
        <v>0.95942931098277084</v>
      </c>
      <c r="BF244" s="84">
        <f t="shared" si="2237"/>
        <v>0.94636653093975931</v>
      </c>
      <c r="BG244" s="84">
        <f t="shared" si="2237"/>
        <v>0.99702737884467463</v>
      </c>
      <c r="BH244" s="84">
        <f t="shared" si="2237"/>
        <v>1.0611135183816347</v>
      </c>
      <c r="BI244" s="84">
        <f t="shared" si="2237"/>
        <v>1.0543346720705504</v>
      </c>
      <c r="BJ244" s="84">
        <f t="shared" si="2237"/>
        <v>0.99778689450111024</v>
      </c>
      <c r="BK244" s="84">
        <f t="shared" si="2237"/>
        <v>1.0174485892341478</v>
      </c>
      <c r="BL244" s="84">
        <f t="shared" si="2237"/>
        <v>1.0024563761499781</v>
      </c>
      <c r="BM244" s="84">
        <f t="shared" si="2237"/>
        <v>0.92290239857144951</v>
      </c>
      <c r="BN244" s="84">
        <f t="shared" si="2237"/>
        <v>0.88153849589471422</v>
      </c>
      <c r="BO244" s="84">
        <f t="shared" si="2237"/>
        <v>0.83434343902338071</v>
      </c>
      <c r="BP244" s="84">
        <f t="shared" si="2237"/>
        <v>0.6564328128436332</v>
      </c>
      <c r="BQ244" s="84">
        <f t="shared" si="2237"/>
        <v>0.55838517938800569</v>
      </c>
      <c r="BR244" s="84">
        <f t="shared" si="2237"/>
        <v>0.5734586730803074</v>
      </c>
      <c r="BS244" s="84">
        <f t="shared" si="2237"/>
        <v>0.64912015225283692</v>
      </c>
      <c r="BT244" s="84">
        <f t="shared" si="2237"/>
        <v>0.7546638482086625</v>
      </c>
      <c r="BU244" s="84">
        <f t="shared" si="2237"/>
        <v>0.8730557841685106</v>
      </c>
      <c r="BV244" s="84">
        <f t="shared" si="2237"/>
        <v>0.9153787960661407</v>
      </c>
      <c r="BW244" s="84">
        <f t="shared" si="2237"/>
        <v>1.0288099532513584</v>
      </c>
      <c r="BX244" s="84">
        <f t="shared" si="2237"/>
        <v>1.0768637390489835</v>
      </c>
      <c r="BY244" s="84">
        <f t="shared" si="2237"/>
        <v>1.1274277410865368</v>
      </c>
      <c r="BZ244" s="84">
        <f t="shared" si="2237"/>
        <v>1.1073598919648884</v>
      </c>
      <c r="CA244" s="84">
        <f t="shared" si="2237"/>
        <v>1.0979537373693666</v>
      </c>
      <c r="CB244" s="84">
        <f t="shared" si="2237"/>
        <v>0.97467157921483916</v>
      </c>
      <c r="CC244" s="84">
        <f t="shared" si="2237"/>
        <v>0.87369705307209433</v>
      </c>
      <c r="CD244" s="84">
        <f t="shared" si="2237"/>
        <v>0.84114728001829964</v>
      </c>
      <c r="CE244" s="84">
        <f t="shared" si="2237"/>
        <v>0.84677032496709093</v>
      </c>
      <c r="CF244" s="84">
        <f t="shared" si="2237"/>
        <v>0.85066504599882176</v>
      </c>
      <c r="CG244" s="84">
        <f t="shared" si="2237"/>
        <v>0.81877511652622781</v>
      </c>
      <c r="CH244" s="84">
        <f t="shared" si="2237"/>
        <v>0.78172566213952177</v>
      </c>
      <c r="CI244" s="84">
        <f t="shared" si="2237"/>
        <v>0.78614788420846593</v>
      </c>
      <c r="CJ244" s="84">
        <f t="shared" si="2237"/>
        <v>0.76638472936780389</v>
      </c>
      <c r="CK244" s="50">
        <f t="shared" ref="CK244" si="2238">SUM(CH10:CK10)/(CK161+CK148+CK138)</f>
        <v>0.72925580953089664</v>
      </c>
      <c r="CL244" s="84">
        <f t="shared" si="2237"/>
        <v>0.77900595262493921</v>
      </c>
      <c r="CM244" s="50">
        <f t="shared" ref="CM244:DB244" si="2239">SUM(CJ10:CM10)/(CM161+CM148+CM138)</f>
        <v>0.81171360529944103</v>
      </c>
      <c r="CN244" s="50">
        <f t="shared" si="2239"/>
        <v>0.80565898717889983</v>
      </c>
      <c r="CO244" s="50">
        <f t="shared" si="2239"/>
        <v>0.78552370892001588</v>
      </c>
      <c r="CP244" s="50">
        <f t="shared" si="2239"/>
        <v>0.7388858511139208</v>
      </c>
      <c r="CQ244" s="50">
        <f t="shared" si="2239"/>
        <v>0.77652416283945824</v>
      </c>
      <c r="CR244" s="50">
        <f t="shared" si="2239"/>
        <v>0.77326773573460128</v>
      </c>
      <c r="CS244" s="50">
        <f t="shared" si="2239"/>
        <v>0.7539402285234722</v>
      </c>
      <c r="CT244" s="50">
        <f t="shared" si="2239"/>
        <v>0.70459871649385963</v>
      </c>
      <c r="CU244" s="50">
        <f t="shared" si="2239"/>
        <v>0.73974036063721893</v>
      </c>
      <c r="CV244" s="50">
        <f t="shared" si="2239"/>
        <v>0.73616325655308412</v>
      </c>
      <c r="CW244" s="50">
        <f t="shared" si="2239"/>
        <v>0.71736508000199439</v>
      </c>
      <c r="CX244" s="50">
        <f t="shared" si="2239"/>
        <v>0.67109239999668557</v>
      </c>
      <c r="CY244" s="50">
        <f t="shared" si="2239"/>
        <v>0.70232179834387587</v>
      </c>
      <c r="CZ244" s="50">
        <f t="shared" si="2239"/>
        <v>0.69816463252745131</v>
      </c>
      <c r="DA244" s="50">
        <f t="shared" si="2239"/>
        <v>0.6802499044731285</v>
      </c>
      <c r="DB244" s="50">
        <f t="shared" si="2239"/>
        <v>0.63767281166787526</v>
      </c>
      <c r="DE244" s="138"/>
      <c r="DF244" s="84">
        <v>0.77900595262493921</v>
      </c>
    </row>
    <row r="245" spans="1:110" s="84" customFormat="1" x14ac:dyDescent="0.2">
      <c r="A245" s="84" t="s">
        <v>513</v>
      </c>
      <c r="E245" s="181">
        <f>+E42</f>
        <v>5.2549639881674555E-2</v>
      </c>
      <c r="F245" s="181">
        <f t="shared" ref="F245:AE245" si="2240">+F42</f>
        <v>1.7077479948667002E-2</v>
      </c>
      <c r="G245" s="181">
        <f t="shared" si="2240"/>
        <v>4.2734981563337354E-2</v>
      </c>
      <c r="H245" s="181">
        <f t="shared" si="2240"/>
        <v>9.0476177988617998E-2</v>
      </c>
      <c r="I245" s="181">
        <f t="shared" si="2240"/>
        <v>9.24981072251881E-2</v>
      </c>
      <c r="J245" s="181">
        <f t="shared" si="2240"/>
        <v>2.8400965163727979E-2</v>
      </c>
      <c r="K245" s="181">
        <f t="shared" si="2240"/>
        <v>7.8407470011247815E-2</v>
      </c>
      <c r="L245" s="181">
        <f t="shared" si="2240"/>
        <v>0.11334736582195623</v>
      </c>
      <c r="M245" s="181">
        <f t="shared" si="2240"/>
        <v>5.5764487065963708E-2</v>
      </c>
      <c r="N245" s="181">
        <f t="shared" si="2240"/>
        <v>2.4599025813939163E-2</v>
      </c>
      <c r="O245" s="181">
        <f t="shared" si="2240"/>
        <v>2.6502732105291464E-2</v>
      </c>
      <c r="P245" s="181">
        <f t="shared" si="2240"/>
        <v>2.0311630522697903E-2</v>
      </c>
      <c r="Q245" s="181">
        <f t="shared" si="2240"/>
        <v>3.4710014233255738E-2</v>
      </c>
      <c r="R245" s="181">
        <f t="shared" si="2240"/>
        <v>0.11544536404415279</v>
      </c>
      <c r="S245" s="181">
        <f t="shared" si="2240"/>
        <v>0.10635910337275904</v>
      </c>
      <c r="T245" s="181">
        <f t="shared" si="2240"/>
        <v>0.14314490271669028</v>
      </c>
      <c r="U245" s="181">
        <f t="shared" si="2240"/>
        <v>0.14614312856238121</v>
      </c>
      <c r="V245" s="181">
        <f t="shared" si="2240"/>
        <v>0.12697235506227145</v>
      </c>
      <c r="W245" s="181">
        <f t="shared" si="2240"/>
        <v>7.5265643447461644E-2</v>
      </c>
      <c r="X245" s="181">
        <f t="shared" si="2240"/>
        <v>0.18498655655847909</v>
      </c>
      <c r="Y245" s="181">
        <f t="shared" si="2240"/>
        <v>0.14312116015384357</v>
      </c>
      <c r="Z245" s="181">
        <f t="shared" si="2240"/>
        <v>5.8698799575918476E-2</v>
      </c>
      <c r="AA245" s="181">
        <f t="shared" ref="AA245" si="2241">+AA42</f>
        <v>3.917097839749778E-2</v>
      </c>
      <c r="AB245" s="182">
        <f t="shared" si="2240"/>
        <v>4.211276738084125E-2</v>
      </c>
      <c r="AC245" s="182">
        <f t="shared" si="2240"/>
        <v>4.9208291266528412E-2</v>
      </c>
      <c r="AD245" s="182">
        <f t="shared" si="2240"/>
        <v>5.6932339022738469E-2</v>
      </c>
      <c r="AE245" s="182">
        <f t="shared" si="2240"/>
        <v>6.5100707639001068E-2</v>
      </c>
      <c r="AL245" s="181">
        <f t="shared" ref="AL245:CW245" si="2242">+AL42</f>
        <v>3.1503228322572296E-2</v>
      </c>
      <c r="AM245" s="181">
        <f t="shared" si="2242"/>
        <v>3.1235624252461215E-2</v>
      </c>
      <c r="AN245" s="181">
        <f t="shared" si="2242"/>
        <v>2.2440448020192318E-2</v>
      </c>
      <c r="AO245" s="181">
        <f t="shared" si="2242"/>
        <v>8.2836968955860377E-3</v>
      </c>
      <c r="AP245" s="181">
        <f t="shared" si="2242"/>
        <v>4.2457750886709847E-2</v>
      </c>
      <c r="AQ245" s="181">
        <f t="shared" si="2242"/>
        <v>2.353987270685148E-2</v>
      </c>
      <c r="AR245" s="181">
        <f t="shared" si="2242"/>
        <v>4.3856217672882128E-2</v>
      </c>
      <c r="AS245" s="181">
        <f t="shared" si="2242"/>
        <v>1.0236007570782963E-2</v>
      </c>
      <c r="AT245" s="181">
        <f t="shared" si="2242"/>
        <v>8.989341209708299E-3</v>
      </c>
      <c r="AU245" s="181">
        <f t="shared" si="2242"/>
        <v>2.2694736842105243E-2</v>
      </c>
      <c r="AV245" s="181">
        <f t="shared" si="2242"/>
        <v>3.1122846506796045E-2</v>
      </c>
      <c r="AW245" s="181">
        <f t="shared" si="2242"/>
        <v>1.8335997158586258E-2</v>
      </c>
      <c r="AX245" s="181">
        <f t="shared" si="2242"/>
        <v>5.5871380351749773E-2</v>
      </c>
      <c r="AY245" s="181">
        <f t="shared" si="2242"/>
        <v>9.9739486416077411E-2</v>
      </c>
      <c r="AZ245" s="181">
        <f t="shared" si="2242"/>
        <v>0.11798854330860035</v>
      </c>
      <c r="BA245" s="181">
        <f t="shared" si="2242"/>
        <v>0.11853048319472144</v>
      </c>
      <c r="BB245" s="181">
        <f t="shared" si="2242"/>
        <v>0.12313705551495142</v>
      </c>
      <c r="BC245" s="181">
        <f t="shared" si="2242"/>
        <v>9.1141468320482616E-2</v>
      </c>
      <c r="BD245" s="181">
        <f t="shared" si="2242"/>
        <v>0.11554030271031336</v>
      </c>
      <c r="BE245" s="181">
        <f t="shared" si="2242"/>
        <v>8.8460755715351835E-2</v>
      </c>
      <c r="BF245" s="181">
        <f t="shared" si="2242"/>
        <v>0.12635814889336003</v>
      </c>
      <c r="BG245" s="181">
        <f t="shared" si="2242"/>
        <v>9.7890141869770742E-2</v>
      </c>
      <c r="BH245" s="181">
        <f t="shared" si="2242"/>
        <v>0.15143374584968305</v>
      </c>
      <c r="BI245" s="181">
        <f t="shared" si="2242"/>
        <v>0.14257509519108733</v>
      </c>
      <c r="BJ245" s="181">
        <f t="shared" si="2242"/>
        <v>0.17024893080381623</v>
      </c>
      <c r="BK245" s="181">
        <f t="shared" si="2242"/>
        <v>0.13952820365516505</v>
      </c>
      <c r="BL245" s="181">
        <f t="shared" si="2242"/>
        <v>0.15435905984330722</v>
      </c>
      <c r="BM245" s="181">
        <f t="shared" si="2242"/>
        <v>0.15256077909339297</v>
      </c>
      <c r="BN245" s="181">
        <f t="shared" si="2242"/>
        <v>0.13848219024131359</v>
      </c>
      <c r="BO245" s="181">
        <f t="shared" si="2242"/>
        <v>0.12863606981254033</v>
      </c>
      <c r="BP245" s="181">
        <f t="shared" si="2242"/>
        <v>0.10297832735008636</v>
      </c>
      <c r="BQ245" s="181">
        <f t="shared" si="2242"/>
        <v>2.7230731825917797E-2</v>
      </c>
      <c r="BR245" s="181">
        <f t="shared" si="2242"/>
        <v>0.18731891792979349</v>
      </c>
      <c r="BS245" s="181">
        <f t="shared" si="2242"/>
        <v>8.5297624507016279E-2</v>
      </c>
      <c r="BT245" s="181">
        <f t="shared" si="2242"/>
        <v>7.204819277108436E-2</v>
      </c>
      <c r="BU245" s="181">
        <f t="shared" si="2242"/>
        <v>1.7716064160881142E-2</v>
      </c>
      <c r="BV245" s="181">
        <f t="shared" si="2242"/>
        <v>0.11372032782708395</v>
      </c>
      <c r="BW245" s="181">
        <f t="shared" si="2242"/>
        <v>0.13852080480842868</v>
      </c>
      <c r="BX245" s="181">
        <f t="shared" si="2242"/>
        <v>0.19184945784169358</v>
      </c>
      <c r="BY245" s="181">
        <f t="shared" si="2242"/>
        <v>0.19693780248646123</v>
      </c>
      <c r="BZ245" s="181">
        <f t="shared" si="2242"/>
        <v>0.20206919413088609</v>
      </c>
      <c r="CA245" s="181">
        <f t="shared" si="2242"/>
        <v>0.16384180790960456</v>
      </c>
      <c r="CB245" s="181">
        <f t="shared" si="2242"/>
        <v>0.19069433712330278</v>
      </c>
      <c r="CC245" s="181">
        <f t="shared" si="2242"/>
        <v>0.13891059623629792</v>
      </c>
      <c r="CD245" s="181">
        <f t="shared" si="2242"/>
        <v>9.84743154811559E-2</v>
      </c>
      <c r="CE245" s="181">
        <f t="shared" si="2242"/>
        <v>8.701418658077352E-2</v>
      </c>
      <c r="CF245" s="181">
        <f t="shared" si="2242"/>
        <v>6.2162772605215043E-2</v>
      </c>
      <c r="CG245" s="181">
        <f t="shared" si="2242"/>
        <v>3.6677254074606286E-2</v>
      </c>
      <c r="CH245" s="181">
        <f t="shared" si="2242"/>
        <v>5.1060017915795758E-2</v>
      </c>
      <c r="CI245" s="181">
        <f t="shared" si="2242"/>
        <v>4.2163985469641875E-2</v>
      </c>
      <c r="CJ245" s="181">
        <f t="shared" si="2242"/>
        <v>5.131092631092634E-2</v>
      </c>
      <c r="CK245" s="182">
        <f t="shared" si="2242"/>
        <v>4.0167493796525996E-2</v>
      </c>
      <c r="CL245" s="181">
        <f t="shared" ref="CL245" si="2243">+CL42</f>
        <v>2.9467423628007722E-2</v>
      </c>
      <c r="CM245" s="182">
        <f t="shared" si="2242"/>
        <v>2.8681981921580512E-2</v>
      </c>
      <c r="CN245" s="182">
        <f t="shared" si="2242"/>
        <v>4.7512892076946103E-2</v>
      </c>
      <c r="CO245" s="182">
        <f t="shared" si="2242"/>
        <v>4.8354660549000741E-2</v>
      </c>
      <c r="CP245" s="182">
        <f t="shared" si="2242"/>
        <v>4.3323966198972878E-2</v>
      </c>
      <c r="CQ245" s="182">
        <f t="shared" si="2242"/>
        <v>3.4647220267626663E-2</v>
      </c>
      <c r="CR245" s="182">
        <f t="shared" si="2242"/>
        <v>5.4884418408511541E-2</v>
      </c>
      <c r="CS245" s="182">
        <f t="shared" si="2242"/>
        <v>5.6662590261988749E-2</v>
      </c>
      <c r="CT245" s="182">
        <f t="shared" si="2242"/>
        <v>5.0081772511553727E-2</v>
      </c>
      <c r="CU245" s="182">
        <f t="shared" si="2242"/>
        <v>4.2881699794296076E-2</v>
      </c>
      <c r="CV245" s="182">
        <f t="shared" si="2242"/>
        <v>6.4438727604110638E-2</v>
      </c>
      <c r="CW245" s="182">
        <f t="shared" si="2242"/>
        <v>6.5422141659662772E-2</v>
      </c>
      <c r="CX245" s="182">
        <f t="shared" ref="CX245:DB245" si="2244">+CX42</f>
        <v>5.5809670374371505E-2</v>
      </c>
      <c r="CY245" s="182">
        <f t="shared" si="2244"/>
        <v>5.2078859497676599E-2</v>
      </c>
      <c r="CZ245" s="182">
        <f t="shared" si="2244"/>
        <v>7.4703705011218868E-2</v>
      </c>
      <c r="DA245" s="182">
        <f t="shared" si="2244"/>
        <v>7.4477563537215768E-2</v>
      </c>
      <c r="DB245" s="182">
        <f t="shared" si="2244"/>
        <v>6.1638838842232903E-2</v>
      </c>
      <c r="DE245" s="138"/>
      <c r="DF245" s="84">
        <v>3.9171207408619922E-2</v>
      </c>
    </row>
    <row r="246" spans="1:110" s="84" customFormat="1" x14ac:dyDescent="0.2">
      <c r="A246" s="84" t="s">
        <v>514</v>
      </c>
      <c r="E246" s="84">
        <f>(E161+E148+E138+E140)/E120</f>
        <v>4.0303433481425914</v>
      </c>
      <c r="F246" s="84">
        <f t="shared" ref="F246:AE246" si="2245">(F161+F148+F138+F140)/F120</f>
        <v>4.5265286484845237</v>
      </c>
      <c r="G246" s="84">
        <f t="shared" si="2245"/>
        <v>3.9410346692441349</v>
      </c>
      <c r="H246" s="84">
        <f t="shared" si="2245"/>
        <v>4.0824094117380216</v>
      </c>
      <c r="I246" s="84">
        <f t="shared" si="2245"/>
        <v>4.1078058238779098</v>
      </c>
      <c r="J246" s="84">
        <f t="shared" si="2245"/>
        <v>3.8882607600393704</v>
      </c>
      <c r="K246" s="84">
        <f t="shared" si="2245"/>
        <v>3.3085846082604595</v>
      </c>
      <c r="L246" s="84">
        <f t="shared" si="2245"/>
        <v>3.0871667759513417</v>
      </c>
      <c r="M246" s="84">
        <f t="shared" si="2245"/>
        <v>2.6052637594261885</v>
      </c>
      <c r="N246" s="84">
        <f t="shared" si="2245"/>
        <v>3.0778808918370495</v>
      </c>
      <c r="O246" s="84">
        <f t="shared" si="2245"/>
        <v>2.8468357887157145</v>
      </c>
      <c r="P246" s="84">
        <f t="shared" si="2245"/>
        <v>2.712713399777392</v>
      </c>
      <c r="Q246" s="84">
        <f t="shared" si="2245"/>
        <v>2.5652632219045617</v>
      </c>
      <c r="R246" s="84">
        <f t="shared" si="2245"/>
        <v>1.8487643606909658</v>
      </c>
      <c r="S246" s="84">
        <f t="shared" si="2245"/>
        <v>1.7657380732490664</v>
      </c>
      <c r="T246" s="84">
        <f t="shared" si="2245"/>
        <v>1.6078705776981639</v>
      </c>
      <c r="U246" s="84">
        <f t="shared" si="2245"/>
        <v>1.420721118469463</v>
      </c>
      <c r="V246" s="84">
        <f t="shared" si="2245"/>
        <v>1.3279689865497537</v>
      </c>
      <c r="W246" s="84">
        <f t="shared" si="2245"/>
        <v>1.3221722989659515</v>
      </c>
      <c r="X246" s="84">
        <f t="shared" si="2245"/>
        <v>1.2711757655806672</v>
      </c>
      <c r="Y246" s="84">
        <f t="shared" si="2245"/>
        <v>1.2511889751008469</v>
      </c>
      <c r="Z246" s="84">
        <f t="shared" si="2245"/>
        <v>1.2682407966203981</v>
      </c>
      <c r="AA246" s="84">
        <f t="shared" ref="AA246" si="2246">(AA161+AA148+AA138+AA140)/AA120</f>
        <v>1.2252040921267207</v>
      </c>
      <c r="AB246" s="50">
        <f t="shared" si="2245"/>
        <v>1.2188727691518484</v>
      </c>
      <c r="AC246" s="50">
        <f t="shared" si="2245"/>
        <v>1.2087041218274459</v>
      </c>
      <c r="AD246" s="50">
        <f t="shared" si="2245"/>
        <v>1.1980014353657018</v>
      </c>
      <c r="AE246" s="50">
        <f t="shared" si="2245"/>
        <v>1.1873012640702789</v>
      </c>
      <c r="AL246" s="84">
        <f t="shared" ref="AL246:CW246" si="2247">(AL161+AL148+AL138+AL140)/AL120</f>
        <v>3.0779077770130763</v>
      </c>
      <c r="AM246" s="84">
        <f t="shared" si="2247"/>
        <v>3.0397794832991023</v>
      </c>
      <c r="AN246" s="84">
        <f t="shared" si="2247"/>
        <v>2.9767906097788188</v>
      </c>
      <c r="AO246" s="84">
        <f t="shared" si="2247"/>
        <v>2.9656980393380521</v>
      </c>
      <c r="AP246" s="84">
        <f t="shared" si="2247"/>
        <v>2.8468226902350766</v>
      </c>
      <c r="AQ246" s="84">
        <f t="shared" si="2247"/>
        <v>2.7063056351287065</v>
      </c>
      <c r="AR246" s="84">
        <f t="shared" si="2247"/>
        <v>2.7612049592202608</v>
      </c>
      <c r="AS246" s="84">
        <f t="shared" si="2247"/>
        <v>2.812426806479376</v>
      </c>
      <c r="AT246" s="84">
        <f t="shared" si="2247"/>
        <v>2.7127153245874704</v>
      </c>
      <c r="AU246" s="84">
        <f t="shared" si="2247"/>
        <v>2.5628516906322707</v>
      </c>
      <c r="AV246" s="84">
        <f t="shared" si="2247"/>
        <v>2.7731834208644623</v>
      </c>
      <c r="AW246" s="84">
        <f t="shared" si="2247"/>
        <v>2.7167226995131313</v>
      </c>
      <c r="AX246" s="84">
        <f t="shared" si="2247"/>
        <v>2.5653087982638567</v>
      </c>
      <c r="AY246" s="84">
        <f t="shared" si="2247"/>
        <v>2.3361436972881577</v>
      </c>
      <c r="AZ246" s="84">
        <f t="shared" si="2247"/>
        <v>2.3868093066268727</v>
      </c>
      <c r="BA246" s="84">
        <f t="shared" si="2247"/>
        <v>2.3188739090669763</v>
      </c>
      <c r="BB246" s="84">
        <f t="shared" si="2247"/>
        <v>1.8487643606909663</v>
      </c>
      <c r="BC246" s="84">
        <f t="shared" si="2247"/>
        <v>1.7359222248555011</v>
      </c>
      <c r="BD246" s="84">
        <f t="shared" si="2247"/>
        <v>1.8119810201660733</v>
      </c>
      <c r="BE246" s="84">
        <f t="shared" si="2247"/>
        <v>1.8534165099587261</v>
      </c>
      <c r="BF246" s="84">
        <f t="shared" si="2247"/>
        <v>1.7657380732490662</v>
      </c>
      <c r="BG246" s="84">
        <f t="shared" si="2247"/>
        <v>1.6728066455734396</v>
      </c>
      <c r="BH246" s="84">
        <f t="shared" si="2247"/>
        <v>1.6523111002356816</v>
      </c>
      <c r="BI246" s="84">
        <f t="shared" si="2247"/>
        <v>1.6295987658501787</v>
      </c>
      <c r="BJ246" s="84">
        <f t="shared" si="2247"/>
        <v>1.6078705776981639</v>
      </c>
      <c r="BK246" s="84">
        <f t="shared" si="2247"/>
        <v>1.5168539775700001</v>
      </c>
      <c r="BL246" s="84">
        <f t="shared" si="2247"/>
        <v>1.479509318732231</v>
      </c>
      <c r="BM246" s="84">
        <f t="shared" si="2247"/>
        <v>1.4482519492732093</v>
      </c>
      <c r="BN246" s="84">
        <f t="shared" si="2247"/>
        <v>1.4207211184694628</v>
      </c>
      <c r="BO246" s="84">
        <f t="shared" si="2247"/>
        <v>1.306750639595686</v>
      </c>
      <c r="BP246" s="84">
        <f t="shared" si="2247"/>
        <v>1.4220916952194482</v>
      </c>
      <c r="BQ246" s="84">
        <f t="shared" si="2247"/>
        <v>1.4376878795059969</v>
      </c>
      <c r="BR246" s="84">
        <f t="shared" si="2247"/>
        <v>1.3279689865497537</v>
      </c>
      <c r="BS246" s="84">
        <f t="shared" si="2247"/>
        <v>1.2730123000986047</v>
      </c>
      <c r="BT246" s="84">
        <f t="shared" si="2247"/>
        <v>1.3045136996482185</v>
      </c>
      <c r="BU246" s="84">
        <f t="shared" si="2247"/>
        <v>1.3037776195577861</v>
      </c>
      <c r="BV246" s="84">
        <f t="shared" si="2247"/>
        <v>1.3221722989659515</v>
      </c>
      <c r="BW246" s="84">
        <f t="shared" si="2247"/>
        <v>1.2947563084260039</v>
      </c>
      <c r="BX246" s="84">
        <f t="shared" si="2247"/>
        <v>1.295168328955143</v>
      </c>
      <c r="BY246" s="84">
        <f t="shared" si="2247"/>
        <v>1.2812124352831633</v>
      </c>
      <c r="BZ246" s="84">
        <f t="shared" si="2247"/>
        <v>1.2711757655806672</v>
      </c>
      <c r="CA246" s="84">
        <f t="shared" si="2247"/>
        <v>1.2248716132868924</v>
      </c>
      <c r="CB246" s="84">
        <f t="shared" si="2247"/>
        <v>1.2433518897006515</v>
      </c>
      <c r="CC246" s="84">
        <f t="shared" si="2247"/>
        <v>1.2691139533331901</v>
      </c>
      <c r="CD246" s="84">
        <f t="shared" si="2247"/>
        <v>1.2511889751008474</v>
      </c>
      <c r="CE246" s="84">
        <f t="shared" si="2247"/>
        <v>1.2174960829130559</v>
      </c>
      <c r="CF246" s="84">
        <f t="shared" si="2247"/>
        <v>1.2463634605401113</v>
      </c>
      <c r="CG246" s="84">
        <f t="shared" si="2247"/>
        <v>1.2522979233364948</v>
      </c>
      <c r="CH246" s="84">
        <f t="shared" si="2247"/>
        <v>1.2682407966203981</v>
      </c>
      <c r="CI246" s="84">
        <f t="shared" si="2247"/>
        <v>1.2287953857503917</v>
      </c>
      <c r="CJ246" s="84">
        <f t="shared" si="2247"/>
        <v>1.2336613626443396</v>
      </c>
      <c r="CK246" s="50">
        <f t="shared" si="2247"/>
        <v>1.2467786257595175</v>
      </c>
      <c r="CL246" s="84">
        <f t="shared" ref="CL246" si="2248">(CL161+CL148+CL138+CL140)/CL120</f>
        <v>1.2252040921267204</v>
      </c>
      <c r="CM246" s="50">
        <f t="shared" si="2247"/>
        <v>1.1625924948358553</v>
      </c>
      <c r="CN246" s="50">
        <f t="shared" si="2247"/>
        <v>1.151647123790182</v>
      </c>
      <c r="CO246" s="50">
        <f t="shared" si="2247"/>
        <v>1.163101086343818</v>
      </c>
      <c r="CP246" s="50">
        <f t="shared" si="2247"/>
        <v>1.2188727691518484</v>
      </c>
      <c r="CQ246" s="50">
        <f t="shared" si="2247"/>
        <v>1.1538865773058202</v>
      </c>
      <c r="CR246" s="50">
        <f t="shared" si="2247"/>
        <v>1.144117078118315</v>
      </c>
      <c r="CS246" s="50">
        <f t="shared" si="2247"/>
        <v>1.1554787256884136</v>
      </c>
      <c r="CT246" s="50">
        <f t="shared" si="2247"/>
        <v>1.2087041218274459</v>
      </c>
      <c r="CU246" s="50">
        <f t="shared" si="2247"/>
        <v>1.1459701554633268</v>
      </c>
      <c r="CV246" s="50">
        <f t="shared" si="2247"/>
        <v>1.1367710753148679</v>
      </c>
      <c r="CW246" s="50">
        <f t="shared" si="2247"/>
        <v>1.1475502217791407</v>
      </c>
      <c r="CX246" s="50">
        <f t="shared" ref="CX246:DB246" si="2249">(CX161+CX148+CX138+CX140)/CX120</f>
        <v>1.1980014353657018</v>
      </c>
      <c r="CY246" s="50">
        <f t="shared" si="2249"/>
        <v>1.1382189428507747</v>
      </c>
      <c r="CZ246" s="50">
        <f t="shared" si="2249"/>
        <v>1.1294393080555529</v>
      </c>
      <c r="DA246" s="50">
        <f t="shared" si="2249"/>
        <v>1.1395806124856833</v>
      </c>
      <c r="DB246" s="50">
        <f t="shared" si="2249"/>
        <v>1.1873012640702789</v>
      </c>
      <c r="DE246" s="138"/>
      <c r="DF246" s="84">
        <v>1.2252040921267204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0.17518980030821468</v>
      </c>
      <c r="C248" s="88">
        <f t="shared" si="2250"/>
        <v>0.4801053050019875</v>
      </c>
      <c r="D248" s="88">
        <f t="shared" si="2250"/>
        <v>0.67767854119773829</v>
      </c>
      <c r="F248" s="88">
        <f t="shared" si="2250"/>
        <v>0.66496878851202912</v>
      </c>
      <c r="G248" s="88">
        <f t="shared" si="2250"/>
        <v>0.59344951116327416</v>
      </c>
      <c r="H248" s="88">
        <f t="shared" si="2250"/>
        <v>0.51105799831872489</v>
      </c>
      <c r="I248" s="88">
        <f t="shared" si="2250"/>
        <v>0.44180377784940766</v>
      </c>
      <c r="J248" s="88">
        <f t="shared" si="2250"/>
        <v>0.33454301808294312</v>
      </c>
      <c r="K248" s="88">
        <f t="shared" si="2250"/>
        <v>0.40822394785117638</v>
      </c>
      <c r="L248" s="88">
        <f t="shared" si="2250"/>
        <v>0.1019050156013295</v>
      </c>
      <c r="M248" s="88">
        <f t="shared" si="2250"/>
        <v>2.0893034270873478E-2</v>
      </c>
      <c r="N248" s="88">
        <f t="shared" si="2250"/>
        <v>0.20378098342567899</v>
      </c>
      <c r="O248" s="88">
        <f t="shared" si="2250"/>
        <v>7.7995953962328779E-2</v>
      </c>
      <c r="P248" s="88">
        <f t="shared" si="2250"/>
        <v>2.8707786025100497E-2</v>
      </c>
      <c r="Q248" s="88">
        <f t="shared" si="2250"/>
        <v>2.3517388191641179E-2</v>
      </c>
      <c r="R248" s="88">
        <f t="shared" si="2250"/>
        <v>3.3242416728655258E-2</v>
      </c>
      <c r="S248" s="88">
        <f t="shared" si="2250"/>
        <v>0.19823011289233186</v>
      </c>
      <c r="T248" s="88">
        <f t="shared" si="2250"/>
        <v>0.34874608150470215</v>
      </c>
      <c r="U248" s="88">
        <f t="shared" si="2250"/>
        <v>0.32018641157714006</v>
      </c>
      <c r="V248" s="88">
        <f t="shared" si="2250"/>
        <v>0.18111014850402107</v>
      </c>
      <c r="W248" s="88">
        <f t="shared" si="2250"/>
        <v>0.26333189936746171</v>
      </c>
      <c r="X248" s="88">
        <f t="shared" si="2250"/>
        <v>0.30406760590940224</v>
      </c>
      <c r="Y248" s="88">
        <f t="shared" si="2250"/>
        <v>0.31834710224924267</v>
      </c>
      <c r="Z248" s="88">
        <f t="shared" si="2250"/>
        <v>0.33842788171394084</v>
      </c>
      <c r="AA248" s="88">
        <f t="shared" ref="AA248" si="2251">AA161/AA120</f>
        <v>7.1533861907863483E-2</v>
      </c>
      <c r="AB248" s="42">
        <f t="shared" si="2250"/>
        <v>0.12513511198056615</v>
      </c>
      <c r="AC248" s="42">
        <f t="shared" si="2250"/>
        <v>0.18553774673947551</v>
      </c>
      <c r="AD248" s="42">
        <f t="shared" si="2250"/>
        <v>0.24434057734539089</v>
      </c>
      <c r="AE248" s="42">
        <f t="shared" si="2250"/>
        <v>0.30025250825287547</v>
      </c>
      <c r="AL248" s="88">
        <f t="shared" ref="AL248:CW248" si="2252">AL161/AL120</f>
        <v>0.20377150722642806</v>
      </c>
      <c r="AM248" s="88">
        <f t="shared" si="2252"/>
        <v>0.24758466538545781</v>
      </c>
      <c r="AN248" s="88">
        <f t="shared" si="2252"/>
        <v>0.20928375608847247</v>
      </c>
      <c r="AO248" s="88">
        <f t="shared" si="2252"/>
        <v>0.21367401582268356</v>
      </c>
      <c r="AP248" s="88">
        <f t="shared" si="2252"/>
        <v>7.7994428969359333E-2</v>
      </c>
      <c r="AQ248" s="88">
        <f t="shared" si="2252"/>
        <v>0.12694921874416418</v>
      </c>
      <c r="AR248" s="88">
        <f t="shared" si="2252"/>
        <v>1.3382824533494935E-2</v>
      </c>
      <c r="AS248" s="88">
        <f t="shared" si="2252"/>
        <v>-8.7510608801830462E-4</v>
      </c>
      <c r="AT248" s="88">
        <f t="shared" si="2252"/>
        <v>2.8701891715590341E-2</v>
      </c>
      <c r="AU248" s="88">
        <f t="shared" si="2252"/>
        <v>5.9461274732135048E-2</v>
      </c>
      <c r="AV248" s="88">
        <f t="shared" si="2252"/>
        <v>2.3769016445989596E-2</v>
      </c>
      <c r="AW248" s="88">
        <f t="shared" si="2252"/>
        <v>4.1790317256000541E-2</v>
      </c>
      <c r="AX248" s="88">
        <f t="shared" si="2252"/>
        <v>2.3510263134098923E-2</v>
      </c>
      <c r="AY248" s="88">
        <f t="shared" si="2252"/>
        <v>8.9365617372190079E-2</v>
      </c>
      <c r="AZ248" s="88">
        <f t="shared" si="2252"/>
        <v>6.9988860631791331E-3</v>
      </c>
      <c r="BA248" s="88">
        <f t="shared" si="2252"/>
        <v>6.9528277287482565E-2</v>
      </c>
      <c r="BB248" s="88">
        <f t="shared" si="2252"/>
        <v>3.3242416728655258E-2</v>
      </c>
      <c r="BC248" s="88">
        <f t="shared" si="2252"/>
        <v>8.7465492293497121E-2</v>
      </c>
      <c r="BD248" s="88">
        <f t="shared" si="2252"/>
        <v>3.815203103459331E-2</v>
      </c>
      <c r="BE248" s="88">
        <f t="shared" si="2252"/>
        <v>5.0002435600345375E-2</v>
      </c>
      <c r="BF248" s="88">
        <f t="shared" si="2252"/>
        <v>0.19823011289233186</v>
      </c>
      <c r="BG248" s="88">
        <f t="shared" si="2252"/>
        <v>0.23430774271945687</v>
      </c>
      <c r="BH248" s="88">
        <f t="shared" si="2252"/>
        <v>0.2363001790152871</v>
      </c>
      <c r="BI248" s="88">
        <f t="shared" si="2252"/>
        <v>0.27972693610046317</v>
      </c>
      <c r="BJ248" s="88">
        <f t="shared" si="2252"/>
        <v>0.34874608150470215</v>
      </c>
      <c r="BK248" s="88">
        <f t="shared" si="2252"/>
        <v>0.36476219051350933</v>
      </c>
      <c r="BL248" s="88">
        <f t="shared" si="2252"/>
        <v>0.27363377908813308</v>
      </c>
      <c r="BM248" s="88">
        <f t="shared" si="2252"/>
        <v>0.30865886308840185</v>
      </c>
      <c r="BN248" s="88">
        <f t="shared" si="2252"/>
        <v>0.32018641157714006</v>
      </c>
      <c r="BO248" s="88">
        <f t="shared" si="2252"/>
        <v>0.36300506072493138</v>
      </c>
      <c r="BP248" s="88">
        <f t="shared" si="2252"/>
        <v>0.15200637278895893</v>
      </c>
      <c r="BQ248" s="88">
        <f t="shared" si="2252"/>
        <v>0.13829263691048385</v>
      </c>
      <c r="BR248" s="88">
        <f t="shared" si="2252"/>
        <v>0.18111014850402107</v>
      </c>
      <c r="BS248" s="88">
        <f t="shared" si="2252"/>
        <v>0.2347492931831866</v>
      </c>
      <c r="BT248" s="88">
        <f t="shared" si="2252"/>
        <v>0.13910221473517315</v>
      </c>
      <c r="BU248" s="88">
        <f t="shared" si="2252"/>
        <v>0.14232711820478744</v>
      </c>
      <c r="BV248" s="88">
        <f t="shared" si="2252"/>
        <v>0.26333189936746171</v>
      </c>
      <c r="BW248" s="88">
        <f t="shared" si="2252"/>
        <v>0.29903663544074754</v>
      </c>
      <c r="BX248" s="88">
        <f t="shared" si="2252"/>
        <v>0.12735194242145953</v>
      </c>
      <c r="BY248" s="88">
        <f t="shared" si="2252"/>
        <v>0.1901364407593136</v>
      </c>
      <c r="BZ248" s="88">
        <f t="shared" si="2252"/>
        <v>0.30406760590940224</v>
      </c>
      <c r="CA248" s="88">
        <f t="shared" si="2252"/>
        <v>0.3487888102619115</v>
      </c>
      <c r="CB248" s="88">
        <f t="shared" si="2252"/>
        <v>0.33314513488183017</v>
      </c>
      <c r="CC248" s="88">
        <f t="shared" si="2252"/>
        <v>0.33157836382125044</v>
      </c>
      <c r="CD248" s="88">
        <f t="shared" si="2252"/>
        <v>0.31834710224924267</v>
      </c>
      <c r="CE248" s="88">
        <f t="shared" si="2252"/>
        <v>0.34776863369985478</v>
      </c>
      <c r="CF248" s="88">
        <f t="shared" si="2252"/>
        <v>0.37767587210781867</v>
      </c>
      <c r="CG248" s="88">
        <f t="shared" si="2252"/>
        <v>0.37327909945302112</v>
      </c>
      <c r="CH248" s="88">
        <f t="shared" si="2252"/>
        <v>0.33842788171394084</v>
      </c>
      <c r="CI248" s="88">
        <f t="shared" si="2252"/>
        <v>0.3968209930436683</v>
      </c>
      <c r="CJ248" s="88">
        <f t="shared" si="2252"/>
        <v>0.27008352843141148</v>
      </c>
      <c r="CK248" s="42">
        <f t="shared" si="2252"/>
        <v>0.252446448571714</v>
      </c>
      <c r="CL248" s="88">
        <f t="shared" ref="CL248" si="2253">CL161/CL120</f>
        <v>7.1533861907863483E-2</v>
      </c>
      <c r="CM248" s="42">
        <f t="shared" si="2252"/>
        <v>0.24167432893646004</v>
      </c>
      <c r="CN248" s="42">
        <f t="shared" si="2252"/>
        <v>0.27912842911981828</v>
      </c>
      <c r="CO248" s="42">
        <f t="shared" si="2252"/>
        <v>0.25890759848176143</v>
      </c>
      <c r="CP248" s="42">
        <f t="shared" si="2252"/>
        <v>0.12513511198056615</v>
      </c>
      <c r="CQ248" s="42">
        <f t="shared" si="2252"/>
        <v>0.300653936266222</v>
      </c>
      <c r="CR248" s="42">
        <f t="shared" si="2252"/>
        <v>0.33425939149705292</v>
      </c>
      <c r="CS248" s="42">
        <f t="shared" si="2252"/>
        <v>0.31352859663370786</v>
      </c>
      <c r="CT248" s="42">
        <f t="shared" si="2252"/>
        <v>0.18553774673947551</v>
      </c>
      <c r="CU248" s="42">
        <f t="shared" si="2252"/>
        <v>0.35461891221041913</v>
      </c>
      <c r="CV248" s="42">
        <f t="shared" si="2252"/>
        <v>0.38603961284224286</v>
      </c>
      <c r="CW248" s="42">
        <f t="shared" si="2252"/>
        <v>0.36606329845562852</v>
      </c>
      <c r="CX248" s="42">
        <f t="shared" ref="CX248:DB248" si="2254">CX161/CX120</f>
        <v>0.24434057734539089</v>
      </c>
      <c r="CY248" s="42">
        <f t="shared" si="2254"/>
        <v>0.40520743877430404</v>
      </c>
      <c r="CZ248" s="42">
        <f t="shared" si="2254"/>
        <v>0.43485540946949741</v>
      </c>
      <c r="DA248" s="42">
        <f t="shared" si="2254"/>
        <v>0.41578933893691633</v>
      </c>
      <c r="DB248" s="42">
        <f t="shared" si="2254"/>
        <v>0.30025250825287547</v>
      </c>
      <c r="DE248" s="125"/>
      <c r="DF248" s="88">
        <v>7.1533861907863483E-2</v>
      </c>
    </row>
    <row r="249" spans="1:110" s="89" customFormat="1" x14ac:dyDescent="0.2">
      <c r="A249" s="89" t="s">
        <v>103</v>
      </c>
      <c r="C249" s="89">
        <f t="shared" ref="C249:AE249" si="2255">C128/B128-1</f>
        <v>3.5259795294910745E-3</v>
      </c>
      <c r="D249" s="89">
        <f t="shared" si="2255"/>
        <v>-0.14306361352215624</v>
      </c>
      <c r="F249" s="89">
        <f t="shared" si="2255"/>
        <v>0.32259794822217014</v>
      </c>
      <c r="G249" s="89">
        <f t="shared" si="2255"/>
        <v>-0.15024051770578517</v>
      </c>
      <c r="H249" s="89">
        <f t="shared" si="2255"/>
        <v>0.9489149186888528</v>
      </c>
      <c r="I249" s="89">
        <f t="shared" si="2255"/>
        <v>0.39779239632347707</v>
      </c>
      <c r="J249" s="89">
        <f t="shared" si="2255"/>
        <v>8.7046206073240873E-2</v>
      </c>
      <c r="K249" s="89">
        <f>K128/J128-1</f>
        <v>-0.1215461380159889</v>
      </c>
      <c r="L249" s="89">
        <f t="shared" si="2255"/>
        <v>0.2217204790796774</v>
      </c>
      <c r="M249" s="89">
        <f t="shared" si="2255"/>
        <v>-0.44736376750895801</v>
      </c>
      <c r="N249" s="89">
        <f t="shared" si="2255"/>
        <v>0.97733485784615826</v>
      </c>
      <c r="O249" s="89">
        <f t="shared" si="2255"/>
        <v>-0.10346562766664413</v>
      </c>
      <c r="P249" s="89">
        <f t="shared" si="2255"/>
        <v>-0.15548550031016484</v>
      </c>
      <c r="Q249" s="89">
        <f t="shared" si="2255"/>
        <v>-8.2302818918292941E-2</v>
      </c>
      <c r="R249" s="89">
        <f t="shared" si="2255"/>
        <v>-0.43440776642418955</v>
      </c>
      <c r="S249" s="89">
        <f t="shared" si="2255"/>
        <v>-0.12599578256794763</v>
      </c>
      <c r="T249" s="89">
        <f t="shared" si="2255"/>
        <v>-0.35037866094765757</v>
      </c>
      <c r="U249" s="89">
        <f t="shared" si="2255"/>
        <v>-0.89466625399773037</v>
      </c>
      <c r="V249" s="89">
        <f t="shared" si="2255"/>
        <v>-0.238001958863859</v>
      </c>
      <c r="W249" s="89">
        <f t="shared" si="2255"/>
        <v>-0.47300771208226222</v>
      </c>
      <c r="X249" s="89">
        <f t="shared" si="2255"/>
        <v>-1</v>
      </c>
      <c r="Y249" s="89" t="e">
        <f t="shared" si="2255"/>
        <v>#DIV/0!</v>
      </c>
      <c r="Z249" s="89">
        <f t="shared" si="2255"/>
        <v>2.8980952380952383</v>
      </c>
      <c r="AA249" s="89">
        <f t="shared" si="2255"/>
        <v>-1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>
        <f t="shared" ref="AL249:CW249" si="2256">AL128/AK128-1</f>
        <v>1.3635497395502476</v>
      </c>
      <c r="AM249" s="89">
        <f t="shared" si="2256"/>
        <v>0</v>
      </c>
      <c r="AN249" s="89">
        <f t="shared" si="2256"/>
        <v>-6.9341790523288482E-3</v>
      </c>
      <c r="AO249" s="89">
        <f t="shared" si="2256"/>
        <v>0</v>
      </c>
      <c r="AP249" s="89">
        <f t="shared" si="2256"/>
        <v>-3.4452894530298539E-2</v>
      </c>
      <c r="AQ249" s="89">
        <f t="shared" si="2256"/>
        <v>0</v>
      </c>
      <c r="AR249" s="89">
        <f t="shared" si="2256"/>
        <v>-0.12490189483125891</v>
      </c>
      <c r="AS249" s="89">
        <f t="shared" si="2256"/>
        <v>0</v>
      </c>
      <c r="AT249" s="89">
        <f t="shared" si="2256"/>
        <v>-9.1511851377322428E-2</v>
      </c>
      <c r="AU249" s="89">
        <f t="shared" si="2256"/>
        <v>0</v>
      </c>
      <c r="AV249" s="89">
        <f t="shared" si="2256"/>
        <v>5.6728836864929688E-2</v>
      </c>
      <c r="AW249" s="89">
        <f t="shared" si="2256"/>
        <v>0</v>
      </c>
      <c r="AX249" s="89">
        <f t="shared" si="2256"/>
        <v>-0.15014013078873623</v>
      </c>
      <c r="AY249" s="89">
        <f t="shared" si="2256"/>
        <v>0</v>
      </c>
      <c r="AZ249" s="89">
        <f t="shared" si="2256"/>
        <v>-0.12484296482412061</v>
      </c>
      <c r="BA249" s="89">
        <f t="shared" si="2256"/>
        <v>0</v>
      </c>
      <c r="BB249" s="89">
        <f t="shared" si="2256"/>
        <v>-0.47586578144625868</v>
      </c>
      <c r="BC249" s="89">
        <f t="shared" si="2256"/>
        <v>0</v>
      </c>
      <c r="BD249" s="89">
        <f t="shared" si="2256"/>
        <v>8.8154741526873526E-3</v>
      </c>
      <c r="BE249" s="89">
        <f t="shared" si="2256"/>
        <v>0</v>
      </c>
      <c r="BF249" s="89">
        <f t="shared" si="2256"/>
        <v>-0.22117587172308484</v>
      </c>
      <c r="BG249" s="89">
        <f t="shared" si="2256"/>
        <v>0</v>
      </c>
      <c r="BH249" s="89">
        <f t="shared" si="2256"/>
        <v>-0.31993464052287579</v>
      </c>
      <c r="BI249" s="89">
        <f t="shared" si="2256"/>
        <v>0</v>
      </c>
      <c r="BJ249" s="89">
        <f t="shared" si="2256"/>
        <v>-0.17539644401729937</v>
      </c>
      <c r="BK249" s="89">
        <f t="shared" si="2256"/>
        <v>0</v>
      </c>
      <c r="BL249" s="89">
        <f t="shared" si="2256"/>
        <v>-0.36383061383061377</v>
      </c>
      <c r="BM249" s="89">
        <f t="shared" si="2256"/>
        <v>0</v>
      </c>
      <c r="BN249" s="89">
        <f t="shared" si="2256"/>
        <v>-0.79755725190839699</v>
      </c>
      <c r="BO249" s="89">
        <f t="shared" si="2256"/>
        <v>0</v>
      </c>
      <c r="BP249" s="89">
        <f t="shared" si="2256"/>
        <v>0.47209653092006043</v>
      </c>
      <c r="BQ249" s="89">
        <f t="shared" si="2256"/>
        <v>0</v>
      </c>
      <c r="BR249" s="89">
        <f t="shared" si="2256"/>
        <v>-0.2295081967213114</v>
      </c>
      <c r="BS249" s="89">
        <f t="shared" si="2256"/>
        <v>0</v>
      </c>
      <c r="BT249" s="89">
        <f t="shared" si="2256"/>
        <v>-6.2500000000000111E-2</v>
      </c>
      <c r="BU249" s="89">
        <f t="shared" si="2256"/>
        <v>0</v>
      </c>
      <c r="BV249" s="89">
        <f t="shared" si="2256"/>
        <v>-0.41843971631205679</v>
      </c>
      <c r="BW249" s="89">
        <f t="shared" si="2256"/>
        <v>0</v>
      </c>
      <c r="BX249" s="89">
        <f t="shared" si="2256"/>
        <v>-0.15121951219512186</v>
      </c>
      <c r="BY249" s="89">
        <f t="shared" si="2256"/>
        <v>0</v>
      </c>
      <c r="BZ249" s="89">
        <f t="shared" si="2256"/>
        <v>-1</v>
      </c>
      <c r="CA249" s="89" t="e">
        <f t="shared" si="2256"/>
        <v>#DIV/0!</v>
      </c>
      <c r="CB249" s="89" t="e">
        <f t="shared" si="2256"/>
        <v>#DIV/0!</v>
      </c>
      <c r="CC249" s="89" t="e">
        <f t="shared" si="2256"/>
        <v>#DIV/0!</v>
      </c>
      <c r="CD249" s="89" t="e">
        <f t="shared" si="2256"/>
        <v>#DIV/0!</v>
      </c>
      <c r="CE249" s="89">
        <f t="shared" si="2256"/>
        <v>0</v>
      </c>
      <c r="CF249" s="89">
        <f t="shared" si="2256"/>
        <v>2.9261904761904765</v>
      </c>
      <c r="CG249" s="89">
        <f t="shared" si="2256"/>
        <v>0</v>
      </c>
      <c r="CH249" s="89">
        <f t="shared" si="2256"/>
        <v>-7.1558520315343488E-3</v>
      </c>
      <c r="CI249" s="89">
        <f t="shared" si="2256"/>
        <v>0</v>
      </c>
      <c r="CJ249" s="89">
        <f t="shared" si="2256"/>
        <v>-6.2423650134375785E-2</v>
      </c>
      <c r="CK249" s="47">
        <f t="shared" si="2256"/>
        <v>0</v>
      </c>
      <c r="CL249" s="89">
        <f t="shared" si="2256"/>
        <v>-1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  <c r="DF249" s="89">
        <v>-1</v>
      </c>
    </row>
    <row r="250" spans="1:110" s="89" customFormat="1" x14ac:dyDescent="0.2">
      <c r="A250" s="89" t="s">
        <v>104</v>
      </c>
      <c r="C250" s="89">
        <f>C28/B28-1</f>
        <v>0.70455149067959599</v>
      </c>
      <c r="D250" s="89">
        <f>D28/C28-1</f>
        <v>0.75327271622903003</v>
      </c>
      <c r="F250" s="89">
        <f t="shared" ref="F250:AE250" si="2258">F28/E28-1</f>
        <v>-0.46923812967243983</v>
      </c>
      <c r="G250" s="89">
        <f t="shared" si="2258"/>
        <v>0.61891770081091391</v>
      </c>
      <c r="H250" s="89">
        <f t="shared" si="2258"/>
        <v>0.31381162164517162</v>
      </c>
      <c r="I250" s="89">
        <f t="shared" si="2258"/>
        <v>0.31880339944809055</v>
      </c>
      <c r="J250" s="89">
        <f t="shared" si="2258"/>
        <v>-0.18599842022891966</v>
      </c>
      <c r="K250" s="89">
        <f t="shared" si="2258"/>
        <v>0.70249464335761336</v>
      </c>
      <c r="L250" s="89">
        <f t="shared" si="2258"/>
        <v>-2.2803286363786257E-2</v>
      </c>
      <c r="M250" s="89">
        <f t="shared" si="2258"/>
        <v>-0.10419919646124087</v>
      </c>
      <c r="N250" s="89">
        <f t="shared" si="2258"/>
        <v>6.1202060930088065E-2</v>
      </c>
      <c r="O250" s="89">
        <f t="shared" si="2258"/>
        <v>0.17801717033424991</v>
      </c>
      <c r="P250" s="89">
        <f t="shared" si="2258"/>
        <v>-0.27619600662543076</v>
      </c>
      <c r="Q250" s="89">
        <f t="shared" si="2258"/>
        <v>0.19827565015096038</v>
      </c>
      <c r="R250" s="89">
        <f t="shared" si="2258"/>
        <v>0.99497944781385939</v>
      </c>
      <c r="S250" s="89">
        <f t="shared" si="2258"/>
        <v>-3.0896513041039908E-2</v>
      </c>
      <c r="T250" s="89">
        <f t="shared" si="2258"/>
        <v>0.42695220180388871</v>
      </c>
      <c r="U250" s="89">
        <f t="shared" si="2258"/>
        <v>-9.7718438397837337E-2</v>
      </c>
      <c r="V250" s="89">
        <f t="shared" si="2258"/>
        <v>-0.59710047201618321</v>
      </c>
      <c r="W250" s="89">
        <f t="shared" si="2258"/>
        <v>0.5407717340771736</v>
      </c>
      <c r="X250" s="89">
        <f t="shared" si="2258"/>
        <v>2.2232816365940513</v>
      </c>
      <c r="Y250" s="89">
        <f t="shared" si="2258"/>
        <v>-0.36360062157152806</v>
      </c>
      <c r="Z250" s="89">
        <f t="shared" si="2258"/>
        <v>-0.67224641092021686</v>
      </c>
      <c r="AA250" s="89">
        <f t="shared" si="2258"/>
        <v>-0.13903599317834847</v>
      </c>
      <c r="AB250" s="47">
        <f t="shared" si="2258"/>
        <v>2.5541344569706137E-3</v>
      </c>
      <c r="AC250" s="47">
        <f t="shared" si="2258"/>
        <v>-1.7605008382338694E-3</v>
      </c>
      <c r="AD250" s="47">
        <f t="shared" si="2258"/>
        <v>3.0531999928908871E-3</v>
      </c>
      <c r="AE250" s="47">
        <f t="shared" si="2258"/>
        <v>4.8931916501406825E-3</v>
      </c>
      <c r="AL250" s="89">
        <f t="shared" ref="AL250:CW250" si="2259">AL28/AK28-1</f>
        <v>0.10087902888237932</v>
      </c>
      <c r="AM250" s="89">
        <f t="shared" si="2259"/>
        <v>0.23384030418250967</v>
      </c>
      <c r="AN250" s="89">
        <f t="shared" si="2259"/>
        <v>-8.4437596302004647E-2</v>
      </c>
      <c r="AO250" s="89">
        <f t="shared" si="2259"/>
        <v>-0.2049814877145727</v>
      </c>
      <c r="AP250" s="89">
        <f t="shared" si="2259"/>
        <v>0.65283657917019422</v>
      </c>
      <c r="AQ250" s="89">
        <f t="shared" si="2259"/>
        <v>-0.35194672131147509</v>
      </c>
      <c r="AR250" s="89">
        <f t="shared" si="2259"/>
        <v>9.0513833992093229E-2</v>
      </c>
      <c r="AS250" s="89">
        <f t="shared" si="2259"/>
        <v>-0.28198622689380171</v>
      </c>
      <c r="AT250" s="89">
        <f t="shared" si="2259"/>
        <v>-0.16304896516910961</v>
      </c>
      <c r="AU250" s="89">
        <f t="shared" si="2259"/>
        <v>0.41495778045838816</v>
      </c>
      <c r="AV250" s="89">
        <f t="shared" si="2259"/>
        <v>8.6530264279626179E-2</v>
      </c>
      <c r="AW250" s="89">
        <f t="shared" si="2259"/>
        <v>-0.18948607296979403</v>
      </c>
      <c r="AX250" s="89">
        <f t="shared" si="2259"/>
        <v>0.81171345595353439</v>
      </c>
      <c r="AY250" s="89">
        <f t="shared" si="2259"/>
        <v>0.16911568260753529</v>
      </c>
      <c r="AZ250" s="89">
        <f t="shared" si="2259"/>
        <v>0.13871115173674675</v>
      </c>
      <c r="BA250" s="89">
        <f t="shared" si="2259"/>
        <v>0.18001204093919299</v>
      </c>
      <c r="BB250" s="89">
        <f t="shared" si="2259"/>
        <v>4.2517006802721635E-2</v>
      </c>
      <c r="BC250" s="89">
        <f t="shared" si="2259"/>
        <v>-0.34959216965742368</v>
      </c>
      <c r="BD250" s="89">
        <f t="shared" si="2259"/>
        <v>0.20541760722347746</v>
      </c>
      <c r="BE250" s="89">
        <f t="shared" si="2259"/>
        <v>-5.4099042863086089E-3</v>
      </c>
      <c r="BF250" s="89">
        <f t="shared" si="2259"/>
        <v>0.49497907949790609</v>
      </c>
      <c r="BG250" s="89">
        <f t="shared" si="2259"/>
        <v>-0.33711167086481941</v>
      </c>
      <c r="BH250" s="89">
        <f t="shared" si="2259"/>
        <v>0.73379776229681304</v>
      </c>
      <c r="BI250" s="89">
        <f t="shared" si="2259"/>
        <v>1.3393400706197767E-2</v>
      </c>
      <c r="BJ250" s="89">
        <f t="shared" si="2259"/>
        <v>-1.3216388321520833E-3</v>
      </c>
      <c r="BK250" s="89">
        <f t="shared" si="2259"/>
        <v>-0.25084215591915293</v>
      </c>
      <c r="BL250" s="89">
        <f t="shared" si="2259"/>
        <v>0.1586638830897702</v>
      </c>
      <c r="BM250" s="89">
        <f t="shared" si="2259"/>
        <v>-5.9875259875260545E-2</v>
      </c>
      <c r="BN250" s="89">
        <f t="shared" si="2259"/>
        <v>-4.6292201090962326E-2</v>
      </c>
      <c r="BO250" s="89">
        <f t="shared" si="2259"/>
        <v>-0.51337146390477661</v>
      </c>
      <c r="BP250" s="89">
        <f t="shared" si="2259"/>
        <v>-0.10959339263024159</v>
      </c>
      <c r="BQ250" s="89">
        <f t="shared" si="2259"/>
        <v>-0.50767035319300735</v>
      </c>
      <c r="BR250" s="89">
        <f t="shared" si="2259"/>
        <v>1.4811594202898553</v>
      </c>
      <c r="BS250" s="89">
        <f t="shared" si="2259"/>
        <v>-8.4112149532710956E-2</v>
      </c>
      <c r="BT250" s="89">
        <f t="shared" si="2259"/>
        <v>0.27391581632653184</v>
      </c>
      <c r="BU250" s="89">
        <f t="shared" si="2259"/>
        <v>-0.61827284105131308</v>
      </c>
      <c r="BV250" s="89">
        <f t="shared" si="2259"/>
        <v>4.1901639344262156</v>
      </c>
      <c r="BW250" s="89">
        <f t="shared" si="2259"/>
        <v>0.10941250789639922</v>
      </c>
      <c r="BX250" s="89">
        <f t="shared" si="2259"/>
        <v>0.59025167976312476</v>
      </c>
      <c r="BY250" s="89">
        <f t="shared" si="2259"/>
        <v>7.3044972787167151E-2</v>
      </c>
      <c r="BZ250" s="89">
        <f t="shared" si="2259"/>
        <v>4.6716497597437012E-2</v>
      </c>
      <c r="CA250" s="89">
        <f t="shared" si="2259"/>
        <v>-0.39364957918898213</v>
      </c>
      <c r="CB250" s="89">
        <f t="shared" si="2259"/>
        <v>-5.9831756046267337E-2</v>
      </c>
      <c r="CC250" s="89">
        <f t="shared" si="2259"/>
        <v>-1.946091041270559E-2</v>
      </c>
      <c r="CD250" s="89">
        <f t="shared" si="2259"/>
        <v>-0.22732975932474131</v>
      </c>
      <c r="CE250" s="89">
        <f t="shared" si="2259"/>
        <v>-0.29421316799527519</v>
      </c>
      <c r="CF250" s="89">
        <f t="shared" si="2259"/>
        <v>-0.35703827651118936</v>
      </c>
      <c r="CG250" s="89">
        <f t="shared" si="2259"/>
        <v>-0.75146389069616393</v>
      </c>
      <c r="CH250" s="89">
        <f t="shared" si="2259"/>
        <v>2.3010471204188785</v>
      </c>
      <c r="CI250" s="89">
        <f t="shared" si="2259"/>
        <v>-0.15503568596352202</v>
      </c>
      <c r="CJ250" s="89">
        <f t="shared" si="2259"/>
        <v>0.23416236508681565</v>
      </c>
      <c r="CK250" s="47">
        <f t="shared" si="2259"/>
        <v>-6.0456273764259771E-2</v>
      </c>
      <c r="CL250" s="89">
        <f t="shared" si="2259"/>
        <v>-4.5325779036822778E-2</v>
      </c>
      <c r="CM250" s="47">
        <f t="shared" si="2259"/>
        <v>-7.4637787851930204E-2</v>
      </c>
      <c r="CN250" s="47">
        <f t="shared" si="2259"/>
        <v>-7.6047718809043152E-2</v>
      </c>
      <c r="CO250" s="47">
        <f t="shared" si="2259"/>
        <v>6.931017062612721E-2</v>
      </c>
      <c r="CP250" s="47">
        <f t="shared" si="2259"/>
        <v>0.5115255705657562</v>
      </c>
      <c r="CQ250" s="47">
        <f t="shared" si="2259"/>
        <v>-0.35606417593823925</v>
      </c>
      <c r="CR250" s="47">
        <f t="shared" si="2259"/>
        <v>-9.0314831806904916E-2</v>
      </c>
      <c r="CS250" s="47">
        <f t="shared" si="2259"/>
        <v>0.13828379909066602</v>
      </c>
      <c r="CT250" s="47">
        <f t="shared" si="2259"/>
        <v>0.57205364845843776</v>
      </c>
      <c r="CU250" s="47">
        <f t="shared" si="2259"/>
        <v>-0.39217125932489116</v>
      </c>
      <c r="CV250" s="47">
        <f t="shared" si="2259"/>
        <v>-8.3686782727207198E-2</v>
      </c>
      <c r="CW250" s="47">
        <f t="shared" si="2259"/>
        <v>0.1535543447226575</v>
      </c>
      <c r="CX250" s="47">
        <f t="shared" ref="CX250:DB250" si="2260">CX28/CW28-1</f>
        <v>0.57289193132176863</v>
      </c>
      <c r="CY250" s="47">
        <f t="shared" si="2260"/>
        <v>-0.39757111118239841</v>
      </c>
      <c r="CZ250" s="47">
        <f t="shared" si="2260"/>
        <v>-8.0864382139767876E-2</v>
      </c>
      <c r="DA250" s="47">
        <f t="shared" si="2260"/>
        <v>0.15588005821483186</v>
      </c>
      <c r="DB250" s="47">
        <f t="shared" si="2260"/>
        <v>0.5715978224758429</v>
      </c>
      <c r="DE250" s="130"/>
      <c r="DF250" s="89">
        <v>-0.13912575172785224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261">IF(D249&gt;D250,"RF",0)</f>
        <v>0</v>
      </c>
      <c r="F251" s="103" t="str">
        <f t="shared" si="2261"/>
        <v>RF</v>
      </c>
      <c r="G251" s="103">
        <f t="shared" si="2261"/>
        <v>0</v>
      </c>
      <c r="H251" s="103" t="str">
        <f t="shared" si="2261"/>
        <v>RF</v>
      </c>
      <c r="I251" s="103" t="str">
        <f t="shared" si="2261"/>
        <v>RF</v>
      </c>
      <c r="J251" s="103" t="str">
        <f t="shared" si="2261"/>
        <v>RF</v>
      </c>
      <c r="K251" s="103">
        <f t="shared" si="2261"/>
        <v>0</v>
      </c>
      <c r="L251" s="103" t="str">
        <f t="shared" si="2261"/>
        <v>RF</v>
      </c>
      <c r="M251" s="103">
        <f t="shared" si="2261"/>
        <v>0</v>
      </c>
      <c r="N251" s="103" t="str">
        <f t="shared" si="2261"/>
        <v>RF</v>
      </c>
      <c r="O251" s="103">
        <f t="shared" si="2261"/>
        <v>0</v>
      </c>
      <c r="P251" s="103" t="str">
        <f t="shared" si="2261"/>
        <v>RF</v>
      </c>
      <c r="Q251" s="103">
        <f t="shared" si="2261"/>
        <v>0</v>
      </c>
      <c r="R251" s="103">
        <f t="shared" si="2261"/>
        <v>0</v>
      </c>
      <c r="S251" s="103">
        <f t="shared" si="2261"/>
        <v>0</v>
      </c>
      <c r="T251" s="103">
        <f t="shared" si="2261"/>
        <v>0</v>
      </c>
      <c r="U251" s="103">
        <f t="shared" si="2261"/>
        <v>0</v>
      </c>
      <c r="V251" s="103" t="str">
        <f>IF(V249&gt;V250,"RF",0)</f>
        <v>RF</v>
      </c>
      <c r="W251" s="103">
        <f t="shared" ref="W251:AE251" si="2262">IF(W249&gt;W250,"RF",0)</f>
        <v>0</v>
      </c>
      <c r="X251" s="103">
        <f t="shared" si="2262"/>
        <v>0</v>
      </c>
      <c r="Y251" s="103" t="e">
        <f t="shared" si="2262"/>
        <v>#DIV/0!</v>
      </c>
      <c r="Z251" s="103" t="str">
        <f t="shared" si="2262"/>
        <v>RF</v>
      </c>
      <c r="AA251" s="103">
        <f t="shared" ref="AA251" si="2263">IF(AA249&gt;AA250,"RF",0)</f>
        <v>0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 t="str">
        <f t="shared" ref="AL251:CW251" si="2264">IF(AL249&gt;AL250,"RF",0)</f>
        <v>RF</v>
      </c>
      <c r="AM251" s="103">
        <f t="shared" si="2264"/>
        <v>0</v>
      </c>
      <c r="AN251" s="103" t="str">
        <f t="shared" si="2264"/>
        <v>RF</v>
      </c>
      <c r="AO251" s="103" t="str">
        <f t="shared" si="2264"/>
        <v>RF</v>
      </c>
      <c r="AP251" s="103">
        <f t="shared" si="2264"/>
        <v>0</v>
      </c>
      <c r="AQ251" s="103" t="str">
        <f t="shared" si="2264"/>
        <v>RF</v>
      </c>
      <c r="AR251" s="103">
        <f t="shared" si="2264"/>
        <v>0</v>
      </c>
      <c r="AS251" s="103" t="str">
        <f t="shared" si="2264"/>
        <v>RF</v>
      </c>
      <c r="AT251" s="103" t="str">
        <f t="shared" si="2264"/>
        <v>RF</v>
      </c>
      <c r="AU251" s="103">
        <f t="shared" si="2264"/>
        <v>0</v>
      </c>
      <c r="AV251" s="103">
        <f t="shared" si="2264"/>
        <v>0</v>
      </c>
      <c r="AW251" s="103" t="str">
        <f t="shared" si="2264"/>
        <v>RF</v>
      </c>
      <c r="AX251" s="103">
        <f t="shared" si="2264"/>
        <v>0</v>
      </c>
      <c r="AY251" s="103">
        <f t="shared" si="2264"/>
        <v>0</v>
      </c>
      <c r="AZ251" s="103">
        <f t="shared" si="2264"/>
        <v>0</v>
      </c>
      <c r="BA251" s="103">
        <f t="shared" si="2264"/>
        <v>0</v>
      </c>
      <c r="BB251" s="103">
        <f t="shared" si="2264"/>
        <v>0</v>
      </c>
      <c r="BC251" s="103" t="str">
        <f t="shared" si="2264"/>
        <v>RF</v>
      </c>
      <c r="BD251" s="103">
        <f t="shared" si="2264"/>
        <v>0</v>
      </c>
      <c r="BE251" s="103" t="str">
        <f t="shared" si="2264"/>
        <v>RF</v>
      </c>
      <c r="BF251" s="103">
        <f t="shared" si="2264"/>
        <v>0</v>
      </c>
      <c r="BG251" s="103" t="str">
        <f t="shared" si="2264"/>
        <v>RF</v>
      </c>
      <c r="BH251" s="103">
        <f t="shared" si="2264"/>
        <v>0</v>
      </c>
      <c r="BI251" s="103">
        <f t="shared" si="2264"/>
        <v>0</v>
      </c>
      <c r="BJ251" s="103">
        <f t="shared" si="2264"/>
        <v>0</v>
      </c>
      <c r="BK251" s="103" t="str">
        <f t="shared" si="2264"/>
        <v>RF</v>
      </c>
      <c r="BL251" s="103">
        <f t="shared" si="2264"/>
        <v>0</v>
      </c>
      <c r="BM251" s="103" t="str">
        <f t="shared" si="2264"/>
        <v>RF</v>
      </c>
      <c r="BN251" s="103">
        <f t="shared" si="2264"/>
        <v>0</v>
      </c>
      <c r="BO251" s="103" t="str">
        <f t="shared" si="2264"/>
        <v>RF</v>
      </c>
      <c r="BP251" s="103" t="str">
        <f t="shared" si="2264"/>
        <v>RF</v>
      </c>
      <c r="BQ251" s="103" t="str">
        <f t="shared" si="2264"/>
        <v>RF</v>
      </c>
      <c r="BR251" s="103">
        <f t="shared" si="2264"/>
        <v>0</v>
      </c>
      <c r="BS251" s="103" t="str">
        <f t="shared" si="2264"/>
        <v>RF</v>
      </c>
      <c r="BT251" s="103">
        <f t="shared" si="2264"/>
        <v>0</v>
      </c>
      <c r="BU251" s="103" t="str">
        <f t="shared" si="2264"/>
        <v>RF</v>
      </c>
      <c r="BV251" s="103">
        <f t="shared" si="2264"/>
        <v>0</v>
      </c>
      <c r="BW251" s="103">
        <f t="shared" si="2264"/>
        <v>0</v>
      </c>
      <c r="BX251" s="103">
        <f t="shared" si="2264"/>
        <v>0</v>
      </c>
      <c r="BY251" s="103">
        <f t="shared" si="2264"/>
        <v>0</v>
      </c>
      <c r="BZ251" s="103">
        <f t="shared" si="2264"/>
        <v>0</v>
      </c>
      <c r="CA251" s="103" t="e">
        <f t="shared" si="2264"/>
        <v>#DIV/0!</v>
      </c>
      <c r="CB251" s="103" t="e">
        <f t="shared" si="2264"/>
        <v>#DIV/0!</v>
      </c>
      <c r="CC251" s="103" t="e">
        <f t="shared" si="2264"/>
        <v>#DIV/0!</v>
      </c>
      <c r="CD251" s="103" t="e">
        <f t="shared" si="2264"/>
        <v>#DIV/0!</v>
      </c>
      <c r="CE251" s="103" t="str">
        <f t="shared" si="2264"/>
        <v>RF</v>
      </c>
      <c r="CF251" s="103" t="str">
        <f t="shared" si="2264"/>
        <v>RF</v>
      </c>
      <c r="CG251" s="103" t="str">
        <f t="shared" si="2264"/>
        <v>RF</v>
      </c>
      <c r="CH251" s="103">
        <f t="shared" si="2264"/>
        <v>0</v>
      </c>
      <c r="CI251" s="103" t="str">
        <f t="shared" si="2264"/>
        <v>RF</v>
      </c>
      <c r="CJ251" s="103">
        <f t="shared" si="2264"/>
        <v>0</v>
      </c>
      <c r="CK251" s="73" t="str">
        <f t="shared" si="2264"/>
        <v>RF</v>
      </c>
      <c r="CL251" s="103">
        <f t="shared" ref="CL251" si="2265">IF(CL249&gt;CL250,"RF",0)</f>
        <v>0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0.11579277845828595</v>
      </c>
      <c r="C252" s="86">
        <f>C36/C8</f>
        <v>8.4135421089860149E-2</v>
      </c>
      <c r="D252" s="86">
        <f>D36/D8</f>
        <v>7.1812198384191672E-2</v>
      </c>
      <c r="F252" s="86">
        <f t="shared" ref="F252:AE252" si="2267">F36/F8</f>
        <v>2.6431813890112819E-2</v>
      </c>
      <c r="G252" s="86">
        <f t="shared" si="2267"/>
        <v>2.6409909811035994E-2</v>
      </c>
      <c r="H252" s="86">
        <f t="shared" si="2267"/>
        <v>2.0775355823067141E-2</v>
      </c>
      <c r="I252" s="86">
        <f t="shared" si="2267"/>
        <v>2.2995628347198007E-2</v>
      </c>
      <c r="J252" s="86">
        <f t="shared" si="2267"/>
        <v>4.6491602920667466E-2</v>
      </c>
      <c r="K252" s="86">
        <f t="shared" si="2267"/>
        <v>5.36812608146022E-2</v>
      </c>
      <c r="L252" s="86">
        <f t="shared" si="2267"/>
        <v>3.7015865718729293E-2</v>
      </c>
      <c r="M252" s="86">
        <f t="shared" si="2267"/>
        <v>3.8057303364105961E-2</v>
      </c>
      <c r="N252" s="86">
        <f t="shared" si="2267"/>
        <v>5.0481312346769232E-2</v>
      </c>
      <c r="O252" s="86">
        <f t="shared" si="2267"/>
        <v>3.6372393957936483E-2</v>
      </c>
      <c r="P252" s="86">
        <f t="shared" si="2267"/>
        <v>3.4888785526910562E-2</v>
      </c>
      <c r="Q252" s="86">
        <f t="shared" si="2267"/>
        <v>3.0043879416034029E-2</v>
      </c>
      <c r="R252" s="86">
        <f t="shared" si="2267"/>
        <v>1.9896319780643504E-2</v>
      </c>
      <c r="S252" s="86">
        <f t="shared" si="2267"/>
        <v>1.2231945050339159E-2</v>
      </c>
      <c r="T252" s="86">
        <f t="shared" si="2267"/>
        <v>9.9904508362752484E-3</v>
      </c>
      <c r="U252" s="86">
        <f t="shared" si="2267"/>
        <v>5.539297658862876E-3</v>
      </c>
      <c r="V252" s="86">
        <f t="shared" si="2267"/>
        <v>3.5413091891497209E-3</v>
      </c>
      <c r="W252" s="86">
        <f t="shared" si="2267"/>
        <v>2.0222803148274718E-3</v>
      </c>
      <c r="X252" s="86">
        <f t="shared" si="2267"/>
        <v>1.4546084640884983E-3</v>
      </c>
      <c r="Y252" s="86">
        <f t="shared" si="2267"/>
        <v>1.1222579410237721E-3</v>
      </c>
      <c r="Z252" s="86">
        <f t="shared" si="2267"/>
        <v>4.527219707100163E-3</v>
      </c>
      <c r="AA252" s="86">
        <f t="shared" ref="AA252" si="2268">AA36/AA8</f>
        <v>4.8080353467438728E-3</v>
      </c>
      <c r="AB252" s="87">
        <f t="shared" si="2267"/>
        <v>-2.5944631043881616E-2</v>
      </c>
      <c r="AC252" s="87">
        <f t="shared" si="2267"/>
        <v>-3.4303763964931018E-2</v>
      </c>
      <c r="AD252" s="87">
        <f t="shared" si="2267"/>
        <v>-4.3386612352319512E-2</v>
      </c>
      <c r="AE252" s="87">
        <f t="shared" si="2267"/>
        <v>-5.3072292181515122E-2</v>
      </c>
      <c r="AL252" s="86">
        <f t="shared" ref="AL252:CW252" si="2269">AL36/AL8</f>
        <v>4.5413181956060145E-2</v>
      </c>
      <c r="AM252" s="86">
        <f t="shared" si="2269"/>
        <v>4.7244456711749011E-2</v>
      </c>
      <c r="AN252" s="86">
        <f t="shared" si="2269"/>
        <v>3.8649629279066101E-2</v>
      </c>
      <c r="AO252" s="86">
        <f t="shared" si="2269"/>
        <v>3.6093250759338884E-2</v>
      </c>
      <c r="AP252" s="86">
        <f t="shared" si="2269"/>
        <v>3.2999513178941509E-2</v>
      </c>
      <c r="AQ252" s="86">
        <f t="shared" si="2269"/>
        <v>4.623736428304006E-2</v>
      </c>
      <c r="AR252" s="86">
        <f t="shared" si="2269"/>
        <v>4.0770200373799283E-2</v>
      </c>
      <c r="AS252" s="86">
        <f t="shared" si="2269"/>
        <v>3.5922592606898687E-2</v>
      </c>
      <c r="AT252" s="86">
        <f t="shared" si="2269"/>
        <v>2.7770643379992299E-2</v>
      </c>
      <c r="AU252" s="86">
        <f t="shared" si="2269"/>
        <v>3.6968421052631574E-2</v>
      </c>
      <c r="AV252" s="86">
        <f t="shared" si="2269"/>
        <v>3.4298184213776915E-2</v>
      </c>
      <c r="AW252" s="86">
        <f t="shared" si="2269"/>
        <v>3.3376825623974073E-2</v>
      </c>
      <c r="AX252" s="86">
        <f t="shared" si="2269"/>
        <v>2.0580220279323266E-2</v>
      </c>
      <c r="AY252" s="86">
        <f t="shared" si="2269"/>
        <v>2.3958414758070819E-2</v>
      </c>
      <c r="AZ252" s="86">
        <f t="shared" si="2269"/>
        <v>1.8000947418285174E-2</v>
      </c>
      <c r="BA252" s="86">
        <f t="shared" si="2269"/>
        <v>1.5069299163179917E-2</v>
      </c>
      <c r="BB252" s="86">
        <f t="shared" si="2269"/>
        <v>2.2755469482857744E-2</v>
      </c>
      <c r="BC252" s="86">
        <f t="shared" si="2269"/>
        <v>1.3543569783144015E-2</v>
      </c>
      <c r="BD252" s="86">
        <f t="shared" si="2269"/>
        <v>1.4299542414642732E-2</v>
      </c>
      <c r="BE252" s="86">
        <f t="shared" si="2269"/>
        <v>1.119327047011736E-2</v>
      </c>
      <c r="BF252" s="86">
        <f t="shared" si="2269"/>
        <v>1.2474849094567406E-2</v>
      </c>
      <c r="BG252" s="86">
        <f t="shared" si="2269"/>
        <v>1.3786831575118227E-2</v>
      </c>
      <c r="BH252" s="86">
        <f t="shared" si="2269"/>
        <v>1.0745547841835195E-2</v>
      </c>
      <c r="BI252" s="86">
        <f t="shared" si="2269"/>
        <v>9.617825412494712E-3</v>
      </c>
      <c r="BJ252" s="86">
        <f t="shared" si="2269"/>
        <v>8.3616624629893627E-3</v>
      </c>
      <c r="BK252" s="86">
        <f t="shared" si="2269"/>
        <v>1.0304836451114862E-2</v>
      </c>
      <c r="BL252" s="86">
        <f t="shared" si="2269"/>
        <v>6.801133522253709E-3</v>
      </c>
      <c r="BM252" s="86">
        <f t="shared" si="2269"/>
        <v>3.9585230855461364E-3</v>
      </c>
      <c r="BN252" s="86">
        <f t="shared" si="2269"/>
        <v>2.6535135641369838E-3</v>
      </c>
      <c r="BO252" s="86">
        <f t="shared" si="2269"/>
        <v>5.1712992889463476E-3</v>
      </c>
      <c r="BP252" s="86">
        <f t="shared" si="2269"/>
        <v>5.8502858662411918E-3</v>
      </c>
      <c r="BQ252" s="86">
        <f t="shared" si="2269"/>
        <v>4.3155847313396545E-3</v>
      </c>
      <c r="BR252" s="86">
        <f t="shared" si="2269"/>
        <v>1.8298819726127666E-3</v>
      </c>
      <c r="BS252" s="86">
        <f t="shared" si="2269"/>
        <v>2.9349720260478766E-3</v>
      </c>
      <c r="BT252" s="86">
        <f t="shared" si="2269"/>
        <v>1.9879518072289156E-3</v>
      </c>
      <c r="BU252" s="86">
        <f t="shared" si="2269"/>
        <v>1.9451759636102464E-3</v>
      </c>
      <c r="BV252" s="86">
        <f t="shared" si="2269"/>
        <v>1.953373816297932E-3</v>
      </c>
      <c r="BW252" s="86">
        <f t="shared" si="2269"/>
        <v>1.4156088278294771E-3</v>
      </c>
      <c r="BX252" s="86">
        <f t="shared" si="2269"/>
        <v>1.1474249870914689E-3</v>
      </c>
      <c r="BY252" s="86">
        <f t="shared" si="2269"/>
        <v>9.1757974847519845E-4</v>
      </c>
      <c r="BZ252" s="86">
        <f t="shared" si="2269"/>
        <v>2.5646841251286707E-3</v>
      </c>
      <c r="CA252" s="86">
        <f t="shared" si="2269"/>
        <v>1.1721405630963266E-3</v>
      </c>
      <c r="CB252" s="86">
        <f t="shared" si="2269"/>
        <v>1.3798432498068219E-3</v>
      </c>
      <c r="CC252" s="86">
        <f t="shared" si="2269"/>
        <v>1.0560331171985554E-3</v>
      </c>
      <c r="CD252" s="86">
        <f t="shared" si="2269"/>
        <v>1.1864375359175428E-3</v>
      </c>
      <c r="CE252" s="86">
        <f t="shared" si="2269"/>
        <v>2.4157449731189162E-3</v>
      </c>
      <c r="CF252" s="86">
        <f t="shared" si="2269"/>
        <v>3.4883429116370113E-3</v>
      </c>
      <c r="CG252" s="86">
        <f t="shared" si="2269"/>
        <v>4.1963230009505487E-3</v>
      </c>
      <c r="CH252" s="86">
        <f t="shared" si="2269"/>
        <v>8.3806111276998104E-3</v>
      </c>
      <c r="CI252" s="86">
        <f t="shared" si="2269"/>
        <v>2.7763362740010383E-3</v>
      </c>
      <c r="CJ252" s="86">
        <f t="shared" si="2269"/>
        <v>1.2791637791637792E-2</v>
      </c>
      <c r="CK252" s="87">
        <f t="shared" si="2269"/>
        <v>6.5911910669975184E-3</v>
      </c>
      <c r="CL252" s="86">
        <f t="shared" ref="CL252" si="2270">CL36/CL8</f>
        <v>1.199648553663152E-3</v>
      </c>
      <c r="CM252" s="87">
        <f t="shared" si="2269"/>
        <v>-9.8241277341565778E-3</v>
      </c>
      <c r="CN252" s="87">
        <f t="shared" si="2269"/>
        <v>-3.6793265931304324E-2</v>
      </c>
      <c r="CO252" s="87">
        <f t="shared" si="2269"/>
        <v>-3.7460812424945977E-2</v>
      </c>
      <c r="CP252" s="87">
        <f t="shared" si="2269"/>
        <v>-2.2414056626497755E-2</v>
      </c>
      <c r="CQ252" s="87">
        <f t="shared" si="2269"/>
        <v>-1.8188311530625875E-2</v>
      </c>
      <c r="CR252" s="87">
        <f t="shared" si="2269"/>
        <v>-4.8107787680767199E-2</v>
      </c>
      <c r="CS252" s="87">
        <f t="shared" si="2269"/>
        <v>-4.6888655952945467E-2</v>
      </c>
      <c r="CT252" s="87">
        <f t="shared" si="2269"/>
        <v>-2.8369975756798727E-2</v>
      </c>
      <c r="CU252" s="87">
        <f t="shared" si="2269"/>
        <v>-2.837532093336969E-2</v>
      </c>
      <c r="CV252" s="87">
        <f t="shared" si="2269"/>
        <v>-5.9622097754636859E-2</v>
      </c>
      <c r="CW252" s="87">
        <f t="shared" si="2269"/>
        <v>-5.6893400301066537E-2</v>
      </c>
      <c r="CX252" s="87">
        <f t="shared" ref="CX252:DB252" si="2271">CX36/CX8</f>
        <v>-3.4841015885206245E-2</v>
      </c>
      <c r="CY252" s="87">
        <f t="shared" si="2271"/>
        <v>-3.9357345488591426E-2</v>
      </c>
      <c r="CZ252" s="87">
        <f t="shared" si="2271"/>
        <v>-7.1778941438682006E-2</v>
      </c>
      <c r="DA252" s="87">
        <f t="shared" si="2271"/>
        <v>-6.7567472014824173E-2</v>
      </c>
      <c r="DB252" s="87">
        <f t="shared" si="2271"/>
        <v>-4.1755739191664656E-2</v>
      </c>
      <c r="DE252" s="141"/>
      <c r="DF252" s="86">
        <v>5.1214892074553922E-3</v>
      </c>
    </row>
    <row r="253" spans="1:110" s="86" customFormat="1" x14ac:dyDescent="0.2">
      <c r="A253" s="86" t="s">
        <v>433</v>
      </c>
      <c r="B253" s="86">
        <f>B32/B8</f>
        <v>5.2650732984233277E-2</v>
      </c>
      <c r="C253" s="86">
        <f>C32/C8</f>
        <v>2.9452463634792432E-2</v>
      </c>
      <c r="D253" s="86">
        <f>D32/D8</f>
        <v>2.8004055750984864E-2</v>
      </c>
      <c r="F253" s="86">
        <f t="shared" ref="F253:AE253" si="2272">F32/F8</f>
        <v>2.6102046823683615E-2</v>
      </c>
      <c r="G253" s="86">
        <f t="shared" si="2272"/>
        <v>3.0949938848979886E-2</v>
      </c>
      <c r="H253" s="86">
        <f t="shared" si="2272"/>
        <v>2.9438071535127053E-2</v>
      </c>
      <c r="I253" s="86">
        <f t="shared" si="2272"/>
        <v>3.1824638301146083E-2</v>
      </c>
      <c r="J253" s="86">
        <f t="shared" si="2272"/>
        <v>4.6846938677316992E-2</v>
      </c>
      <c r="K253" s="86">
        <f t="shared" si="2272"/>
        <v>6.3543024842699691E-2</v>
      </c>
      <c r="L253" s="86">
        <f t="shared" si="2272"/>
        <v>5.7119208636284814E-2</v>
      </c>
      <c r="M253" s="86">
        <f t="shared" si="2272"/>
        <v>5.3598882709885408E-2</v>
      </c>
      <c r="N253" s="86">
        <f t="shared" si="2272"/>
        <v>5.5799443084159323E-2</v>
      </c>
      <c r="O253" s="86">
        <f t="shared" si="2272"/>
        <v>4.6019560631869821E-2</v>
      </c>
      <c r="P253" s="86">
        <f t="shared" si="2272"/>
        <v>2.7468528929239577E-2</v>
      </c>
      <c r="Q253" s="86">
        <f t="shared" si="2272"/>
        <v>2.6744266894234262E-2</v>
      </c>
      <c r="R253" s="86">
        <f t="shared" si="2272"/>
        <v>2.6288505205432501E-2</v>
      </c>
      <c r="S253" s="86">
        <f t="shared" si="2272"/>
        <v>2.7363630920304173E-2</v>
      </c>
      <c r="T253" s="86">
        <f t="shared" si="2272"/>
        <v>2.4466114937207014E-2</v>
      </c>
      <c r="U253" s="86">
        <f t="shared" si="2272"/>
        <v>2.8162786210445077E-2</v>
      </c>
      <c r="V253" s="86">
        <f t="shared" si="2272"/>
        <v>4.5805799958623876E-2</v>
      </c>
      <c r="W253" s="86">
        <f t="shared" si="2272"/>
        <v>2.8798117235888075E-2</v>
      </c>
      <c r="X253" s="86">
        <f t="shared" si="2272"/>
        <v>2.0651792269143602E-2</v>
      </c>
      <c r="Y253" s="86">
        <f t="shared" si="2272"/>
        <v>2.2995799399015141E-2</v>
      </c>
      <c r="Z253" s="86">
        <f t="shared" si="2272"/>
        <v>2.4317023527579522E-2</v>
      </c>
      <c r="AA253" s="86">
        <f t="shared" ref="AA253" si="2273">AA32/AA8</f>
        <v>2.4704300337550424E-2</v>
      </c>
      <c r="AB253" s="87">
        <f t="shared" si="2272"/>
        <v>2.5223868957859084E-2</v>
      </c>
      <c r="AC253" s="87">
        <f t="shared" si="2272"/>
        <v>2.3674014246569966E-2</v>
      </c>
      <c r="AD253" s="87">
        <f t="shared" si="2272"/>
        <v>2.2191122734850893E-2</v>
      </c>
      <c r="AE253" s="87">
        <f t="shared" si="2272"/>
        <v>2.0795300695283594E-2</v>
      </c>
      <c r="AL253" s="86">
        <f t="shared" ref="AL253:CW253" si="2274">AL32/AL8</f>
        <v>5.1826493911686963E-2</v>
      </c>
      <c r="AM253" s="86">
        <f t="shared" si="2274"/>
        <v>5.685895666574662E-2</v>
      </c>
      <c r="AN253" s="86">
        <f t="shared" si="2274"/>
        <v>4.9100804543303359E-2</v>
      </c>
      <c r="AO253" s="86">
        <f t="shared" si="2274"/>
        <v>4.9149934913810103E-2</v>
      </c>
      <c r="AP253" s="86">
        <f t="shared" si="2274"/>
        <v>4.0684331316503224E-2</v>
      </c>
      <c r="AQ253" s="86">
        <f t="shared" si="2274"/>
        <v>4.0621490078622237E-2</v>
      </c>
      <c r="AR253" s="86">
        <f t="shared" si="2274"/>
        <v>2.6426739687921069E-2</v>
      </c>
      <c r="AS253" s="86">
        <f t="shared" si="2274"/>
        <v>2.8738074085518948E-2</v>
      </c>
      <c r="AT253" s="86">
        <f t="shared" si="2274"/>
        <v>2.2762296134583283E-2</v>
      </c>
      <c r="AU253" s="86">
        <f t="shared" si="2274"/>
        <v>3.1452631578947364E-2</v>
      </c>
      <c r="AV253" s="86">
        <f t="shared" si="2274"/>
        <v>3.1086589533495284E-2</v>
      </c>
      <c r="AW253" s="86">
        <f t="shared" si="2274"/>
        <v>3.1735342396565516E-2</v>
      </c>
      <c r="AX253" s="86">
        <f t="shared" si="2274"/>
        <v>1.7571250141932556E-2</v>
      </c>
      <c r="AY253" s="86">
        <f t="shared" si="2274"/>
        <v>3.1618854060814508E-2</v>
      </c>
      <c r="AZ253" s="86">
        <f t="shared" si="2274"/>
        <v>2.9807236818132125E-2</v>
      </c>
      <c r="BA253" s="86">
        <f t="shared" si="2274"/>
        <v>2.673901673640167E-2</v>
      </c>
      <c r="BB253" s="86">
        <f t="shared" si="2274"/>
        <v>1.8670378551759615E-2</v>
      </c>
      <c r="BC253" s="86">
        <f t="shared" si="2274"/>
        <v>3.2766701088251651E-2</v>
      </c>
      <c r="BD253" s="86">
        <f t="shared" si="2274"/>
        <v>3.6650827173530444E-2</v>
      </c>
      <c r="BE253" s="86">
        <f t="shared" si="2274"/>
        <v>2.8288447188114782E-2</v>
      </c>
      <c r="BF253" s="86">
        <f t="shared" si="2274"/>
        <v>2.0178212129922393E-2</v>
      </c>
      <c r="BG253" s="86">
        <f t="shared" si="2274"/>
        <v>3.244816296835213E-2</v>
      </c>
      <c r="BH253" s="86">
        <f t="shared" si="2274"/>
        <v>2.7195894959251433E-2</v>
      </c>
      <c r="BI253" s="86">
        <f t="shared" si="2274"/>
        <v>2.5412494711606261E-2</v>
      </c>
      <c r="BJ253" s="86">
        <f t="shared" si="2274"/>
        <v>1.8861717293562889E-2</v>
      </c>
      <c r="BK253" s="86">
        <f t="shared" si="2274"/>
        <v>3.2566155613802023E-2</v>
      </c>
      <c r="BL253" s="86">
        <f t="shared" si="2274"/>
        <v>3.0571761960326724E-2</v>
      </c>
      <c r="BM253" s="86">
        <f t="shared" si="2274"/>
        <v>3.2088558817347443E-2</v>
      </c>
      <c r="BN253" s="86">
        <f t="shared" si="2274"/>
        <v>2.3819186463959044E-2</v>
      </c>
      <c r="BO253" s="86">
        <f t="shared" si="2274"/>
        <v>6.5790418731595204E-2</v>
      </c>
      <c r="BP253" s="86">
        <f t="shared" si="2274"/>
        <v>6.1627443159154367E-2</v>
      </c>
      <c r="BQ253" s="86">
        <f t="shared" si="2274"/>
        <v>5.7500607828835398E-2</v>
      </c>
      <c r="BR253" s="86">
        <f t="shared" si="2274"/>
        <v>2.9735582054957455E-2</v>
      </c>
      <c r="BS253" s="86">
        <f t="shared" si="2274"/>
        <v>4.5308630652114101E-2</v>
      </c>
      <c r="BT253" s="86">
        <f t="shared" si="2274"/>
        <v>3.0060240963855425E-2</v>
      </c>
      <c r="BU253" s="86">
        <f t="shared" si="2274"/>
        <v>2.9925784055542252E-2</v>
      </c>
      <c r="BV253" s="86">
        <f t="shared" si="2274"/>
        <v>2.3376788823304597E-2</v>
      </c>
      <c r="BW253" s="86">
        <f t="shared" si="2274"/>
        <v>2.7360701770671365E-2</v>
      </c>
      <c r="BX253" s="86">
        <f t="shared" si="2274"/>
        <v>2.2279168499359358E-2</v>
      </c>
      <c r="BY253" s="86">
        <f t="shared" si="2274"/>
        <v>2.0852449578093235E-2</v>
      </c>
      <c r="BZ253" s="86">
        <f t="shared" si="2274"/>
        <v>1.7900448383551128E-2</v>
      </c>
      <c r="CA253" s="86">
        <f t="shared" si="2274"/>
        <v>2.6842018894905877E-2</v>
      </c>
      <c r="CB253" s="86">
        <f t="shared" si="2274"/>
        <v>3.0411745225742352E-2</v>
      </c>
      <c r="CC253" s="86">
        <f t="shared" si="2274"/>
        <v>2.2768074006800851E-2</v>
      </c>
      <c r="CD253" s="86">
        <f t="shared" si="2274"/>
        <v>1.9650371688634299E-2</v>
      </c>
      <c r="CE253" s="86">
        <f t="shared" si="2274"/>
        <v>2.7141605286218413E-2</v>
      </c>
      <c r="CF253" s="86">
        <f t="shared" si="2274"/>
        <v>2.84588551208372E-2</v>
      </c>
      <c r="CG253" s="86">
        <f t="shared" si="2274"/>
        <v>2.6082118099830756E-2</v>
      </c>
      <c r="CH253" s="86">
        <f t="shared" si="2274"/>
        <v>2.2354931820443912E-2</v>
      </c>
      <c r="CI253" s="86">
        <f t="shared" si="2274"/>
        <v>2.9942916450441101E-2</v>
      </c>
      <c r="CJ253" s="86">
        <f t="shared" si="2274"/>
        <v>3.2166782166782169E-2</v>
      </c>
      <c r="CK253" s="87">
        <f t="shared" si="2274"/>
        <v>2.9104631927212573E-2</v>
      </c>
      <c r="CL253" s="86">
        <f t="shared" ref="CL253" si="2275">CL32/CL8</f>
        <v>1.8704379562043794E-2</v>
      </c>
      <c r="CM253" s="87">
        <f t="shared" si="2274"/>
        <v>2.9644380779061719E-2</v>
      </c>
      <c r="CN253" s="87">
        <f t="shared" si="2274"/>
        <v>3.2073634486333366E-2</v>
      </c>
      <c r="CO253" s="87">
        <f t="shared" si="2274"/>
        <v>2.7525927388704144E-2</v>
      </c>
      <c r="CP253" s="87">
        <f t="shared" si="2274"/>
        <v>1.7266619654013732E-2</v>
      </c>
      <c r="CQ253" s="87">
        <f t="shared" si="2274"/>
        <v>2.8095169651095528E-2</v>
      </c>
      <c r="CR253" s="87">
        <f t="shared" si="2274"/>
        <v>3.0170996882873096E-2</v>
      </c>
      <c r="CS253" s="87">
        <f t="shared" si="2274"/>
        <v>2.5736050706140542E-2</v>
      </c>
      <c r="CT253" s="87">
        <f t="shared" si="2274"/>
        <v>1.6129632135953694E-2</v>
      </c>
      <c r="CU253" s="87">
        <f t="shared" si="2274"/>
        <v>2.6391335721881137E-2</v>
      </c>
      <c r="CV253" s="87">
        <f t="shared" si="2274"/>
        <v>2.8278724521210531E-2</v>
      </c>
      <c r="CW253" s="87">
        <f t="shared" si="2274"/>
        <v>2.4100170537759209E-2</v>
      </c>
      <c r="CX253" s="87">
        <f t="shared" ref="CX253:DB253" si="2276">CX32/CX8</f>
        <v>1.5110276366014938E-2</v>
      </c>
      <c r="CY253" s="87">
        <f t="shared" si="2276"/>
        <v>2.474101789002868E-2</v>
      </c>
      <c r="CZ253" s="87">
        <f t="shared" si="2276"/>
        <v>2.6497073066453748E-2</v>
      </c>
      <c r="DA253" s="87">
        <f t="shared" si="2276"/>
        <v>2.2580065133147562E-2</v>
      </c>
      <c r="DB253" s="87">
        <f t="shared" si="2276"/>
        <v>1.4159053291349451E-2</v>
      </c>
      <c r="DE253" s="141"/>
      <c r="DF253" s="86">
        <v>2.6314866350178899E-2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102450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Seshasayee Paper and Boards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196.51</v>
      </c>
      <c r="D6">
        <f>_xll.EQNXTDZ($A$1,$B6,D$1,$B$1)</f>
        <v>199.47</v>
      </c>
      <c r="E6">
        <f>_xll.EQNXTDZ($A$1,$B6,E$1,$B$1)</f>
        <v>199.01</v>
      </c>
      <c r="F6">
        <f>_xll.EQNXTDZ($A$1,$B6,F$1,$B$1)</f>
        <v>228.22</v>
      </c>
      <c r="G6">
        <f>_xll.EQNXTDZ($A$1,$B6,G$1,$B$1)</f>
        <v>214.68</v>
      </c>
      <c r="H6">
        <f>_xll.EQNXTDZ($A$1,$B6,H$1,$B$1)</f>
        <v>250.72</v>
      </c>
      <c r="I6">
        <f>_xll.EQNXTDZ($A$1,$B6,I$1,$B$1)</f>
        <v>248.96</v>
      </c>
      <c r="J6">
        <f>_xll.EQNXTDZ($A$1,$B6,J$1,$B$1)</f>
        <v>282.54000000000002</v>
      </c>
      <c r="K6">
        <f>_xll.EQNXTDZ($A$1,$B6,K$1,$B$1)</f>
        <v>211.22</v>
      </c>
      <c r="L6">
        <f>_xll.EQNXTDZ($A$1,$B6,L$1,$B$1)</f>
        <v>227.65</v>
      </c>
      <c r="M6">
        <f>_xll.EQNXTDZ($A$1,$B6,M$1,$B$1)</f>
        <v>256.33999999999997</v>
      </c>
      <c r="N6">
        <f>_xll.EQNXTDZ($A$1,$B6,N$1,$B$1)</f>
        <v>305.14999999999998</v>
      </c>
      <c r="O6">
        <f>_xll.EQNXTDZ($A$1,$B6,O$1,$B$1)</f>
        <v>234.78</v>
      </c>
      <c r="P6">
        <f>_xll.EQNXTDZ($A$1,$B6,P$1,$B$1)</f>
        <v>240.27</v>
      </c>
      <c r="Q6">
        <f>_xll.EQNXTDZ($A$1,$B6,Q$1,$B$1)</f>
        <v>233.14</v>
      </c>
      <c r="R6">
        <f>_xll.EQNXTDZ($A$1,$B6,R$1,$B$1)</f>
        <v>352.28</v>
      </c>
      <c r="S6">
        <f>_xll.EQNXTDZ($A$1,$B6,S$1,$B$1)</f>
        <v>255.86</v>
      </c>
      <c r="T6">
        <f>_xll.EQNXTDZ($A$1,$B6,T$1,$B$1)</f>
        <v>274.43</v>
      </c>
      <c r="U6">
        <f>_xll.EQNXTDZ($A$1,$B6,U$1,$B$1)</f>
        <v>305.92</v>
      </c>
      <c r="V6">
        <f>_xll.EQNXTDZ($A$1,$B6,V$1,$B$1)</f>
        <v>330.47</v>
      </c>
      <c r="W6">
        <f>_xll.EQNXTDZ($A$1,$B6,W$1,$B$1)</f>
        <v>251.78</v>
      </c>
      <c r="X6">
        <f>_xll.EQNXTDZ($A$1,$B6,X$1,$B$1)</f>
        <v>227.28</v>
      </c>
      <c r="Y6">
        <f>_xll.EQNXTDZ($A$1,$B6,Y$1,$B$1)</f>
        <v>294.82</v>
      </c>
      <c r="Z6">
        <f>_xll.EQNXTDZ($A$1,$B6,Z$1,$B$1)</f>
        <v>347.9</v>
      </c>
      <c r="AA6">
        <f>_xll.EQNXTDZ($A$1,$B6,AA$1,$B$1)</f>
        <v>274.89999999999998</v>
      </c>
      <c r="AB6">
        <f>_xll.EQNXTDZ($A$1,$B6,AB$1,$B$1)</f>
        <v>331.3</v>
      </c>
      <c r="AC6">
        <f>_xll.EQNXTDZ($A$1,$B6,AC$1,$B$1)</f>
        <v>354.55</v>
      </c>
      <c r="AD6">
        <f>_xll.EQNXTDZ($A$1,$B6,AD$1,$B$1)</f>
        <v>364.76</v>
      </c>
      <c r="AE6">
        <f>_xll.EQNXTDZ($A$1,$B6,AE$1,$B$1)</f>
        <v>278.51</v>
      </c>
      <c r="AF6">
        <f>_xll.EQNXTDZ($A$1,$B6,AF$1,$B$1)</f>
        <v>299.95</v>
      </c>
      <c r="AG6">
        <f>_xll.EQNXTDZ($A$1,$B6,AG$1,$B$1)</f>
        <v>285.45999999999998</v>
      </c>
      <c r="AH6">
        <f>_xll.EQNXTDZ($A$1,$B6,AH$1,$B$1)</f>
        <v>320.33</v>
      </c>
      <c r="AI6">
        <f>_xll.EQNXTDZ($A$1,$B6,AI$1,$B$1)</f>
        <v>139.22999999999999</v>
      </c>
      <c r="AJ6">
        <f>_xll.EQNXTDZ($A$1,$B6,AJ$1,$B$1)</f>
        <v>150.41999999999999</v>
      </c>
      <c r="AK6">
        <f>_xll.EQNXTDZ($A$1,$B6,AK$1,$B$1)</f>
        <v>164.52</v>
      </c>
      <c r="AL6">
        <f>_xll.EQNXTDZ($A$1,$B6,AL$1,$B$1)</f>
        <v>327.89</v>
      </c>
      <c r="AM6">
        <f>_xll.EQNXTDZ($A$1,$B6,AM$1,$B$1)</f>
        <v>218.06</v>
      </c>
      <c r="AN6">
        <f>_xll.EQNXTDZ($A$1,$B6,AN$1,$B$1)</f>
        <v>332</v>
      </c>
      <c r="AO6">
        <f>_xll.EQNXTDZ($A$1,$B6,AO$1,$B$1)</f>
        <v>334.16</v>
      </c>
      <c r="AP6">
        <f>_xll.EQNXTDZ($A$1,$B6,AP$1,$B$1)</f>
        <v>470.98</v>
      </c>
      <c r="AQ6">
        <f>_xll.EQNXTDZ($A$1,$B6,AQ$1,$B$1)</f>
        <v>430.91</v>
      </c>
      <c r="AR6">
        <f>_xll.EQNXTDZ($A$1,$B6,AR$1,$B$1)</f>
        <v>522.91</v>
      </c>
      <c r="AS6">
        <f>_xll.EQNXTDZ($A$1,$B6,AS$1,$B$1)</f>
        <v>555.80999999999995</v>
      </c>
      <c r="AT6">
        <f>_xll.EQNXTDZ($A$1,$B6,AT$1,$B$1)</f>
        <v>573.16999999999996</v>
      </c>
      <c r="AU6">
        <f>_xll.EQNXTDZ($A$1,$B6,AU$1,$B$1)</f>
        <v>426.57</v>
      </c>
      <c r="AV6">
        <f>_xll.EQNXTDZ($A$1,$B6,AV$1,$B$1)</f>
        <v>362.36</v>
      </c>
      <c r="AW6">
        <f>_xll.EQNXTDZ($A$1,$B6,AW$1,$B$1)</f>
        <v>473.47</v>
      </c>
      <c r="AX6">
        <f>_xll.EQNXTDZ($A$1,$B6,AX$1,$B$1)</f>
        <v>539.42999999999995</v>
      </c>
      <c r="AY6">
        <f>_xll.EQNXTDZ($A$1,$B6,AY$1,$B$1)</f>
        <v>422.23</v>
      </c>
      <c r="AZ6">
        <f>_xll.EQNXTDZ($A$1,$B6,AZ$1,$B$1)</f>
        <v>398.47</v>
      </c>
      <c r="BA6">
        <f>_xll.EQNXTDZ($A$1,$B6,BA$1,$B$1)</f>
        <v>431.33</v>
      </c>
      <c r="BB6">
        <f>_xll.EQNXTDZ($A$1,$B6,BB$1,$B$1)</f>
        <v>502.35</v>
      </c>
      <c r="BC6">
        <f>_xll.EQNXTDZ($A$1,$B6,BC$1,$B$1)</f>
        <v>385.4</v>
      </c>
      <c r="BD6">
        <f>_xll.EQNXTDZ($A$1,$B6,BD$1,$B$1)</f>
        <v>346.32</v>
      </c>
      <c r="BE6">
        <f>_xll.EQNXTDZ($A$1,$B6,BE$1,$B$1)</f>
        <v>386.88</v>
      </c>
      <c r="BF6">
        <f>_xll.EQNXTDZ($A$1,$B6,BF$1,$B$1)</f>
        <v>591.84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11.85</v>
      </c>
      <c r="Q7">
        <f>_xll.EQNXTDZ($A$1,$B7,Q$1,$B$1)</f>
        <v>12.35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2.75</v>
      </c>
      <c r="D8">
        <f>_xll.EQNXTDZ($A$1,$B8,D$1,$B$1)</f>
        <v>3.05</v>
      </c>
      <c r="E8">
        <f>_xll.EQNXTDZ($A$1,$B8,E$1,$B$1)</f>
        <v>2.23</v>
      </c>
      <c r="F8">
        <f>_xll.EQNXTDZ($A$1,$B8,F$1,$B$1)</f>
        <v>2.5499999999999998</v>
      </c>
      <c r="G8">
        <f>_xll.EQNXTDZ($A$1,$B8,G$1,$B$1)</f>
        <v>2.7</v>
      </c>
      <c r="H8">
        <f>_xll.EQNXTDZ($A$1,$B8,H$1,$B$1)</f>
        <v>2.84</v>
      </c>
      <c r="I8">
        <f>_xll.EQNXTDZ($A$1,$B8,I$1,$B$1)</f>
        <v>4.55</v>
      </c>
      <c r="J8">
        <f>_xll.EQNXTDZ($A$1,$B8,J$1,$B$1)</f>
        <v>5.04</v>
      </c>
      <c r="K8">
        <f>_xll.EQNXTDZ($A$1,$B8,K$1,$B$1)</f>
        <v>2.46</v>
      </c>
      <c r="L8">
        <f>_xll.EQNXTDZ($A$1,$B8,L$1,$B$1)</f>
        <v>2.42</v>
      </c>
      <c r="M8">
        <f>_xll.EQNXTDZ($A$1,$B8,M$1,$B$1)</f>
        <v>2.5499999999999998</v>
      </c>
      <c r="N8">
        <f>_xll.EQNXTDZ($A$1,$B8,N$1,$B$1)</f>
        <v>6.33</v>
      </c>
      <c r="O8">
        <f>_xll.EQNXTDZ($A$1,$B8,O$1,$B$1)</f>
        <v>2.72</v>
      </c>
      <c r="P8">
        <f>_xll.EQNXTDZ($A$1,$B8,P$1,$B$1)</f>
        <v>2.6</v>
      </c>
      <c r="Q8">
        <f>_xll.EQNXTDZ($A$1,$B8,Q$1,$B$1)</f>
        <v>4.45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199.26</v>
      </c>
      <c r="D9">
        <f>_xll.EQNXTDZ($A$1,$B9,D$1,$B$1)</f>
        <v>202.52</v>
      </c>
      <c r="E9">
        <f>_xll.EQNXTDZ($A$1,$B9,E$1,$B$1)</f>
        <v>201.24</v>
      </c>
      <c r="F9">
        <f>_xll.EQNXTDZ($A$1,$B9,F$1,$B$1)</f>
        <v>230.77</v>
      </c>
      <c r="G9">
        <f>_xll.EQNXTDZ($A$1,$B9,G$1,$B$1)</f>
        <v>217.38</v>
      </c>
      <c r="H9">
        <f>_xll.EQNXTDZ($A$1,$B9,H$1,$B$1)</f>
        <v>253.56</v>
      </c>
      <c r="I9">
        <f>_xll.EQNXTDZ($A$1,$B9,I$1,$B$1)</f>
        <v>253.51</v>
      </c>
      <c r="J9">
        <f>_xll.EQNXTDZ($A$1,$B9,J$1,$B$1)</f>
        <v>287.58</v>
      </c>
      <c r="K9">
        <f>_xll.EQNXTDZ($A$1,$B9,K$1,$B$1)</f>
        <v>213.68</v>
      </c>
      <c r="L9">
        <f>_xll.EQNXTDZ($A$1,$B9,L$1,$B$1)</f>
        <v>230.07</v>
      </c>
      <c r="M9">
        <f>_xll.EQNXTDZ($A$1,$B9,M$1,$B$1)</f>
        <v>258.89</v>
      </c>
      <c r="N9">
        <f>_xll.EQNXTDZ($A$1,$B9,N$1,$B$1)</f>
        <v>311.48</v>
      </c>
      <c r="O9">
        <f>_xll.EQNXTDZ($A$1,$B9,O$1,$B$1)</f>
        <v>237.5</v>
      </c>
      <c r="P9">
        <f>_xll.EQNXTDZ($A$1,$B9,P$1,$B$1)</f>
        <v>231.02</v>
      </c>
      <c r="Q9">
        <f>_xll.EQNXTDZ($A$1,$B9,Q$1,$B$1)</f>
        <v>225.24</v>
      </c>
      <c r="R9">
        <f>_xll.EQNXTDZ($A$1,$B9,R$1,$B$1)</f>
        <v>352.28</v>
      </c>
      <c r="S9">
        <f>_xll.EQNXTDZ($A$1,$B9,S$1,$B$1)</f>
        <v>255.86</v>
      </c>
      <c r="T9">
        <f>_xll.EQNXTDZ($A$1,$B9,T$1,$B$1)</f>
        <v>274.43</v>
      </c>
      <c r="U9">
        <f>_xll.EQNXTDZ($A$1,$B9,U$1,$B$1)</f>
        <v>305.92</v>
      </c>
      <c r="V9">
        <f>_xll.EQNXTDZ($A$1,$B9,V$1,$B$1)</f>
        <v>330.47</v>
      </c>
      <c r="W9">
        <f>_xll.EQNXTDZ($A$1,$B9,W$1,$B$1)</f>
        <v>251.78</v>
      </c>
      <c r="X9">
        <f>_xll.EQNXTDZ($A$1,$B9,X$1,$B$1)</f>
        <v>227.28</v>
      </c>
      <c r="Y9">
        <f>_xll.EQNXTDZ($A$1,$B9,Y$1,$B$1)</f>
        <v>294.82</v>
      </c>
      <c r="Z9">
        <f>_xll.EQNXTDZ($A$1,$B9,Z$1,$B$1)</f>
        <v>347.9</v>
      </c>
      <c r="AA9">
        <f>_xll.EQNXTDZ($A$1,$B9,AA$1,$B$1)</f>
        <v>274.89999999999998</v>
      </c>
      <c r="AB9">
        <f>_xll.EQNXTDZ($A$1,$B9,AB$1,$B$1)</f>
        <v>331.3</v>
      </c>
      <c r="AC9">
        <f>_xll.EQNXTDZ($A$1,$B9,AC$1,$B$1)</f>
        <v>354.55</v>
      </c>
      <c r="AD9">
        <f>_xll.EQNXTDZ($A$1,$B9,AD$1,$B$1)</f>
        <v>364.76</v>
      </c>
      <c r="AE9">
        <f>_xll.EQNXTDZ($A$1,$B9,AE$1,$B$1)</f>
        <v>278.51</v>
      </c>
      <c r="AF9">
        <f>_xll.EQNXTDZ($A$1,$B9,AF$1,$B$1)</f>
        <v>299.95</v>
      </c>
      <c r="AG9">
        <f>_xll.EQNXTDZ($A$1,$B9,AG$1,$B$1)</f>
        <v>285.45999999999998</v>
      </c>
      <c r="AH9">
        <f>_xll.EQNXTDZ($A$1,$B9,AH$1,$B$1)</f>
        <v>320.33</v>
      </c>
      <c r="AI9">
        <f>_xll.EQNXTDZ($A$1,$B9,AI$1,$B$1)</f>
        <v>139.22999999999999</v>
      </c>
      <c r="AJ9">
        <f>_xll.EQNXTDZ($A$1,$B9,AJ$1,$B$1)</f>
        <v>150.41999999999999</v>
      </c>
      <c r="AK9">
        <f>_xll.EQNXTDZ($A$1,$B9,AK$1,$B$1)</f>
        <v>164.52</v>
      </c>
      <c r="AL9">
        <f>_xll.EQNXTDZ($A$1,$B9,AL$1,$B$1)</f>
        <v>327.89</v>
      </c>
      <c r="AM9">
        <f>_xll.EQNXTDZ($A$1,$B9,AM$1,$B$1)</f>
        <v>218.06</v>
      </c>
      <c r="AN9">
        <f>_xll.EQNXTDZ($A$1,$B9,AN$1,$B$1)</f>
        <v>332</v>
      </c>
      <c r="AO9">
        <f>_xll.EQNXTDZ($A$1,$B9,AO$1,$B$1)</f>
        <v>334.16</v>
      </c>
      <c r="AP9">
        <f>_xll.EQNXTDZ($A$1,$B9,AP$1,$B$1)</f>
        <v>470.98</v>
      </c>
      <c r="AQ9">
        <f>_xll.EQNXTDZ($A$1,$B9,AQ$1,$B$1)</f>
        <v>430.91</v>
      </c>
      <c r="AR9">
        <f>_xll.EQNXTDZ($A$1,$B9,AR$1,$B$1)</f>
        <v>522.91</v>
      </c>
      <c r="AS9">
        <f>_xll.EQNXTDZ($A$1,$B9,AS$1,$B$1)</f>
        <v>555.80999999999995</v>
      </c>
      <c r="AT9">
        <f>_xll.EQNXTDZ($A$1,$B9,AT$1,$B$1)</f>
        <v>573.16999999999996</v>
      </c>
      <c r="AU9">
        <f>_xll.EQNXTDZ($A$1,$B9,AU$1,$B$1)</f>
        <v>426.57</v>
      </c>
      <c r="AV9">
        <f>_xll.EQNXTDZ($A$1,$B9,AV$1,$B$1)</f>
        <v>362.36</v>
      </c>
      <c r="AW9">
        <f>_xll.EQNXTDZ($A$1,$B9,AW$1,$B$1)</f>
        <v>473.47</v>
      </c>
      <c r="AX9">
        <f>_xll.EQNXTDZ($A$1,$B9,AX$1,$B$1)</f>
        <v>539.42999999999995</v>
      </c>
      <c r="AY9">
        <f>_xll.EQNXTDZ($A$1,$B9,AY$1,$B$1)</f>
        <v>422.23</v>
      </c>
      <c r="AZ9">
        <f>_xll.EQNXTDZ($A$1,$B9,AZ$1,$B$1)</f>
        <v>398.47</v>
      </c>
      <c r="BA9">
        <f>_xll.EQNXTDZ($A$1,$B9,BA$1,$B$1)</f>
        <v>431.33</v>
      </c>
      <c r="BB9">
        <f>_xll.EQNXTDZ($A$1,$B9,BB$1,$B$1)</f>
        <v>502.35</v>
      </c>
      <c r="BC9">
        <f>_xll.EQNXTDZ($A$1,$B9,BC$1,$B$1)</f>
        <v>385.4</v>
      </c>
      <c r="BD9">
        <f>_xll.EQNXTDZ($A$1,$B9,BD$1,$B$1)</f>
        <v>346.32</v>
      </c>
      <c r="BE9">
        <f>_xll.EQNXTDZ($A$1,$B9,BE$1,$B$1)</f>
        <v>386.88</v>
      </c>
      <c r="BF9">
        <f>_xll.EQNXTDZ($A$1,$B9,BF$1,$B$1)</f>
        <v>591.84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-5.61</v>
      </c>
      <c r="D10">
        <f>_xll.EQNXTDZ($A$1,$B10,D$1,$B$1)</f>
        <v>-3.87</v>
      </c>
      <c r="E10">
        <f>_xll.EQNXTDZ($A$1,$B10,E$1,$B$1)</f>
        <v>-2.19</v>
      </c>
      <c r="F10">
        <f>_xll.EQNXTDZ($A$1,$B10,F$1,$B$1)</f>
        <v>18.59</v>
      </c>
      <c r="G10">
        <f>_xll.EQNXTDZ($A$1,$B10,G$1,$B$1)</f>
        <v>-14.03</v>
      </c>
      <c r="H10">
        <f>_xll.EQNXTDZ($A$1,$B10,H$1,$B$1)</f>
        <v>-2.78</v>
      </c>
      <c r="I10">
        <f>_xll.EQNXTDZ($A$1,$B10,I$1,$B$1)</f>
        <v>4.2</v>
      </c>
      <c r="J10">
        <f>_xll.EQNXTDZ($A$1,$B10,J$1,$B$1)</f>
        <v>13.93</v>
      </c>
      <c r="K10">
        <f>_xll.EQNXTDZ($A$1,$B10,K$1,$B$1)</f>
        <v>-35.9</v>
      </c>
      <c r="L10">
        <f>_xll.EQNXTDZ($A$1,$B10,L$1,$B$1)</f>
        <v>-25.28</v>
      </c>
      <c r="M10">
        <f>_xll.EQNXTDZ($A$1,$B10,M$1,$B$1)</f>
        <v>-2.04</v>
      </c>
      <c r="N10">
        <f>_xll.EQNXTDZ($A$1,$B10,N$1,$B$1)</f>
        <v>60.87</v>
      </c>
      <c r="O10">
        <f>_xll.EQNXTDZ($A$1,$B10,O$1,$B$1)</f>
        <v>-28.07</v>
      </c>
      <c r="P10">
        <f>_xll.EQNXTDZ($A$1,$B10,P$1,$B$1)</f>
        <v>-28.9</v>
      </c>
      <c r="Q10">
        <f>_xll.EQNXTDZ($A$1,$B10,Q$1,$B$1)</f>
        <v>-20.76</v>
      </c>
      <c r="R10">
        <f>_xll.EQNXTDZ($A$1,$B10,R$1,$B$1)</f>
        <v>81.44</v>
      </c>
      <c r="S10">
        <f>_xll.EQNXTDZ($A$1,$B10,S$1,$B$1)</f>
        <v>-26.56</v>
      </c>
      <c r="T10">
        <f>_xll.EQNXTDZ($A$1,$B10,T$1,$B$1)</f>
        <v>-10.97</v>
      </c>
      <c r="U10">
        <f>_xll.EQNXTDZ($A$1,$B10,U$1,$B$1)</f>
        <v>7.14</v>
      </c>
      <c r="V10">
        <f>_xll.EQNXTDZ($A$1,$B10,V$1,$B$1)</f>
        <v>28.15</v>
      </c>
      <c r="W10">
        <f>_xll.EQNXTDZ($A$1,$B10,W$1,$B$1)</f>
        <v>-23.31</v>
      </c>
      <c r="X10">
        <f>_xll.EQNXTDZ($A$1,$B10,X$1,$B$1)</f>
        <v>-24.15</v>
      </c>
      <c r="Y10">
        <f>_xll.EQNXTDZ($A$1,$B10,Y$1,$B$1)</f>
        <v>17.59</v>
      </c>
      <c r="Z10">
        <f>_xll.EQNXTDZ($A$1,$B10,Z$1,$B$1)</f>
        <v>31.86</v>
      </c>
      <c r="AA10">
        <f>_xll.EQNXTDZ($A$1,$B10,AA$1,$B$1)</f>
        <v>-21.85</v>
      </c>
      <c r="AB10">
        <f>_xll.EQNXTDZ($A$1,$B10,AB$1,$B$1)</f>
        <v>-4.88</v>
      </c>
      <c r="AC10">
        <f>_xll.EQNXTDZ($A$1,$B10,AC$1,$B$1)</f>
        <v>6.81</v>
      </c>
      <c r="AD10">
        <f>_xll.EQNXTDZ($A$1,$B10,AD$1,$B$1)</f>
        <v>20.440000000000001</v>
      </c>
      <c r="AE10">
        <f>_xll.EQNXTDZ($A$1,$B10,AE$1,$B$1)</f>
        <v>-24.86</v>
      </c>
      <c r="AF10">
        <f>_xll.EQNXTDZ($A$1,$B10,AF$1,$B$1)</f>
        <v>-19.05</v>
      </c>
      <c r="AG10">
        <f>_xll.EQNXTDZ($A$1,$B10,AG$1,$B$1)</f>
        <v>-27.76</v>
      </c>
      <c r="AH10">
        <f>_xll.EQNXTDZ($A$1,$B10,AH$1,$B$1)</f>
        <v>18.62</v>
      </c>
      <c r="AI10">
        <f>_xll.EQNXTDZ($A$1,$B10,AI$1,$B$1)</f>
        <v>-83.25</v>
      </c>
      <c r="AJ10">
        <f>_xll.EQNXTDZ($A$1,$B10,AJ$1,$B$1)</f>
        <v>-75.150000000000006</v>
      </c>
      <c r="AK10">
        <f>_xll.EQNXTDZ($A$1,$B10,AK$1,$B$1)</f>
        <v>-4.17</v>
      </c>
      <c r="AL10">
        <f>_xll.EQNXTDZ($A$1,$B10,AL$1,$B$1)</f>
        <v>65.17</v>
      </c>
      <c r="AM10">
        <f>_xll.EQNXTDZ($A$1,$B10,AM$1,$B$1)</f>
        <v>-61.15</v>
      </c>
      <c r="AN10">
        <f>_xll.EQNXTDZ($A$1,$B10,AN$1,$B$1)</f>
        <v>26.68</v>
      </c>
      <c r="AO10">
        <f>_xll.EQNXTDZ($A$1,$B10,AO$1,$B$1)</f>
        <v>92.26</v>
      </c>
      <c r="AP10">
        <f>_xll.EQNXTDZ($A$1,$B10,AP$1,$B$1)</f>
        <v>80.989999999999995</v>
      </c>
      <c r="AQ10">
        <f>_xll.EQNXTDZ($A$1,$B10,AQ$1,$B$1)</f>
        <v>-18.62</v>
      </c>
      <c r="AR10">
        <f>_xll.EQNXTDZ($A$1,$B10,AR$1,$B$1)</f>
        <v>0.68</v>
      </c>
      <c r="AS10">
        <f>_xll.EQNXTDZ($A$1,$B10,AS$1,$B$1)</f>
        <v>1.54</v>
      </c>
      <c r="AT10">
        <f>_xll.EQNXTDZ($A$1,$B10,AT$1,$B$1)</f>
        <v>30.15</v>
      </c>
      <c r="AU10">
        <f>_xll.EQNXTDZ($A$1,$B10,AU$1,$B$1)</f>
        <v>-57.6</v>
      </c>
      <c r="AV10">
        <f>_xll.EQNXTDZ($A$1,$B10,AV$1,$B$1)</f>
        <v>-96.65</v>
      </c>
      <c r="AW10">
        <f>_xll.EQNXTDZ($A$1,$B10,AW$1,$B$1)</f>
        <v>1.55</v>
      </c>
      <c r="AX10">
        <f>_xll.EQNXTDZ($A$1,$B10,AX$1,$B$1)</f>
        <v>57.42</v>
      </c>
      <c r="AY10">
        <f>_xll.EQNXTDZ($A$1,$B10,AY$1,$B$1)</f>
        <v>-43.53</v>
      </c>
      <c r="AZ10">
        <f>_xll.EQNXTDZ($A$1,$B10,AZ$1,$B$1)</f>
        <v>-69.45</v>
      </c>
      <c r="BA10">
        <f>_xll.EQNXTDZ($A$1,$B10,BA$1,$B$1)</f>
        <v>10.92</v>
      </c>
      <c r="BB10">
        <f>_xll.EQNXTDZ($A$1,$B10,BB$1,$B$1)</f>
        <v>45.25</v>
      </c>
      <c r="BC10">
        <f>_xll.EQNXTDZ($A$1,$B10,BC$1,$B$1)</f>
        <v>-45.05</v>
      </c>
      <c r="BD10">
        <f>_xll.EQNXTDZ($A$1,$B10,BD$1,$B$1)</f>
        <v>-65.66</v>
      </c>
      <c r="BE10">
        <f>_xll.EQNXTDZ($A$1,$B10,BE$1,$B$1)</f>
        <v>-28.07</v>
      </c>
      <c r="BF10">
        <f>_xll.EQNXTDZ($A$1,$B10,BF$1,$B$1)</f>
        <v>145.41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95.75</v>
      </c>
      <c r="D11">
        <f>_xll.EQNXTDZ($A$1,$B11,D$1,$B$1)</f>
        <v>97.45</v>
      </c>
      <c r="E11">
        <f>_xll.EQNXTDZ($A$1,$B11,E$1,$B$1)</f>
        <v>102.04</v>
      </c>
      <c r="F11">
        <f>_xll.EQNXTDZ($A$1,$B11,F$1,$B$1)</f>
        <v>105.85</v>
      </c>
      <c r="G11">
        <f>_xll.EQNXTDZ($A$1,$B11,G$1,$B$1)</f>
        <v>116.6</v>
      </c>
      <c r="H11">
        <f>_xll.EQNXTDZ($A$1,$B11,H$1,$B$1)</f>
        <v>140.53</v>
      </c>
      <c r="I11">
        <f>_xll.EQNXTDZ($A$1,$B11,I$1,$B$1)</f>
        <v>137.46</v>
      </c>
      <c r="J11">
        <f>_xll.EQNXTDZ($A$1,$B11,J$1,$B$1)</f>
        <v>149.77000000000001</v>
      </c>
      <c r="K11">
        <f>_xll.EQNXTDZ($A$1,$B11,K$1,$B$1)</f>
        <v>141.19999999999999</v>
      </c>
      <c r="L11">
        <f>_xll.EQNXTDZ($A$1,$B11,L$1,$B$1)</f>
        <v>139.49</v>
      </c>
      <c r="M11">
        <f>_xll.EQNXTDZ($A$1,$B11,M$1,$B$1)</f>
        <v>153.54</v>
      </c>
      <c r="N11">
        <f>_xll.EQNXTDZ($A$1,$B11,N$1,$B$1)</f>
        <v>145.21</v>
      </c>
      <c r="O11">
        <f>_xll.EQNXTDZ($A$1,$B11,O$1,$B$1)</f>
        <v>151.02000000000001</v>
      </c>
      <c r="P11">
        <f>_xll.EQNXTDZ($A$1,$B11,P$1,$B$1)</f>
        <v>148.69999999999999</v>
      </c>
      <c r="Q11">
        <f>_xll.EQNXTDZ($A$1,$B11,Q$1,$B$1)</f>
        <v>143.54</v>
      </c>
      <c r="R11">
        <f>_xll.EQNXTDZ($A$1,$B11,R$1,$B$1)</f>
        <v>129.34</v>
      </c>
      <c r="S11">
        <f>_xll.EQNXTDZ($A$1,$B11,S$1,$B$1)</f>
        <v>137.91999999999999</v>
      </c>
      <c r="T11">
        <f>_xll.EQNXTDZ($A$1,$B11,T$1,$B$1)</f>
        <v>140.79</v>
      </c>
      <c r="U11">
        <f>_xll.EQNXTDZ($A$1,$B11,U$1,$B$1)</f>
        <v>144.55000000000001</v>
      </c>
      <c r="V11">
        <f>_xll.EQNXTDZ($A$1,$B11,V$1,$B$1)</f>
        <v>136.53</v>
      </c>
      <c r="W11">
        <f>_xll.EQNXTDZ($A$1,$B11,W$1,$B$1)</f>
        <v>136.02000000000001</v>
      </c>
      <c r="X11">
        <f>_xll.EQNXTDZ($A$1,$B11,X$1,$B$1)</f>
        <v>124.6</v>
      </c>
      <c r="Y11">
        <f>_xll.EQNXTDZ($A$1,$B11,Y$1,$B$1)</f>
        <v>145.4</v>
      </c>
      <c r="Z11">
        <f>_xll.EQNXTDZ($A$1,$B11,Z$1,$B$1)</f>
        <v>155.38</v>
      </c>
      <c r="AA11">
        <f>_xll.EQNXTDZ($A$1,$B11,AA$1,$B$1)</f>
        <v>152.03</v>
      </c>
      <c r="AB11">
        <f>_xll.EQNXTDZ($A$1,$B11,AB$1,$B$1)</f>
        <v>164.6</v>
      </c>
      <c r="AC11">
        <f>_xll.EQNXTDZ($A$1,$B11,AC$1,$B$1)</f>
        <v>174.01</v>
      </c>
      <c r="AD11">
        <f>_xll.EQNXTDZ($A$1,$B11,AD$1,$B$1)</f>
        <v>169.19</v>
      </c>
      <c r="AE11">
        <f>_xll.EQNXTDZ($A$1,$B11,AE$1,$B$1)</f>
        <v>150.97999999999999</v>
      </c>
      <c r="AF11">
        <f>_xll.EQNXTDZ($A$1,$B11,AF$1,$B$1)</f>
        <v>153.78</v>
      </c>
      <c r="AG11">
        <f>_xll.EQNXTDZ($A$1,$B11,AG$1,$B$1)</f>
        <v>151.34</v>
      </c>
      <c r="AH11">
        <f>_xll.EQNXTDZ($A$1,$B11,AH$1,$B$1)</f>
        <v>144.79</v>
      </c>
      <c r="AI11">
        <f>_xll.EQNXTDZ($A$1,$B11,AI$1,$B$1)</f>
        <v>116.31</v>
      </c>
      <c r="AJ11">
        <f>_xll.EQNXTDZ($A$1,$B11,AJ$1,$B$1)</f>
        <v>117.7</v>
      </c>
      <c r="AK11">
        <f>_xll.EQNXTDZ($A$1,$B11,AK$1,$B$1)</f>
        <v>88.49</v>
      </c>
      <c r="AL11">
        <f>_xll.EQNXTDZ($A$1,$B11,AL$1,$B$1)</f>
        <v>136.97999999999999</v>
      </c>
      <c r="AM11">
        <f>_xll.EQNXTDZ($A$1,$B11,AM$1,$B$1)</f>
        <v>150.84</v>
      </c>
      <c r="AN11">
        <f>_xll.EQNXTDZ($A$1,$B11,AN$1,$B$1)</f>
        <v>152.5</v>
      </c>
      <c r="AO11">
        <f>_xll.EQNXTDZ($A$1,$B11,AO$1,$B$1)</f>
        <v>115.59</v>
      </c>
      <c r="AP11">
        <f>_xll.EQNXTDZ($A$1,$B11,AP$1,$B$1)</f>
        <v>194.06</v>
      </c>
      <c r="AQ11">
        <f>_xll.EQNXTDZ($A$1,$B11,AQ$1,$B$1)</f>
        <v>220.77</v>
      </c>
      <c r="AR11">
        <f>_xll.EQNXTDZ($A$1,$B11,AR$1,$B$1)</f>
        <v>236.89</v>
      </c>
      <c r="AS11">
        <f>_xll.EQNXTDZ($A$1,$B11,AS$1,$B$1)</f>
        <v>255.32</v>
      </c>
      <c r="AT11">
        <f>_xll.EQNXTDZ($A$1,$B11,AT$1,$B$1)</f>
        <v>242.24</v>
      </c>
      <c r="AU11">
        <f>_xll.EQNXTDZ($A$1,$B11,AU$1,$B$1)</f>
        <v>248.37</v>
      </c>
      <c r="AV11">
        <f>_xll.EQNXTDZ($A$1,$B11,AV$1,$B$1)</f>
        <v>241.2</v>
      </c>
      <c r="AW11">
        <f>_xll.EQNXTDZ($A$1,$B11,AW$1,$B$1)</f>
        <v>258.29000000000002</v>
      </c>
      <c r="AX11">
        <f>_xll.EQNXTDZ($A$1,$B11,AX$1,$B$1)</f>
        <v>284.62</v>
      </c>
      <c r="AY11">
        <f>_xll.EQNXTDZ($A$1,$B11,AY$1,$B$1)</f>
        <v>269.82</v>
      </c>
      <c r="AZ11">
        <f>_xll.EQNXTDZ($A$1,$B11,AZ$1,$B$1)</f>
        <v>300.08</v>
      </c>
      <c r="BA11">
        <f>_xll.EQNXTDZ($A$1,$B11,BA$1,$B$1)</f>
        <v>278.60000000000002</v>
      </c>
      <c r="BB11">
        <f>_xll.EQNXTDZ($A$1,$B11,BB$1,$B$1)</f>
        <v>295.48</v>
      </c>
      <c r="BC11">
        <f>_xll.EQNXTDZ($A$1,$B11,BC$1,$B$1)</f>
        <v>286.10000000000002</v>
      </c>
      <c r="BD11">
        <f>_xll.EQNXTDZ($A$1,$B11,BD$1,$B$1)</f>
        <v>268.24</v>
      </c>
      <c r="BE11">
        <f>_xll.EQNXTDZ($A$1,$B11,BE$1,$B$1)</f>
        <v>270.57</v>
      </c>
      <c r="BF11">
        <f>_xll.EQNXTDZ($A$1,$B11,BF$1,$B$1)</f>
        <v>281.14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7.43</v>
      </c>
      <c r="D12">
        <f>_xll.EQNXTDZ($A$1,$B12,D$1,$B$1)</f>
        <v>6.03</v>
      </c>
      <c r="E12">
        <f>_xll.EQNXTDZ($A$1,$B12,E$1,$B$1)</f>
        <v>7</v>
      </c>
      <c r="F12">
        <f>_xll.EQNXTDZ($A$1,$B12,F$1,$B$1)</f>
        <v>7.75</v>
      </c>
      <c r="G12">
        <f>_xll.EQNXTDZ($A$1,$B12,G$1,$B$1)</f>
        <v>7.38</v>
      </c>
      <c r="H12">
        <f>_xll.EQNXTDZ($A$1,$B12,H$1,$B$1)</f>
        <v>6.51</v>
      </c>
      <c r="I12">
        <f>_xll.EQNXTDZ($A$1,$B12,I$1,$B$1)</f>
        <v>6.62</v>
      </c>
      <c r="J12">
        <f>_xll.EQNXTDZ($A$1,$B12,J$1,$B$1)</f>
        <v>7.15</v>
      </c>
      <c r="K12">
        <f>_xll.EQNXTDZ($A$1,$B12,K$1,$B$1)</f>
        <v>5.88</v>
      </c>
      <c r="L12">
        <f>_xll.EQNXTDZ($A$1,$B12,L$1,$B$1)</f>
        <v>6.76</v>
      </c>
      <c r="M12">
        <f>_xll.EQNXTDZ($A$1,$B12,M$1,$B$1)</f>
        <v>5.4</v>
      </c>
      <c r="N12">
        <f>_xll.EQNXTDZ($A$1,$B12,N$1,$B$1)</f>
        <v>5.67</v>
      </c>
      <c r="O12">
        <f>_xll.EQNXTDZ($A$1,$B12,O$1,$B$1)</f>
        <v>5.0199999999999996</v>
      </c>
      <c r="P12">
        <f>_xll.EQNXTDZ($A$1,$B12,P$1,$B$1)</f>
        <v>5.48</v>
      </c>
      <c r="Q12">
        <f>_xll.EQNXTDZ($A$1,$B12,Q$1,$B$1)</f>
        <v>4.8099999999999996</v>
      </c>
      <c r="R12">
        <f>_xll.EQNXTDZ($A$1,$B12,R$1,$B$1)</f>
        <v>5.32</v>
      </c>
      <c r="S12">
        <f>_xll.EQNXTDZ($A$1,$B12,S$1,$B$1)</f>
        <v>17.02</v>
      </c>
      <c r="T12">
        <f>_xll.EQNXTDZ($A$1,$B12,T$1,$B$1)</f>
        <v>6.81</v>
      </c>
      <c r="U12">
        <f>_xll.EQNXTDZ($A$1,$B12,U$1,$B$1)</f>
        <v>6.7</v>
      </c>
      <c r="V12">
        <f>_xll.EQNXTDZ($A$1,$B12,V$1,$B$1)</f>
        <v>9.77</v>
      </c>
      <c r="W12">
        <f>_xll.EQNXTDZ($A$1,$B12,W$1,$B$1)</f>
        <v>8.2100000000000009</v>
      </c>
      <c r="X12">
        <f>_xll.EQNXTDZ($A$1,$B12,X$1,$B$1)</f>
        <v>6.7</v>
      </c>
      <c r="Y12">
        <f>_xll.EQNXTDZ($A$1,$B12,Y$1,$B$1)</f>
        <v>5.71</v>
      </c>
      <c r="Z12">
        <f>_xll.EQNXTDZ($A$1,$B12,Z$1,$B$1)</f>
        <v>8.58</v>
      </c>
      <c r="AA12">
        <f>_xll.EQNXTDZ($A$1,$B12,AA$1,$B$1)</f>
        <v>9.89</v>
      </c>
      <c r="AB12">
        <f>_xll.EQNXTDZ($A$1,$B12,AB$1,$B$1)</f>
        <v>9.83</v>
      </c>
      <c r="AC12">
        <f>_xll.EQNXTDZ($A$1,$B12,AC$1,$B$1)</f>
        <v>6.41</v>
      </c>
      <c r="AD12">
        <f>_xll.EQNXTDZ($A$1,$B12,AD$1,$B$1)</f>
        <v>7.29</v>
      </c>
      <c r="AE12">
        <f>_xll.EQNXTDZ($A$1,$B12,AE$1,$B$1)</f>
        <v>8.34</v>
      </c>
      <c r="AF12">
        <f>_xll.EQNXTDZ($A$1,$B12,AF$1,$B$1)</f>
        <v>6.94</v>
      </c>
      <c r="AG12">
        <f>_xll.EQNXTDZ($A$1,$B12,AG$1,$B$1)</f>
        <v>6.24</v>
      </c>
      <c r="AH12">
        <f>_xll.EQNXTDZ($A$1,$B12,AH$1,$B$1)</f>
        <v>8.9600000000000009</v>
      </c>
      <c r="AI12">
        <f>_xll.EQNXTDZ($A$1,$B12,AI$1,$B$1)</f>
        <v>6.84</v>
      </c>
      <c r="AJ12">
        <f>_xll.EQNXTDZ($A$1,$B12,AJ$1,$B$1)</f>
        <v>5.97</v>
      </c>
      <c r="AK12">
        <f>_xll.EQNXTDZ($A$1,$B12,AK$1,$B$1)</f>
        <v>4.84</v>
      </c>
      <c r="AL12">
        <f>_xll.EQNXTDZ($A$1,$B12,AL$1,$B$1)</f>
        <v>6.32</v>
      </c>
      <c r="AM12">
        <f>_xll.EQNXTDZ($A$1,$B12,AM$1,$B$1)</f>
        <v>6.08</v>
      </c>
      <c r="AN12">
        <f>_xll.EQNXTDZ($A$1,$B12,AN$1,$B$1)</f>
        <v>7.26</v>
      </c>
      <c r="AO12">
        <f>_xll.EQNXTDZ($A$1,$B12,AO$1,$B$1)</f>
        <v>5.85</v>
      </c>
      <c r="AP12">
        <f>_xll.EQNXTDZ($A$1,$B12,AP$1,$B$1)</f>
        <v>6.35</v>
      </c>
      <c r="AQ12">
        <f>_xll.EQNXTDZ($A$1,$B12,AQ$1,$B$1)</f>
        <v>6.52</v>
      </c>
      <c r="AR12">
        <f>_xll.EQNXTDZ($A$1,$B12,AR$1,$B$1)</f>
        <v>5.72</v>
      </c>
      <c r="AS12">
        <f>_xll.EQNXTDZ($A$1,$B12,AS$1,$B$1)</f>
        <v>6.19</v>
      </c>
      <c r="AT12">
        <f>_xll.EQNXTDZ($A$1,$B12,AT$1,$B$1)</f>
        <v>5.87</v>
      </c>
      <c r="AU12">
        <f>_xll.EQNXTDZ($A$1,$B12,AU$1,$B$1)</f>
        <v>6.44</v>
      </c>
      <c r="AV12">
        <f>_xll.EQNXTDZ($A$1,$B12,AV$1,$B$1)</f>
        <v>6.52</v>
      </c>
      <c r="AW12">
        <f>_xll.EQNXTDZ($A$1,$B12,AW$1,$B$1)</f>
        <v>6.55</v>
      </c>
      <c r="AX12">
        <f>_xll.EQNXTDZ($A$1,$B12,AX$1,$B$1)</f>
        <v>7.09</v>
      </c>
      <c r="AY12">
        <f>_xll.EQNXTDZ($A$1,$B12,AY$1,$B$1)</f>
        <v>12.82</v>
      </c>
      <c r="AZ12">
        <f>_xll.EQNXTDZ($A$1,$B12,AZ$1,$B$1)</f>
        <v>7.23</v>
      </c>
      <c r="BA12">
        <f>_xll.EQNXTDZ($A$1,$B12,BA$1,$B$1)</f>
        <v>6.62</v>
      </c>
      <c r="BB12">
        <f>_xll.EQNXTDZ($A$1,$B12,BB$1,$B$1)</f>
        <v>7.25</v>
      </c>
      <c r="BC12">
        <f>_xll.EQNXTDZ($A$1,$B12,BC$1,$B$1)</f>
        <v>7.14</v>
      </c>
      <c r="BD12">
        <f>_xll.EQNXTDZ($A$1,$B12,BD$1,$B$1)</f>
        <v>7.32</v>
      </c>
      <c r="BE12">
        <f>_xll.EQNXTDZ($A$1,$B12,BE$1,$B$1)</f>
        <v>6.83</v>
      </c>
      <c r="BF12">
        <f>_xll.EQNXTDZ($A$1,$B12,BF$1,$B$1)</f>
        <v>6.89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14.54</v>
      </c>
      <c r="S13">
        <f>_xll.EQNXTDZ($A$1,$B13,S$1,$B$1)</f>
        <v>14.03</v>
      </c>
      <c r="T13">
        <f>_xll.EQNXTDZ($A$1,$B13,T$1,$B$1)</f>
        <v>14.32</v>
      </c>
      <c r="U13">
        <f>_xll.EQNXTDZ($A$1,$B13,U$1,$B$1)</f>
        <v>14.94</v>
      </c>
      <c r="V13">
        <f>_xll.EQNXTDZ($A$1,$B13,V$1,$B$1)</f>
        <v>15.78</v>
      </c>
      <c r="W13">
        <f>_xll.EQNXTDZ($A$1,$B13,W$1,$B$1)</f>
        <v>13.14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22.47</v>
      </c>
      <c r="D14">
        <f>_xll.EQNXTDZ($A$1,$B14,D$1,$B$1)</f>
        <v>25.57</v>
      </c>
      <c r="E14">
        <f>_xll.EQNXTDZ($A$1,$B14,E$1,$B$1)</f>
        <v>22.87</v>
      </c>
      <c r="F14">
        <f>_xll.EQNXTDZ($A$1,$B14,F$1,$B$1)</f>
        <v>23.08</v>
      </c>
      <c r="G14">
        <f>_xll.EQNXTDZ($A$1,$B14,G$1,$B$1)</f>
        <v>25.89</v>
      </c>
      <c r="H14">
        <f>_xll.EQNXTDZ($A$1,$B14,H$1,$B$1)</f>
        <v>26.74</v>
      </c>
      <c r="I14">
        <f>_xll.EQNXTDZ($A$1,$B14,I$1,$B$1)</f>
        <v>28.45</v>
      </c>
      <c r="J14">
        <f>_xll.EQNXTDZ($A$1,$B14,J$1,$B$1)</f>
        <v>29.17</v>
      </c>
      <c r="K14">
        <f>_xll.EQNXTDZ($A$1,$B14,K$1,$B$1)</f>
        <v>26.38</v>
      </c>
      <c r="L14">
        <f>_xll.EQNXTDZ($A$1,$B14,L$1,$B$1)</f>
        <v>29.24</v>
      </c>
      <c r="M14">
        <f>_xll.EQNXTDZ($A$1,$B14,M$1,$B$1)</f>
        <v>29.13</v>
      </c>
      <c r="N14">
        <f>_xll.EQNXTDZ($A$1,$B14,N$1,$B$1)</f>
        <v>28.49</v>
      </c>
      <c r="O14">
        <f>_xll.EQNXTDZ($A$1,$B14,O$1,$B$1)</f>
        <v>30.47</v>
      </c>
      <c r="P14">
        <f>_xll.EQNXTDZ($A$1,$B14,P$1,$B$1)</f>
        <v>28.56</v>
      </c>
      <c r="Q14">
        <f>_xll.EQNXTDZ($A$1,$B14,Q$1,$B$1)</f>
        <v>28.19</v>
      </c>
      <c r="R14">
        <f>_xll.EQNXTDZ($A$1,$B14,R$1,$B$1)</f>
        <v>28.93</v>
      </c>
      <c r="S14">
        <f>_xll.EQNXTDZ($A$1,$B14,S$1,$B$1)</f>
        <v>23.53</v>
      </c>
      <c r="T14">
        <f>_xll.EQNXTDZ($A$1,$B14,T$1,$B$1)</f>
        <v>23.17</v>
      </c>
      <c r="U14">
        <f>_xll.EQNXTDZ($A$1,$B14,U$1,$B$1)</f>
        <v>25.91</v>
      </c>
      <c r="V14">
        <f>_xll.EQNXTDZ($A$1,$B14,V$1,$B$1)</f>
        <v>33.799999999999997</v>
      </c>
      <c r="W14">
        <f>_xll.EQNXTDZ($A$1,$B14,W$1,$B$1)</f>
        <v>23.12</v>
      </c>
      <c r="X14">
        <f>_xll.EQNXTDZ($A$1,$B14,X$1,$B$1)</f>
        <v>22.5</v>
      </c>
      <c r="Y14">
        <f>_xll.EQNXTDZ($A$1,$B14,Y$1,$B$1)</f>
        <v>23.78</v>
      </c>
      <c r="Z14">
        <f>_xll.EQNXTDZ($A$1,$B14,Z$1,$B$1)</f>
        <v>28.95</v>
      </c>
      <c r="AA14">
        <f>_xll.EQNXTDZ($A$1,$B14,AA$1,$B$1)</f>
        <v>23.88</v>
      </c>
      <c r="AB14">
        <f>_xll.EQNXTDZ($A$1,$B14,AB$1,$B$1)</f>
        <v>24.62</v>
      </c>
      <c r="AC14">
        <f>_xll.EQNXTDZ($A$1,$B14,AC$1,$B$1)</f>
        <v>26.49</v>
      </c>
      <c r="AD14">
        <f>_xll.EQNXTDZ($A$1,$B14,AD$1,$B$1)</f>
        <v>33.79</v>
      </c>
      <c r="AE14">
        <f>_xll.EQNXTDZ($A$1,$B14,AE$1,$B$1)</f>
        <v>24.73</v>
      </c>
      <c r="AF14">
        <f>_xll.EQNXTDZ($A$1,$B14,AF$1,$B$1)</f>
        <v>30.06</v>
      </c>
      <c r="AG14">
        <f>_xll.EQNXTDZ($A$1,$B14,AG$1,$B$1)</f>
        <v>27.16</v>
      </c>
      <c r="AH14">
        <f>_xll.EQNXTDZ($A$1,$B14,AH$1,$B$1)</f>
        <v>33.79</v>
      </c>
      <c r="AI14">
        <f>_xll.EQNXTDZ($A$1,$B14,AI$1,$B$1)</f>
        <v>19.64</v>
      </c>
      <c r="AJ14">
        <f>_xll.EQNXTDZ($A$1,$B14,AJ$1,$B$1)</f>
        <v>24.78</v>
      </c>
      <c r="AK14">
        <f>_xll.EQNXTDZ($A$1,$B14,AK$1,$B$1)</f>
        <v>21.59</v>
      </c>
      <c r="AL14">
        <f>_xll.EQNXTDZ($A$1,$B14,AL$1,$B$1)</f>
        <v>35.18</v>
      </c>
      <c r="AM14">
        <f>_xll.EQNXTDZ($A$1,$B14,AM$1,$B$1)</f>
        <v>30.13</v>
      </c>
      <c r="AN14">
        <f>_xll.EQNXTDZ($A$1,$B14,AN$1,$B$1)</f>
        <v>39.43</v>
      </c>
      <c r="AO14">
        <f>_xll.EQNXTDZ($A$1,$B14,AO$1,$B$1)</f>
        <v>33.24</v>
      </c>
      <c r="AP14">
        <f>_xll.EQNXTDZ($A$1,$B14,AP$1,$B$1)</f>
        <v>37.950000000000003</v>
      </c>
      <c r="AQ14">
        <f>_xll.EQNXTDZ($A$1,$B14,AQ$1,$B$1)</f>
        <v>43.04</v>
      </c>
      <c r="AR14">
        <f>_xll.EQNXTDZ($A$1,$B14,AR$1,$B$1)</f>
        <v>47.25</v>
      </c>
      <c r="AS14">
        <f>_xll.EQNXTDZ($A$1,$B14,AS$1,$B$1)</f>
        <v>44.65</v>
      </c>
      <c r="AT14">
        <f>_xll.EQNXTDZ($A$1,$B14,AT$1,$B$1)</f>
        <v>40.07</v>
      </c>
      <c r="AU14">
        <f>_xll.EQNXTDZ($A$1,$B14,AU$1,$B$1)</f>
        <v>36.18</v>
      </c>
      <c r="AV14">
        <f>_xll.EQNXTDZ($A$1,$B14,AV$1,$B$1)</f>
        <v>33.89</v>
      </c>
      <c r="AW14">
        <f>_xll.EQNXTDZ($A$1,$B14,AW$1,$B$1)</f>
        <v>36.33</v>
      </c>
      <c r="AX14">
        <f>_xll.EQNXTDZ($A$1,$B14,AX$1,$B$1)</f>
        <v>40.65</v>
      </c>
      <c r="AY14">
        <f>_xll.EQNXTDZ($A$1,$B14,AY$1,$B$1)</f>
        <v>40.56</v>
      </c>
      <c r="AZ14">
        <f>_xll.EQNXTDZ($A$1,$B14,AZ$1,$B$1)</f>
        <v>39.08</v>
      </c>
      <c r="BA14">
        <f>_xll.EQNXTDZ($A$1,$B14,BA$1,$B$1)</f>
        <v>41.3</v>
      </c>
      <c r="BB14">
        <f>_xll.EQNXTDZ($A$1,$B14,BB$1,$B$1)</f>
        <v>43.97</v>
      </c>
      <c r="BC14">
        <f>_xll.EQNXTDZ($A$1,$B14,BC$1,$B$1)</f>
        <v>34.590000000000003</v>
      </c>
      <c r="BD14">
        <f>_xll.EQNXTDZ($A$1,$B14,BD$1,$B$1)</f>
        <v>34.130000000000003</v>
      </c>
      <c r="BE14">
        <f>_xll.EQNXTDZ($A$1,$B14,BE$1,$B$1)</f>
        <v>40.299999999999997</v>
      </c>
      <c r="BF14">
        <f>_xll.EQNXTDZ($A$1,$B14,BF$1,$B$1)</f>
        <v>56.81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37.64</v>
      </c>
      <c r="D15">
        <f>_xll.EQNXTDZ($A$1,$B15,D$1,$B$1)</f>
        <v>37.08</v>
      </c>
      <c r="E15">
        <f>_xll.EQNXTDZ($A$1,$B15,E$1,$B$1)</f>
        <v>34.17</v>
      </c>
      <c r="F15">
        <f>_xll.EQNXTDZ($A$1,$B15,F$1,$B$1)</f>
        <v>35.39</v>
      </c>
      <c r="G15">
        <f>_xll.EQNXTDZ($A$1,$B15,G$1,$B$1)</f>
        <v>34.94</v>
      </c>
      <c r="H15">
        <f>_xll.EQNXTDZ($A$1,$B15,H$1,$B$1)</f>
        <v>38.049999999999997</v>
      </c>
      <c r="I15">
        <f>_xll.EQNXTDZ($A$1,$B15,I$1,$B$1)</f>
        <v>38.42</v>
      </c>
      <c r="J15">
        <f>_xll.EQNXTDZ($A$1,$B15,J$1,$B$1)</f>
        <v>36.15</v>
      </c>
      <c r="K15">
        <f>_xll.EQNXTDZ($A$1,$B15,K$1,$B$1)</f>
        <v>36.1</v>
      </c>
      <c r="L15">
        <f>_xll.EQNXTDZ($A$1,$B15,L$1,$B$1)</f>
        <v>37.4</v>
      </c>
      <c r="M15">
        <f>_xll.EQNXTDZ($A$1,$B15,M$1,$B$1)</f>
        <v>38.06</v>
      </c>
      <c r="N15">
        <f>_xll.EQNXTDZ($A$1,$B15,N$1,$B$1)</f>
        <v>35.11</v>
      </c>
      <c r="O15">
        <f>_xll.EQNXTDZ($A$1,$B15,O$1,$B$1)</f>
        <v>37.81</v>
      </c>
      <c r="P15">
        <f>_xll.EQNXTDZ($A$1,$B15,P$1,$B$1)</f>
        <v>32.090000000000003</v>
      </c>
      <c r="Q15">
        <f>_xll.EQNXTDZ($A$1,$B15,Q$1,$B$1)</f>
        <v>29.96</v>
      </c>
      <c r="R15">
        <f>_xll.EQNXTDZ($A$1,$B15,R$1,$B$1)</f>
        <v>31.94</v>
      </c>
      <c r="S15">
        <f>_xll.EQNXTDZ($A$1,$B15,S$1,$B$1)</f>
        <v>26.71</v>
      </c>
      <c r="T15">
        <f>_xll.EQNXTDZ($A$1,$B15,T$1,$B$1)</f>
        <v>31.98</v>
      </c>
      <c r="U15">
        <f>_xll.EQNXTDZ($A$1,$B15,U$1,$B$1)</f>
        <v>29.75</v>
      </c>
      <c r="V15">
        <f>_xll.EQNXTDZ($A$1,$B15,V$1,$B$1)</f>
        <v>31.51</v>
      </c>
      <c r="W15">
        <f>_xll.EQNXTDZ($A$1,$B15,W$1,$B$1)</f>
        <v>36.39</v>
      </c>
      <c r="X15">
        <f>_xll.EQNXTDZ($A$1,$B15,X$1,$B$1)</f>
        <v>31.27</v>
      </c>
      <c r="Y15">
        <f>_xll.EQNXTDZ($A$1,$B15,Y$1,$B$1)</f>
        <v>36.25</v>
      </c>
      <c r="Z15">
        <f>_xll.EQNXTDZ($A$1,$B15,Z$1,$B$1)</f>
        <v>38.24</v>
      </c>
      <c r="AA15">
        <f>_xll.EQNXTDZ($A$1,$B15,AA$1,$B$1)</f>
        <v>44.92</v>
      </c>
      <c r="AB15">
        <f>_xll.EQNXTDZ($A$1,$B15,AB$1,$B$1)</f>
        <v>36.049999999999997</v>
      </c>
      <c r="AC15">
        <f>_xll.EQNXTDZ($A$1,$B15,AC$1,$B$1)</f>
        <v>39.049999999999997</v>
      </c>
      <c r="AD15">
        <f>_xll.EQNXTDZ($A$1,$B15,AD$1,$B$1)</f>
        <v>37.81</v>
      </c>
      <c r="AE15">
        <f>_xll.EQNXTDZ($A$1,$B15,AE$1,$B$1)</f>
        <v>35.159999999999997</v>
      </c>
      <c r="AF15">
        <f>_xll.EQNXTDZ($A$1,$B15,AF$1,$B$1)</f>
        <v>33.700000000000003</v>
      </c>
      <c r="AG15">
        <f>_xll.EQNXTDZ($A$1,$B15,AG$1,$B$1)</f>
        <v>38.840000000000003</v>
      </c>
      <c r="AH15">
        <f>_xll.EQNXTDZ($A$1,$B15,AH$1,$B$1)</f>
        <v>33.229999999999997</v>
      </c>
      <c r="AI15">
        <f>_xll.EQNXTDZ($A$1,$B15,AI$1,$B$1)</f>
        <v>26.68</v>
      </c>
      <c r="AJ15">
        <f>_xll.EQNXTDZ($A$1,$B15,AJ$1,$B$1)</f>
        <v>25.62</v>
      </c>
      <c r="AK15">
        <f>_xll.EQNXTDZ($A$1,$B15,AK$1,$B$1)</f>
        <v>22.97</v>
      </c>
      <c r="AL15">
        <f>_xll.EQNXTDZ($A$1,$B15,AL$1,$B$1)</f>
        <v>30.66</v>
      </c>
      <c r="AM15">
        <f>_xll.EQNXTDZ($A$1,$B15,AM$1,$B$1)</f>
        <v>38.61</v>
      </c>
      <c r="AN15">
        <f>_xll.EQNXTDZ($A$1,$B15,AN$1,$B$1)</f>
        <v>43.5</v>
      </c>
      <c r="AO15">
        <f>_xll.EQNXTDZ($A$1,$B15,AO$1,$B$1)</f>
        <v>51.16</v>
      </c>
      <c r="AP15">
        <f>_xll.EQNXTDZ($A$1,$B15,AP$1,$B$1)</f>
        <v>53.57</v>
      </c>
      <c r="AQ15">
        <f>_xll.EQNXTDZ($A$1,$B15,AQ$1,$B$1)</f>
        <v>67.349999999999994</v>
      </c>
      <c r="AR15">
        <f>_xll.EQNXTDZ($A$1,$B15,AR$1,$B$1)</f>
        <v>69.56</v>
      </c>
      <c r="AS15">
        <f>_xll.EQNXTDZ($A$1,$B15,AS$1,$B$1)</f>
        <v>74.959999999999994</v>
      </c>
      <c r="AT15">
        <f>_xll.EQNXTDZ($A$1,$B15,AT$1,$B$1)</f>
        <v>70.62</v>
      </c>
      <c r="AU15">
        <f>_xll.EQNXTDZ($A$1,$B15,AU$1,$B$1)</f>
        <v>73.430000000000007</v>
      </c>
      <c r="AV15">
        <f>_xll.EQNXTDZ($A$1,$B15,AV$1,$B$1)</f>
        <v>62.89</v>
      </c>
      <c r="AW15">
        <f>_xll.EQNXTDZ($A$1,$B15,AW$1,$B$1)</f>
        <v>58.79</v>
      </c>
      <c r="AX15">
        <f>_xll.EQNXTDZ($A$1,$B15,AX$1,$B$1)</f>
        <v>63.07</v>
      </c>
      <c r="AY15">
        <f>_xll.EQNXTDZ($A$1,$B15,AY$1,$B$1)</f>
        <v>65.05</v>
      </c>
      <c r="AZ15">
        <f>_xll.EQNXTDZ($A$1,$B15,AZ$1,$B$1)</f>
        <v>61.27</v>
      </c>
      <c r="BA15">
        <f>_xll.EQNXTDZ($A$1,$B15,BA$1,$B$1)</f>
        <v>60.49</v>
      </c>
      <c r="BB15">
        <f>_xll.EQNXTDZ($A$1,$B15,BB$1,$B$1)</f>
        <v>56.84</v>
      </c>
      <c r="BC15">
        <f>_xll.EQNXTDZ($A$1,$B15,BC$1,$B$1)</f>
        <v>53.93</v>
      </c>
      <c r="BD15">
        <f>_xll.EQNXTDZ($A$1,$B15,BD$1,$B$1)</f>
        <v>49.17</v>
      </c>
      <c r="BE15">
        <f>_xll.EQNXTDZ($A$1,$B15,BE$1,$B$1)</f>
        <v>48.96</v>
      </c>
      <c r="BF15">
        <f>_xll.EQNXTDZ($A$1,$B15,BF$1,$B$1)</f>
        <v>52.21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13.47</v>
      </c>
      <c r="D16">
        <f>_xll.EQNXTDZ($A$1,$B16,D$1,$B$1)</f>
        <v>13.33</v>
      </c>
      <c r="E16">
        <f>_xll.EQNXTDZ($A$1,$B16,E$1,$B$1)</f>
        <v>13.46</v>
      </c>
      <c r="F16">
        <f>_xll.EQNXTDZ($A$1,$B16,F$1,$B$1)</f>
        <v>13.81</v>
      </c>
      <c r="G16">
        <f>_xll.EQNXTDZ($A$1,$B16,G$1,$B$1)</f>
        <v>14.15</v>
      </c>
      <c r="H16">
        <f>_xll.EQNXTDZ($A$1,$B16,H$1,$B$1)</f>
        <v>14.8</v>
      </c>
      <c r="I16">
        <f>_xll.EQNXTDZ($A$1,$B16,I$1,$B$1)</f>
        <v>14.74</v>
      </c>
      <c r="J16">
        <f>_xll.EQNXTDZ($A$1,$B16,J$1,$B$1)</f>
        <v>12.37</v>
      </c>
      <c r="K16">
        <f>_xll.EQNXTDZ($A$1,$B16,K$1,$B$1)</f>
        <v>14.72</v>
      </c>
      <c r="L16">
        <f>_xll.EQNXTDZ($A$1,$B16,L$1,$B$1)</f>
        <v>14.87</v>
      </c>
      <c r="M16">
        <f>_xll.EQNXTDZ($A$1,$B16,M$1,$B$1)</f>
        <v>14.99</v>
      </c>
      <c r="N16">
        <f>_xll.EQNXTDZ($A$1,$B16,N$1,$B$1)</f>
        <v>19.55</v>
      </c>
      <c r="O16">
        <f>_xll.EQNXTDZ($A$1,$B16,O$1,$B$1)</f>
        <v>17.79</v>
      </c>
      <c r="P16">
        <f>_xll.EQNXTDZ($A$1,$B16,P$1,$B$1)</f>
        <v>19.600000000000001</v>
      </c>
      <c r="Q16">
        <f>_xll.EQNXTDZ($A$1,$B16,Q$1,$B$1)</f>
        <v>18.84</v>
      </c>
      <c r="R16">
        <f>_xll.EQNXTDZ($A$1,$B16,R$1,$B$1)</f>
        <v>23.34</v>
      </c>
      <c r="S16">
        <f>_xll.EQNXTDZ($A$1,$B16,S$1,$B$1)</f>
        <v>19.45</v>
      </c>
      <c r="T16">
        <f>_xll.EQNXTDZ($A$1,$B16,T$1,$B$1)</f>
        <v>18.5</v>
      </c>
      <c r="U16">
        <f>_xll.EQNXTDZ($A$1,$B16,U$1,$B$1)</f>
        <v>18.13</v>
      </c>
      <c r="V16">
        <f>_xll.EQNXTDZ($A$1,$B16,V$1,$B$1)</f>
        <v>13.63</v>
      </c>
      <c r="W16">
        <f>_xll.EQNXTDZ($A$1,$B16,W$1,$B$1)</f>
        <v>18.34</v>
      </c>
      <c r="X16">
        <f>_xll.EQNXTDZ($A$1,$B16,X$1,$B$1)</f>
        <v>18.3</v>
      </c>
      <c r="Y16">
        <f>_xll.EQNXTDZ($A$1,$B16,Y$1,$B$1)</f>
        <v>18.29</v>
      </c>
      <c r="Z16">
        <f>_xll.EQNXTDZ($A$1,$B16,Z$1,$B$1)</f>
        <v>13.43</v>
      </c>
      <c r="AA16">
        <f>_xll.EQNXTDZ($A$1,$B16,AA$1,$B$1)</f>
        <v>18.66</v>
      </c>
      <c r="AB16">
        <f>_xll.EQNXTDZ($A$1,$B16,AB$1,$B$1)</f>
        <v>18.95</v>
      </c>
      <c r="AC16">
        <f>_xll.EQNXTDZ($A$1,$B16,AC$1,$B$1)</f>
        <v>18.55</v>
      </c>
      <c r="AD16">
        <f>_xll.EQNXTDZ($A$1,$B16,AD$1,$B$1)</f>
        <v>13.12</v>
      </c>
      <c r="AE16">
        <f>_xll.EQNXTDZ($A$1,$B16,AE$1,$B$1)</f>
        <v>21.89</v>
      </c>
      <c r="AF16">
        <f>_xll.EQNXTDZ($A$1,$B16,AF$1,$B$1)</f>
        <v>22.37</v>
      </c>
      <c r="AG16">
        <f>_xll.EQNXTDZ($A$1,$B16,AG$1,$B$1)</f>
        <v>21.81</v>
      </c>
      <c r="AH16">
        <f>_xll.EQNXTDZ($A$1,$B16,AH$1,$B$1)</f>
        <v>16.25</v>
      </c>
      <c r="AI16">
        <f>_xll.EQNXTDZ($A$1,$B16,AI$1,$B$1)</f>
        <v>21.53</v>
      </c>
      <c r="AJ16">
        <f>_xll.EQNXTDZ($A$1,$B16,AJ$1,$B$1)</f>
        <v>23.47</v>
      </c>
      <c r="AK16">
        <f>_xll.EQNXTDZ($A$1,$B16,AK$1,$B$1)</f>
        <v>17</v>
      </c>
      <c r="AL16">
        <f>_xll.EQNXTDZ($A$1,$B16,AL$1,$B$1)</f>
        <v>19.34</v>
      </c>
      <c r="AM16">
        <f>_xll.EQNXTDZ($A$1,$B16,AM$1,$B$1)</f>
        <v>22.19</v>
      </c>
      <c r="AN16">
        <f>_xll.EQNXTDZ($A$1,$B16,AN$1,$B$1)</f>
        <v>22.68</v>
      </c>
      <c r="AO16">
        <f>_xll.EQNXTDZ($A$1,$B16,AO$1,$B$1)</f>
        <v>20.81</v>
      </c>
      <c r="AP16">
        <f>_xll.EQNXTDZ($A$1,$B16,AP$1,$B$1)</f>
        <v>18.91</v>
      </c>
      <c r="AQ16">
        <f>_xll.EQNXTDZ($A$1,$B16,AQ$1,$B$1)</f>
        <v>24.04</v>
      </c>
      <c r="AR16">
        <f>_xll.EQNXTDZ($A$1,$B16,AR$1,$B$1)</f>
        <v>23.17</v>
      </c>
      <c r="AS16">
        <f>_xll.EQNXTDZ($A$1,$B16,AS$1,$B$1)</f>
        <v>23.31</v>
      </c>
      <c r="AT16">
        <f>_xll.EQNXTDZ($A$1,$B16,AT$1,$B$1)</f>
        <v>27.38</v>
      </c>
      <c r="AU16">
        <f>_xll.EQNXTDZ($A$1,$B16,AU$1,$B$1)</f>
        <v>24.65</v>
      </c>
      <c r="AV16">
        <f>_xll.EQNXTDZ($A$1,$B16,AV$1,$B$1)</f>
        <v>25.1</v>
      </c>
      <c r="AW16">
        <f>_xll.EQNXTDZ($A$1,$B16,AW$1,$B$1)</f>
        <v>24.29</v>
      </c>
      <c r="AX16">
        <f>_xll.EQNXTDZ($A$1,$B16,AX$1,$B$1)</f>
        <v>18.84</v>
      </c>
      <c r="AY16">
        <f>_xll.EQNXTDZ($A$1,$B16,AY$1,$B$1)</f>
        <v>29.7</v>
      </c>
      <c r="AZ16">
        <f>_xll.EQNXTDZ($A$1,$B16,AZ$1,$B$1)</f>
        <v>29.52</v>
      </c>
      <c r="BA16">
        <f>_xll.EQNXTDZ($A$1,$B16,BA$1,$B$1)</f>
        <v>25.76</v>
      </c>
      <c r="BB16">
        <f>_xll.EQNXTDZ($A$1,$B16,BB$1,$B$1)</f>
        <v>28.34</v>
      </c>
      <c r="BC16">
        <f>_xll.EQNXTDZ($A$1,$B16,BC$1,$B$1)</f>
        <v>27.38</v>
      </c>
      <c r="BD16">
        <f>_xll.EQNXTDZ($A$1,$B16,BD$1,$B$1)</f>
        <v>26.82</v>
      </c>
      <c r="BE16">
        <f>_xll.EQNXTDZ($A$1,$B16,BE$1,$B$1)</f>
        <v>23.58</v>
      </c>
      <c r="BF16">
        <f>_xll.EQNXTDZ($A$1,$B16,BF$1,$B$1)</f>
        <v>25.79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28.11</v>
      </c>
      <c r="D22">
        <f>_xll.EQNXTDZ($A$1,$B22,D$1,$B$1)</f>
        <v>26.93</v>
      </c>
      <c r="E22">
        <f>_xll.EQNXTDZ($A$1,$B22,E$1,$B$1)</f>
        <v>23.89</v>
      </c>
      <c r="F22">
        <f>_xll.EQNXTDZ($A$1,$B22,F$1,$B$1)</f>
        <v>26.3</v>
      </c>
      <c r="G22">
        <f>_xll.EQNXTDZ($A$1,$B22,G$1,$B$1)</f>
        <v>32.450000000000003</v>
      </c>
      <c r="H22">
        <f>_xll.EQNXTDZ($A$1,$B22,H$1,$B$1)</f>
        <v>29.71</v>
      </c>
      <c r="I22">
        <f>_xll.EQNXTDZ($A$1,$B22,I$1,$B$1)</f>
        <v>23.62</v>
      </c>
      <c r="J22">
        <f>_xll.EQNXTDZ($A$1,$B22,J$1,$B$1)</f>
        <v>39.04</v>
      </c>
      <c r="K22">
        <f>_xll.EQNXTDZ($A$1,$B22,K$1,$B$1)</f>
        <v>25.3</v>
      </c>
      <c r="L22">
        <f>_xll.EQNXTDZ($A$1,$B22,L$1,$B$1)</f>
        <v>27.59</v>
      </c>
      <c r="M22">
        <f>_xll.EQNXTDZ($A$1,$B22,M$1,$B$1)</f>
        <v>19.809999999999999</v>
      </c>
      <c r="N22">
        <f>_xll.EQNXTDZ($A$1,$B22,N$1,$B$1)</f>
        <v>16.579999999999998</v>
      </c>
      <c r="O22">
        <f>_xll.EQNXTDZ($A$1,$B22,O$1,$B$1)</f>
        <v>23.46</v>
      </c>
      <c r="P22">
        <f>_xll.EQNXTDZ($A$1,$B22,P$1,$B$1)</f>
        <v>25.49</v>
      </c>
      <c r="Q22">
        <f>_xll.EQNXTDZ($A$1,$B22,Q$1,$B$1)</f>
        <v>20.66</v>
      </c>
      <c r="R22">
        <f>_xll.EQNXTDZ($A$1,$B22,R$1,$B$1)</f>
        <v>37.43</v>
      </c>
      <c r="S22">
        <f>_xll.EQNXTDZ($A$1,$B22,S$1,$B$1)</f>
        <v>43.76</v>
      </c>
      <c r="T22">
        <f>_xll.EQNXTDZ($A$1,$B22,T$1,$B$1)</f>
        <v>49.83</v>
      </c>
      <c r="U22">
        <f>_xll.EQNXTDZ($A$1,$B22,U$1,$B$1)</f>
        <v>58.8</v>
      </c>
      <c r="V22">
        <f>_xll.EQNXTDZ($A$1,$B22,V$1,$B$1)</f>
        <v>61.3</v>
      </c>
      <c r="W22">
        <f>_xll.EQNXTDZ($A$1,$B22,W$1,$B$1)</f>
        <v>39.869999999999997</v>
      </c>
      <c r="X22">
        <f>_xll.EQNXTDZ($A$1,$B22,X$1,$B$1)</f>
        <v>48.06</v>
      </c>
      <c r="Y22">
        <f>_xll.EQNXTDZ($A$1,$B22,Y$1,$B$1)</f>
        <v>47.8</v>
      </c>
      <c r="Z22">
        <f>_xll.EQNXTDZ($A$1,$B22,Z$1,$B$1)</f>
        <v>71.459999999999994</v>
      </c>
      <c r="AA22">
        <f>_xll.EQNXTDZ($A$1,$B22,AA$1,$B$1)</f>
        <v>47.37</v>
      </c>
      <c r="AB22">
        <f>_xll.EQNXTDZ($A$1,$B22,AB$1,$B$1)</f>
        <v>82.13</v>
      </c>
      <c r="AC22">
        <f>_xll.EQNXTDZ($A$1,$B22,AC$1,$B$1)</f>
        <v>83.23</v>
      </c>
      <c r="AD22">
        <f>_xll.EQNXTDZ($A$1,$B22,AD$1,$B$1)</f>
        <v>83.12</v>
      </c>
      <c r="AE22">
        <f>_xll.EQNXTDZ($A$1,$B22,AE$1,$B$1)</f>
        <v>62.27</v>
      </c>
      <c r="AF22">
        <f>_xll.EQNXTDZ($A$1,$B22,AF$1,$B$1)</f>
        <v>72.150000000000006</v>
      </c>
      <c r="AG22">
        <f>_xll.EQNXTDZ($A$1,$B22,AG$1,$B$1)</f>
        <v>67.83</v>
      </c>
      <c r="AH22">
        <f>_xll.EQNXTDZ($A$1,$B22,AH$1,$B$1)</f>
        <v>64.69</v>
      </c>
      <c r="AI22">
        <f>_xll.EQNXTDZ($A$1,$B22,AI$1,$B$1)</f>
        <v>31.48</v>
      </c>
      <c r="AJ22">
        <f>_xll.EQNXTDZ($A$1,$B22,AJ$1,$B$1)</f>
        <v>28.03</v>
      </c>
      <c r="AK22">
        <f>_xll.EQNXTDZ($A$1,$B22,AK$1,$B$1)</f>
        <v>13.8</v>
      </c>
      <c r="AL22">
        <f>_xll.EQNXTDZ($A$1,$B22,AL$1,$B$1)</f>
        <v>34.24</v>
      </c>
      <c r="AM22">
        <f>_xll.EQNXTDZ($A$1,$B22,AM$1,$B$1)</f>
        <v>31.36</v>
      </c>
      <c r="AN22">
        <f>_xll.EQNXTDZ($A$1,$B22,AN$1,$B$1)</f>
        <v>39.950000000000003</v>
      </c>
      <c r="AO22">
        <f>_xll.EQNXTDZ($A$1,$B22,AO$1,$B$1)</f>
        <v>15.25</v>
      </c>
      <c r="AP22">
        <f>_xll.EQNXTDZ($A$1,$B22,AP$1,$B$1)</f>
        <v>79.150000000000006</v>
      </c>
      <c r="AQ22">
        <f>_xll.EQNXTDZ($A$1,$B22,AQ$1,$B$1)</f>
        <v>87.810000000000102</v>
      </c>
      <c r="AR22">
        <f>_xll.EQNXTDZ($A$1,$B22,AR$1,$B$1)</f>
        <v>139.63999999999999</v>
      </c>
      <c r="AS22">
        <f>_xll.EQNXTDZ($A$1,$B22,AS$1,$B$1)</f>
        <v>149.84</v>
      </c>
      <c r="AT22">
        <f>_xll.EQNXTDZ($A$1,$B22,AT$1,$B$1)</f>
        <v>156.84</v>
      </c>
      <c r="AU22">
        <f>_xll.EQNXTDZ($A$1,$B22,AU$1,$B$1)</f>
        <v>95.1</v>
      </c>
      <c r="AV22">
        <f>_xll.EQNXTDZ($A$1,$B22,AV$1,$B$1)</f>
        <v>89.41</v>
      </c>
      <c r="AW22">
        <f>_xll.EQNXTDZ($A$1,$B22,AW$1,$B$1)</f>
        <v>87.669999999999902</v>
      </c>
      <c r="AX22">
        <f>_xll.EQNXTDZ($A$1,$B22,AX$1,$B$1)</f>
        <v>67.740000000000094</v>
      </c>
      <c r="AY22">
        <f>_xll.EQNXTDZ($A$1,$B22,AY$1,$B$1)</f>
        <v>47.810000000000102</v>
      </c>
      <c r="AZ22">
        <f>_xll.EQNXTDZ($A$1,$B22,AZ$1,$B$1)</f>
        <v>30.74</v>
      </c>
      <c r="BA22">
        <f>_xll.EQNXTDZ($A$1,$B22,BA$1,$B$1)</f>
        <v>7.6400000000000503</v>
      </c>
      <c r="BB22">
        <f>_xll.EQNXTDZ($A$1,$B22,BB$1,$B$1)</f>
        <v>25.220000000000098</v>
      </c>
      <c r="BC22">
        <f>_xll.EQNXTDZ($A$1,$B22,BC$1,$B$1)</f>
        <v>21.31</v>
      </c>
      <c r="BD22">
        <f>_xll.EQNXTDZ($A$1,$B22,BD$1,$B$1)</f>
        <v>26.3</v>
      </c>
      <c r="BE22">
        <f>_xll.EQNXTDZ($A$1,$B22,BE$1,$B$1)</f>
        <v>24.71</v>
      </c>
      <c r="BF22">
        <f>_xll.EQNXTDZ($A$1,$B22,BF$1,$B$1)</f>
        <v>23.59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0.53</v>
      </c>
      <c r="D23">
        <f>_xll.EQNXTDZ($A$1,$B23,D$1,$B$1)</f>
        <v>1.34</v>
      </c>
      <c r="E23">
        <f>_xll.EQNXTDZ($A$1,$B23,E$1,$B$1)</f>
        <v>0.6</v>
      </c>
      <c r="F23">
        <f>_xll.EQNXTDZ($A$1,$B23,F$1,$B$1)</f>
        <v>2.4</v>
      </c>
      <c r="G23">
        <f>_xll.EQNXTDZ($A$1,$B23,G$1,$B$1)</f>
        <v>0.3</v>
      </c>
      <c r="H23">
        <f>_xll.EQNXTDZ($A$1,$B23,H$1,$B$1)</f>
        <v>1.04</v>
      </c>
      <c r="I23">
        <f>_xll.EQNXTDZ($A$1,$B23,I$1,$B$1)</f>
        <v>1.1299999999999999</v>
      </c>
      <c r="J23">
        <f>_xll.EQNXTDZ($A$1,$B23,J$1,$B$1)</f>
        <v>1.63</v>
      </c>
      <c r="K23">
        <f>_xll.EQNXTDZ($A$1,$B23,K$1,$B$1)</f>
        <v>0.77</v>
      </c>
      <c r="L23">
        <f>_xll.EQNXTDZ($A$1,$B23,L$1,$B$1)</f>
        <v>1.35</v>
      </c>
      <c r="M23">
        <f>_xll.EQNXTDZ($A$1,$B23,M$1,$B$1)</f>
        <v>0.88</v>
      </c>
      <c r="N23">
        <f>_xll.EQNXTDZ($A$1,$B23,N$1,$B$1)</f>
        <v>2.85</v>
      </c>
      <c r="O23">
        <f>_xll.EQNXTDZ($A$1,$B23,O$1,$B$1)</f>
        <v>0.79</v>
      </c>
      <c r="P23">
        <f>_xll.EQNXTDZ($A$1,$B23,P$1,$B$1)</f>
        <v>1.07</v>
      </c>
      <c r="Q23">
        <f>_xll.EQNXTDZ($A$1,$B23,Q$1,$B$1)</f>
        <v>0.95</v>
      </c>
      <c r="R23">
        <f>_xll.EQNXTDZ($A$1,$B23,R$1,$B$1)</f>
        <v>1.47</v>
      </c>
      <c r="S23">
        <f>_xll.EQNXTDZ($A$1,$B23,S$1,$B$1)</f>
        <v>0.61</v>
      </c>
      <c r="T23">
        <f>_xll.EQNXTDZ($A$1,$B23,T$1,$B$1)</f>
        <v>1.65</v>
      </c>
      <c r="U23">
        <f>_xll.EQNXTDZ($A$1,$B23,U$1,$B$1)</f>
        <v>2.31</v>
      </c>
      <c r="V23">
        <f>_xll.EQNXTDZ($A$1,$B23,V$1,$B$1)</f>
        <v>3.56</v>
      </c>
      <c r="W23">
        <f>_xll.EQNXTDZ($A$1,$B23,W$1,$B$1)</f>
        <v>0.69</v>
      </c>
      <c r="X23">
        <f>_xll.EQNXTDZ($A$1,$B23,X$1,$B$1)</f>
        <v>1.97</v>
      </c>
      <c r="Y23">
        <f>_xll.EQNXTDZ($A$1,$B23,Y$1,$B$1)</f>
        <v>2.0699999999999998</v>
      </c>
      <c r="Z23">
        <f>_xll.EQNXTDZ($A$1,$B23,Z$1,$B$1)</f>
        <v>4.67</v>
      </c>
      <c r="AA23">
        <f>_xll.EQNXTDZ($A$1,$B23,AA$1,$B$1)</f>
        <v>2.96</v>
      </c>
      <c r="AB23">
        <f>_xll.EQNXTDZ($A$1,$B23,AB$1,$B$1)</f>
        <v>4.32</v>
      </c>
      <c r="AC23">
        <f>_xll.EQNXTDZ($A$1,$B23,AC$1,$B$1)</f>
        <v>4.21</v>
      </c>
      <c r="AD23">
        <f>_xll.EQNXTDZ($A$1,$B23,AD$1,$B$1)</f>
        <v>11.39</v>
      </c>
      <c r="AE23">
        <f>_xll.EQNXTDZ($A$1,$B23,AE$1,$B$1)</f>
        <v>6.37</v>
      </c>
      <c r="AF23">
        <f>_xll.EQNXTDZ($A$1,$B23,AF$1,$B$1)</f>
        <v>6.61</v>
      </c>
      <c r="AG23">
        <f>_xll.EQNXTDZ($A$1,$B23,AG$1,$B$1)</f>
        <v>5.86</v>
      </c>
      <c r="AH23">
        <f>_xll.EQNXTDZ($A$1,$B23,AH$1,$B$1)</f>
        <v>3.48</v>
      </c>
      <c r="AI23">
        <f>_xll.EQNXTDZ($A$1,$B23,AI$1,$B$1)</f>
        <v>6.03</v>
      </c>
      <c r="AJ23">
        <f>_xll.EQNXTDZ($A$1,$B23,AJ$1,$B$1)</f>
        <v>6.16</v>
      </c>
      <c r="AK23">
        <f>_xll.EQNXTDZ($A$1,$B23,AK$1,$B$1)</f>
        <v>3.34</v>
      </c>
      <c r="AL23">
        <f>_xll.EQNXTDZ($A$1,$B23,AL$1,$B$1)</f>
        <v>2.91</v>
      </c>
      <c r="AM23">
        <f>_xll.EQNXTDZ($A$1,$B23,AM$1,$B$1)</f>
        <v>4.3899999999999997</v>
      </c>
      <c r="AN23">
        <f>_xll.EQNXTDZ($A$1,$B23,AN$1,$B$1)</f>
        <v>3.45</v>
      </c>
      <c r="AO23">
        <f>_xll.EQNXTDZ($A$1,$B23,AO$1,$B$1)</f>
        <v>3.35</v>
      </c>
      <c r="AP23">
        <f>_xll.EQNXTDZ($A$1,$B23,AP$1,$B$1)</f>
        <v>4.34</v>
      </c>
      <c r="AQ23">
        <f>_xll.EQNXTDZ($A$1,$B23,AQ$1,$B$1)</f>
        <v>4.74</v>
      </c>
      <c r="AR23">
        <f>_xll.EQNXTDZ($A$1,$B23,AR$1,$B$1)</f>
        <v>7.32</v>
      </c>
      <c r="AS23">
        <f>_xll.EQNXTDZ($A$1,$B23,AS$1,$B$1)</f>
        <v>8.59</v>
      </c>
      <c r="AT23">
        <f>_xll.EQNXTDZ($A$1,$B23,AT$1,$B$1)</f>
        <v>8.64</v>
      </c>
      <c r="AU23">
        <f>_xll.EQNXTDZ($A$1,$B23,AU$1,$B$1)</f>
        <v>11.02</v>
      </c>
      <c r="AV23">
        <f>_xll.EQNXTDZ($A$1,$B23,AV$1,$B$1)</f>
        <v>14.31</v>
      </c>
      <c r="AW23">
        <f>_xll.EQNXTDZ($A$1,$B23,AW$1,$B$1)</f>
        <v>11.36</v>
      </c>
      <c r="AX23">
        <f>_xll.EQNXTDZ($A$1,$B23,AX$1,$B$1)</f>
        <v>13.34</v>
      </c>
      <c r="AY23">
        <f>_xll.EQNXTDZ($A$1,$B23,AY$1,$B$1)</f>
        <v>14.53</v>
      </c>
      <c r="AZ23">
        <f>_xll.EQNXTDZ($A$1,$B23,AZ$1,$B$1)</f>
        <v>15.32</v>
      </c>
      <c r="BA23">
        <f>_xll.EQNXTDZ($A$1,$B23,BA$1,$B$1)</f>
        <v>20.56</v>
      </c>
      <c r="BB23">
        <f>_xll.EQNXTDZ($A$1,$B23,BB$1,$B$1)</f>
        <v>18.190000000000001</v>
      </c>
      <c r="BC23">
        <f>_xll.EQNXTDZ($A$1,$B23,BC$1,$B$1)</f>
        <v>13.56</v>
      </c>
      <c r="BD23">
        <f>_xll.EQNXTDZ($A$1,$B23,BD$1,$B$1)</f>
        <v>13.34</v>
      </c>
      <c r="BE23">
        <f>_xll.EQNXTDZ($A$1,$B23,BE$1,$B$1)</f>
        <v>10.23</v>
      </c>
      <c r="BF23">
        <f>_xll.EQNXTDZ($A$1,$B23,BF$1,$B$1)</f>
        <v>11.63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28.64</v>
      </c>
      <c r="D24">
        <f>_xll.EQNXTDZ($A$1,$B24,D$1,$B$1)</f>
        <v>28.27</v>
      </c>
      <c r="E24">
        <f>_xll.EQNXTDZ($A$1,$B24,E$1,$B$1)</f>
        <v>24.49</v>
      </c>
      <c r="F24">
        <f>_xll.EQNXTDZ($A$1,$B24,F$1,$B$1)</f>
        <v>28.7</v>
      </c>
      <c r="G24">
        <f>_xll.EQNXTDZ($A$1,$B24,G$1,$B$1)</f>
        <v>32.75</v>
      </c>
      <c r="H24">
        <f>_xll.EQNXTDZ($A$1,$B24,H$1,$B$1)</f>
        <v>30.75</v>
      </c>
      <c r="I24">
        <f>_xll.EQNXTDZ($A$1,$B24,I$1,$B$1)</f>
        <v>24.75</v>
      </c>
      <c r="J24">
        <f>_xll.EQNXTDZ($A$1,$B24,J$1,$B$1)</f>
        <v>40.67</v>
      </c>
      <c r="K24">
        <f>_xll.EQNXTDZ($A$1,$B24,K$1,$B$1)</f>
        <v>26.07</v>
      </c>
      <c r="L24">
        <f>_xll.EQNXTDZ($A$1,$B24,L$1,$B$1)</f>
        <v>28.94</v>
      </c>
      <c r="M24">
        <f>_xll.EQNXTDZ($A$1,$B24,M$1,$B$1)</f>
        <v>20.69</v>
      </c>
      <c r="N24">
        <f>_xll.EQNXTDZ($A$1,$B24,N$1,$B$1)</f>
        <v>19.43</v>
      </c>
      <c r="O24">
        <f>_xll.EQNXTDZ($A$1,$B24,O$1,$B$1)</f>
        <v>24.25</v>
      </c>
      <c r="P24">
        <f>_xll.EQNXTDZ($A$1,$B24,P$1,$B$1)</f>
        <v>26.56</v>
      </c>
      <c r="Q24">
        <f>_xll.EQNXTDZ($A$1,$B24,Q$1,$B$1)</f>
        <v>21.61</v>
      </c>
      <c r="R24">
        <f>_xll.EQNXTDZ($A$1,$B24,R$1,$B$1)</f>
        <v>38.9</v>
      </c>
      <c r="S24">
        <f>_xll.EQNXTDZ($A$1,$B24,S$1,$B$1)</f>
        <v>44.37</v>
      </c>
      <c r="T24">
        <f>_xll.EQNXTDZ($A$1,$B24,T$1,$B$1)</f>
        <v>51.48</v>
      </c>
      <c r="U24">
        <f>_xll.EQNXTDZ($A$1,$B24,U$1,$B$1)</f>
        <v>61.11</v>
      </c>
      <c r="V24">
        <f>_xll.EQNXTDZ($A$1,$B24,V$1,$B$1)</f>
        <v>64.86</v>
      </c>
      <c r="W24">
        <f>_xll.EQNXTDZ($A$1,$B24,W$1,$B$1)</f>
        <v>40.56</v>
      </c>
      <c r="X24">
        <f>_xll.EQNXTDZ($A$1,$B24,X$1,$B$1)</f>
        <v>50.03</v>
      </c>
      <c r="Y24">
        <f>_xll.EQNXTDZ($A$1,$B24,Y$1,$B$1)</f>
        <v>49.87</v>
      </c>
      <c r="Z24">
        <f>_xll.EQNXTDZ($A$1,$B24,Z$1,$B$1)</f>
        <v>76.13</v>
      </c>
      <c r="AA24">
        <f>_xll.EQNXTDZ($A$1,$B24,AA$1,$B$1)</f>
        <v>50.33</v>
      </c>
      <c r="AB24">
        <f>_xll.EQNXTDZ($A$1,$B24,AB$1,$B$1)</f>
        <v>86.45</v>
      </c>
      <c r="AC24">
        <f>_xll.EQNXTDZ($A$1,$B24,AC$1,$B$1)</f>
        <v>87.44</v>
      </c>
      <c r="AD24">
        <f>_xll.EQNXTDZ($A$1,$B24,AD$1,$B$1)</f>
        <v>94.51</v>
      </c>
      <c r="AE24">
        <f>_xll.EQNXTDZ($A$1,$B24,AE$1,$B$1)</f>
        <v>68.64</v>
      </c>
      <c r="AF24">
        <f>_xll.EQNXTDZ($A$1,$B24,AF$1,$B$1)</f>
        <v>78.760000000000005</v>
      </c>
      <c r="AG24">
        <f>_xll.EQNXTDZ($A$1,$B24,AG$1,$B$1)</f>
        <v>73.69</v>
      </c>
      <c r="AH24">
        <f>_xll.EQNXTDZ($A$1,$B24,AH$1,$B$1)</f>
        <v>68.17</v>
      </c>
      <c r="AI24">
        <f>_xll.EQNXTDZ($A$1,$B24,AI$1,$B$1)</f>
        <v>37.51</v>
      </c>
      <c r="AJ24">
        <f>_xll.EQNXTDZ($A$1,$B24,AJ$1,$B$1)</f>
        <v>34.19</v>
      </c>
      <c r="AK24">
        <f>_xll.EQNXTDZ($A$1,$B24,AK$1,$B$1)</f>
        <v>17.14</v>
      </c>
      <c r="AL24">
        <f>_xll.EQNXTDZ($A$1,$B24,AL$1,$B$1)</f>
        <v>37.15</v>
      </c>
      <c r="AM24">
        <f>_xll.EQNXTDZ($A$1,$B24,AM$1,$B$1)</f>
        <v>35.75</v>
      </c>
      <c r="AN24">
        <f>_xll.EQNXTDZ($A$1,$B24,AN$1,$B$1)</f>
        <v>43.4</v>
      </c>
      <c r="AO24">
        <f>_xll.EQNXTDZ($A$1,$B24,AO$1,$B$1)</f>
        <v>18.600000000000001</v>
      </c>
      <c r="AP24">
        <f>_xll.EQNXTDZ($A$1,$B24,AP$1,$B$1)</f>
        <v>83.49</v>
      </c>
      <c r="AQ24">
        <f>_xll.EQNXTDZ($A$1,$B24,AQ$1,$B$1)</f>
        <v>92.55</v>
      </c>
      <c r="AR24">
        <f>_xll.EQNXTDZ($A$1,$B24,AR$1,$B$1)</f>
        <v>146.96</v>
      </c>
      <c r="AS24">
        <f>_xll.EQNXTDZ($A$1,$B24,AS$1,$B$1)</f>
        <v>158.43</v>
      </c>
      <c r="AT24">
        <f>_xll.EQNXTDZ($A$1,$B24,AT$1,$B$1)</f>
        <v>165.48</v>
      </c>
      <c r="AU24">
        <f>_xll.EQNXTDZ($A$1,$B24,AU$1,$B$1)</f>
        <v>106.12</v>
      </c>
      <c r="AV24">
        <f>_xll.EQNXTDZ($A$1,$B24,AV$1,$B$1)</f>
        <v>103.72</v>
      </c>
      <c r="AW24">
        <f>_xll.EQNXTDZ($A$1,$B24,AW$1,$B$1)</f>
        <v>99.03</v>
      </c>
      <c r="AX24">
        <f>_xll.EQNXTDZ($A$1,$B24,AX$1,$B$1)</f>
        <v>81.080000000000098</v>
      </c>
      <c r="AY24">
        <f>_xll.EQNXTDZ($A$1,$B24,AY$1,$B$1)</f>
        <v>62.340000000000103</v>
      </c>
      <c r="AZ24">
        <f>_xll.EQNXTDZ($A$1,$B24,AZ$1,$B$1)</f>
        <v>46.059999999999903</v>
      </c>
      <c r="BA24">
        <f>_xll.EQNXTDZ($A$1,$B24,BA$1,$B$1)</f>
        <v>28.2</v>
      </c>
      <c r="BB24">
        <f>_xll.EQNXTDZ($A$1,$B24,BB$1,$B$1)</f>
        <v>43.41</v>
      </c>
      <c r="BC24">
        <f>_xll.EQNXTDZ($A$1,$B24,BC$1,$B$1)</f>
        <v>34.869999999999997</v>
      </c>
      <c r="BD24">
        <f>_xll.EQNXTDZ($A$1,$B24,BD$1,$B$1)</f>
        <v>39.64</v>
      </c>
      <c r="BE24">
        <f>_xll.EQNXTDZ($A$1,$B24,BE$1,$B$1)</f>
        <v>34.94</v>
      </c>
      <c r="BF24">
        <f>_xll.EQNXTDZ($A$1,$B24,BF$1,$B$1)</f>
        <v>35.22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11.4</v>
      </c>
      <c r="D25">
        <f>_xll.EQNXTDZ($A$1,$B25,D$1,$B$1)</f>
        <v>11.54</v>
      </c>
      <c r="E25">
        <f>_xll.EQNXTDZ($A$1,$B25,E$1,$B$1)</f>
        <v>11.04</v>
      </c>
      <c r="F25">
        <f>_xll.EQNXTDZ($A$1,$B25,F$1,$B$1)</f>
        <v>10.48</v>
      </c>
      <c r="G25">
        <f>_xll.EQNXTDZ($A$1,$B25,G$1,$B$1)</f>
        <v>10.27</v>
      </c>
      <c r="H25">
        <f>_xll.EQNXTDZ($A$1,$B25,H$1,$B$1)</f>
        <v>9.8000000000000007</v>
      </c>
      <c r="I25">
        <f>_xll.EQNXTDZ($A$1,$B25,I$1,$B$1)</f>
        <v>9.15</v>
      </c>
      <c r="J25">
        <f>_xll.EQNXTDZ($A$1,$B25,J$1,$B$1)</f>
        <v>9.49</v>
      </c>
      <c r="K25">
        <f>_xll.EQNXTDZ($A$1,$B25,K$1,$B$1)</f>
        <v>9.8800000000000008</v>
      </c>
      <c r="L25">
        <f>_xll.EQNXTDZ($A$1,$B25,L$1,$B$1)</f>
        <v>9.3800000000000008</v>
      </c>
      <c r="M25">
        <f>_xll.EQNXTDZ($A$1,$B25,M$1,$B$1)</f>
        <v>9.3000000000000007</v>
      </c>
      <c r="N25">
        <f>_xll.EQNXTDZ($A$1,$B25,N$1,$B$1)</f>
        <v>8.65</v>
      </c>
      <c r="O25">
        <f>_xll.EQNXTDZ($A$1,$B25,O$1,$B$1)</f>
        <v>8.7799999999999994</v>
      </c>
      <c r="P25">
        <f>_xll.EQNXTDZ($A$1,$B25,P$1,$B$1)</f>
        <v>8.33</v>
      </c>
      <c r="Q25">
        <f>_xll.EQNXTDZ($A$1,$B25,Q$1,$B$1)</f>
        <v>7.93</v>
      </c>
      <c r="R25">
        <f>_xll.EQNXTDZ($A$1,$B25,R$1,$B$1)</f>
        <v>7.25</v>
      </c>
      <c r="S25">
        <f>_xll.EQNXTDZ($A$1,$B25,S$1,$B$1)</f>
        <v>6.13</v>
      </c>
      <c r="T25">
        <f>_xll.EQNXTDZ($A$1,$B25,T$1,$B$1)</f>
        <v>4.9400000000000004</v>
      </c>
      <c r="U25">
        <f>_xll.EQNXTDZ($A$1,$B25,U$1,$B$1)</f>
        <v>4.6100000000000003</v>
      </c>
      <c r="V25">
        <f>_xll.EQNXTDZ($A$1,$B25,V$1,$B$1)</f>
        <v>7.52</v>
      </c>
      <c r="W25">
        <f>_xll.EQNXTDZ($A$1,$B25,W$1,$B$1)</f>
        <v>3.41</v>
      </c>
      <c r="X25">
        <f>_xll.EQNXTDZ($A$1,$B25,X$1,$B$1)</f>
        <v>3.25</v>
      </c>
      <c r="Y25">
        <f>_xll.EQNXTDZ($A$1,$B25,Y$1,$B$1)</f>
        <v>3.3</v>
      </c>
      <c r="Z25">
        <f>_xll.EQNXTDZ($A$1,$B25,Z$1,$B$1)</f>
        <v>4.34</v>
      </c>
      <c r="AA25">
        <f>_xll.EQNXTDZ($A$1,$B25,AA$1,$B$1)</f>
        <v>3.79</v>
      </c>
      <c r="AB25">
        <f>_xll.EQNXTDZ($A$1,$B25,AB$1,$B$1)</f>
        <v>3.56</v>
      </c>
      <c r="AC25">
        <f>_xll.EQNXTDZ($A$1,$B25,AC$1,$B$1)</f>
        <v>3.41</v>
      </c>
      <c r="AD25">
        <f>_xll.EQNXTDZ($A$1,$B25,AD$1,$B$1)</f>
        <v>3.05</v>
      </c>
      <c r="AE25">
        <f>_xll.EQNXTDZ($A$1,$B25,AE$1,$B$1)</f>
        <v>2.87</v>
      </c>
      <c r="AF25">
        <f>_xll.EQNXTDZ($A$1,$B25,AF$1,$B$1)</f>
        <v>2.04</v>
      </c>
      <c r="AG25">
        <f>_xll.EQNXTDZ($A$1,$B25,AG$1,$B$1)</f>
        <v>1.1299999999999999</v>
      </c>
      <c r="AH25">
        <f>_xll.EQNXTDZ($A$1,$B25,AH$1,$B$1)</f>
        <v>0.85</v>
      </c>
      <c r="AI25">
        <f>_xll.EQNXTDZ($A$1,$B25,AI$1,$B$1)</f>
        <v>0.72</v>
      </c>
      <c r="AJ25">
        <f>_xll.EQNXTDZ($A$1,$B25,AJ$1,$B$1)</f>
        <v>0.88</v>
      </c>
      <c r="AK25">
        <f>_xll.EQNXTDZ($A$1,$B25,AK$1,$B$1)</f>
        <v>0.71</v>
      </c>
      <c r="AL25">
        <f>_xll.EQNXTDZ($A$1,$B25,AL$1,$B$1)</f>
        <v>0.6</v>
      </c>
      <c r="AM25">
        <f>_xll.EQNXTDZ($A$1,$B25,AM$1,$B$1)</f>
        <v>0.64</v>
      </c>
      <c r="AN25">
        <f>_xll.EQNXTDZ($A$1,$B25,AN$1,$B$1)</f>
        <v>0.66</v>
      </c>
      <c r="AO25">
        <f>_xll.EQNXTDZ($A$1,$B25,AO$1,$B$1)</f>
        <v>0.65</v>
      </c>
      <c r="AP25">
        <f>_xll.EQNXTDZ($A$1,$B25,AP$1,$B$1)</f>
        <v>0.92</v>
      </c>
      <c r="AQ25">
        <f>_xll.EQNXTDZ($A$1,$B25,AQ$1,$B$1)</f>
        <v>0.61</v>
      </c>
      <c r="AR25">
        <f>_xll.EQNXTDZ($A$1,$B25,AR$1,$B$1)</f>
        <v>0.6</v>
      </c>
      <c r="AS25">
        <f>_xll.EQNXTDZ($A$1,$B25,AS$1,$B$1)</f>
        <v>0.51</v>
      </c>
      <c r="AT25">
        <f>_xll.EQNXTDZ($A$1,$B25,AT$1,$B$1)</f>
        <v>1.47</v>
      </c>
      <c r="AU25">
        <f>_xll.EQNXTDZ($A$1,$B25,AU$1,$B$1)</f>
        <v>0.5</v>
      </c>
      <c r="AV25">
        <f>_xll.EQNXTDZ($A$1,$B25,AV$1,$B$1)</f>
        <v>0.5</v>
      </c>
      <c r="AW25">
        <f>_xll.EQNXTDZ($A$1,$B25,AW$1,$B$1)</f>
        <v>0.5</v>
      </c>
      <c r="AX25">
        <f>_xll.EQNXTDZ($A$1,$B25,AX$1,$B$1)</f>
        <v>0.64</v>
      </c>
      <c r="AY25">
        <f>_xll.EQNXTDZ($A$1,$B25,AY$1,$B$1)</f>
        <v>1.02</v>
      </c>
      <c r="AZ25">
        <f>_xll.EQNXTDZ($A$1,$B25,AZ$1,$B$1)</f>
        <v>1.39</v>
      </c>
      <c r="BA25">
        <f>_xll.EQNXTDZ($A$1,$B25,BA$1,$B$1)</f>
        <v>1.81</v>
      </c>
      <c r="BB25">
        <f>_xll.EQNXTDZ($A$1,$B25,BB$1,$B$1)</f>
        <v>4.21</v>
      </c>
      <c r="BC25">
        <f>_xll.EQNXTDZ($A$1,$B25,BC$1,$B$1)</f>
        <v>1.07</v>
      </c>
      <c r="BD25">
        <f>_xll.EQNXTDZ($A$1,$B25,BD$1,$B$1)</f>
        <v>4.43</v>
      </c>
      <c r="BE25">
        <f>_xll.EQNXTDZ($A$1,$B25,BE$1,$B$1)</f>
        <v>2.5499999999999998</v>
      </c>
      <c r="BF25">
        <f>_xll.EQNXTDZ($A$1,$B25,BF$1,$B$1)</f>
        <v>0.71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-3.22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4.84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17.239999999999998</v>
      </c>
      <c r="D27">
        <f>_xll.EQNXTDZ($A$1,$B27,D$1,$B$1)</f>
        <v>16.73</v>
      </c>
      <c r="E27">
        <f>_xll.EQNXTDZ($A$1,$B27,E$1,$B$1)</f>
        <v>13.45</v>
      </c>
      <c r="F27">
        <f>_xll.EQNXTDZ($A$1,$B27,F$1,$B$1)</f>
        <v>18.22</v>
      </c>
      <c r="G27">
        <f>_xll.EQNXTDZ($A$1,$B27,G$1,$B$1)</f>
        <v>22.48</v>
      </c>
      <c r="H27">
        <f>_xll.EQNXTDZ($A$1,$B27,H$1,$B$1)</f>
        <v>20.95</v>
      </c>
      <c r="I27">
        <f>_xll.EQNXTDZ($A$1,$B27,I$1,$B$1)</f>
        <v>15.6</v>
      </c>
      <c r="J27">
        <f>_xll.EQNXTDZ($A$1,$B27,J$1,$B$1)</f>
        <v>31.18</v>
      </c>
      <c r="K27">
        <f>_xll.EQNXTDZ($A$1,$B27,K$1,$B$1)</f>
        <v>16.190000000000001</v>
      </c>
      <c r="L27">
        <f>_xll.EQNXTDZ($A$1,$B27,L$1,$B$1)</f>
        <v>16.34</v>
      </c>
      <c r="M27">
        <f>_xll.EQNXTDZ($A$1,$B27,M$1,$B$1)</f>
        <v>11.39</v>
      </c>
      <c r="N27">
        <f>_xll.EQNXTDZ($A$1,$B27,N$1,$B$1)</f>
        <v>10.78</v>
      </c>
      <c r="O27">
        <f>_xll.EQNXTDZ($A$1,$B27,O$1,$B$1)</f>
        <v>15.47</v>
      </c>
      <c r="P27">
        <f>_xll.EQNXTDZ($A$1,$B27,P$1,$B$1)</f>
        <v>18.23</v>
      </c>
      <c r="Q27">
        <f>_xll.EQNXTDZ($A$1,$B27,Q$1,$B$1)</f>
        <v>13.68</v>
      </c>
      <c r="R27">
        <f>_xll.EQNXTDZ($A$1,$B27,R$1,$B$1)</f>
        <v>31.65</v>
      </c>
      <c r="S27">
        <f>_xll.EQNXTDZ($A$1,$B27,S$1,$B$1)</f>
        <v>38.24</v>
      </c>
      <c r="T27">
        <f>_xll.EQNXTDZ($A$1,$B27,T$1,$B$1)</f>
        <v>46.54</v>
      </c>
      <c r="U27">
        <f>_xll.EQNXTDZ($A$1,$B27,U$1,$B$1)</f>
        <v>56.5</v>
      </c>
      <c r="V27">
        <f>_xll.EQNXTDZ($A$1,$B27,V$1,$B$1)</f>
        <v>57.34</v>
      </c>
      <c r="W27">
        <f>_xll.EQNXTDZ($A$1,$B27,W$1,$B$1)</f>
        <v>37.15</v>
      </c>
      <c r="X27">
        <f>_xll.EQNXTDZ($A$1,$B27,X$1,$B$1)</f>
        <v>46.78</v>
      </c>
      <c r="Y27">
        <f>_xll.EQNXTDZ($A$1,$B27,Y$1,$B$1)</f>
        <v>51.41</v>
      </c>
      <c r="Z27">
        <f>_xll.EQNXTDZ($A$1,$B27,Z$1,$B$1)</f>
        <v>71.790000000000006</v>
      </c>
      <c r="AA27">
        <f>_xll.EQNXTDZ($A$1,$B27,AA$1,$B$1)</f>
        <v>46.54</v>
      </c>
      <c r="AB27">
        <f>_xll.EQNXTDZ($A$1,$B27,AB$1,$B$1)</f>
        <v>82.89</v>
      </c>
      <c r="AC27">
        <f>_xll.EQNXTDZ($A$1,$B27,AC$1,$B$1)</f>
        <v>84.03</v>
      </c>
      <c r="AD27">
        <f>_xll.EQNXTDZ($A$1,$B27,AD$1,$B$1)</f>
        <v>91.46</v>
      </c>
      <c r="AE27">
        <f>_xll.EQNXTDZ($A$1,$B27,AE$1,$B$1)</f>
        <v>65.77</v>
      </c>
      <c r="AF27">
        <f>_xll.EQNXTDZ($A$1,$B27,AF$1,$B$1)</f>
        <v>76.72</v>
      </c>
      <c r="AG27">
        <f>_xll.EQNXTDZ($A$1,$B27,AG$1,$B$1)</f>
        <v>72.56</v>
      </c>
      <c r="AH27">
        <f>_xll.EQNXTDZ($A$1,$B27,AH$1,$B$1)</f>
        <v>67.319999999999993</v>
      </c>
      <c r="AI27">
        <f>_xll.EQNXTDZ($A$1,$B27,AI$1,$B$1)</f>
        <v>36.79</v>
      </c>
      <c r="AJ27">
        <f>_xll.EQNXTDZ($A$1,$B27,AJ$1,$B$1)</f>
        <v>33.31</v>
      </c>
      <c r="AK27">
        <f>_xll.EQNXTDZ($A$1,$B27,AK$1,$B$1)</f>
        <v>16.43</v>
      </c>
      <c r="AL27">
        <f>_xll.EQNXTDZ($A$1,$B27,AL$1,$B$1)</f>
        <v>36.549999999999997</v>
      </c>
      <c r="AM27">
        <f>_xll.EQNXTDZ($A$1,$B27,AM$1,$B$1)</f>
        <v>35.11</v>
      </c>
      <c r="AN27">
        <f>_xll.EQNXTDZ($A$1,$B27,AN$1,$B$1)</f>
        <v>42.74</v>
      </c>
      <c r="AO27">
        <f>_xll.EQNXTDZ($A$1,$B27,AO$1,$B$1)</f>
        <v>17.95</v>
      </c>
      <c r="AP27">
        <f>_xll.EQNXTDZ($A$1,$B27,AP$1,$B$1)</f>
        <v>82.57</v>
      </c>
      <c r="AQ27">
        <f>_xll.EQNXTDZ($A$1,$B27,AQ$1,$B$1)</f>
        <v>91.94</v>
      </c>
      <c r="AR27">
        <f>_xll.EQNXTDZ($A$1,$B27,AR$1,$B$1)</f>
        <v>146.36000000000001</v>
      </c>
      <c r="AS27">
        <f>_xll.EQNXTDZ($A$1,$B27,AS$1,$B$1)</f>
        <v>157.91999999999999</v>
      </c>
      <c r="AT27">
        <f>_xll.EQNXTDZ($A$1,$B27,AT$1,$B$1)</f>
        <v>164.01</v>
      </c>
      <c r="AU27">
        <f>_xll.EQNXTDZ($A$1,$B27,AU$1,$B$1)</f>
        <v>105.62</v>
      </c>
      <c r="AV27">
        <f>_xll.EQNXTDZ($A$1,$B27,AV$1,$B$1)</f>
        <v>103.22</v>
      </c>
      <c r="AW27">
        <f>_xll.EQNXTDZ($A$1,$B27,AW$1,$B$1)</f>
        <v>98.53</v>
      </c>
      <c r="AX27">
        <f>_xll.EQNXTDZ($A$1,$B27,AX$1,$B$1)</f>
        <v>80.440000000000097</v>
      </c>
      <c r="AY27">
        <f>_xll.EQNXTDZ($A$1,$B27,AY$1,$B$1)</f>
        <v>61.3200000000001</v>
      </c>
      <c r="AZ27">
        <f>_xll.EQNXTDZ($A$1,$B27,AZ$1,$B$1)</f>
        <v>44.669999999999902</v>
      </c>
      <c r="BA27">
        <f>_xll.EQNXTDZ($A$1,$B27,BA$1,$B$1)</f>
        <v>26.39</v>
      </c>
      <c r="BB27">
        <f>_xll.EQNXTDZ($A$1,$B27,BB$1,$B$1)</f>
        <v>39.200000000000003</v>
      </c>
      <c r="BC27">
        <f>_xll.EQNXTDZ($A$1,$B27,BC$1,$B$1)</f>
        <v>33.799999999999997</v>
      </c>
      <c r="BD27">
        <f>_xll.EQNXTDZ($A$1,$B27,BD$1,$B$1)</f>
        <v>35.21</v>
      </c>
      <c r="BE27">
        <f>_xll.EQNXTDZ($A$1,$B27,BE$1,$B$1)</f>
        <v>32.39</v>
      </c>
      <c r="BF27">
        <f>_xll.EQNXTDZ($A$1,$B27,BF$1,$B$1)</f>
        <v>34.51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12.32</v>
      </c>
      <c r="D28">
        <f>_xll.EQNXTDZ($A$1,$B28,D$1,$B$1)</f>
        <v>12.44</v>
      </c>
      <c r="E28">
        <f>_xll.EQNXTDZ($A$1,$B28,E$1,$B$1)</f>
        <v>12.44</v>
      </c>
      <c r="F28">
        <f>_xll.EQNXTDZ($A$1,$B28,F$1,$B$1)</f>
        <v>11.96</v>
      </c>
      <c r="G28">
        <f>_xll.EQNXTDZ($A$1,$B28,G$1,$B$1)</f>
        <v>12.36</v>
      </c>
      <c r="H28">
        <f>_xll.EQNXTDZ($A$1,$B28,H$1,$B$1)</f>
        <v>12.45</v>
      </c>
      <c r="I28">
        <f>_xll.EQNXTDZ($A$1,$B28,I$1,$B$1)</f>
        <v>12.46</v>
      </c>
      <c r="J28">
        <f>_xll.EQNXTDZ($A$1,$B28,J$1,$B$1)</f>
        <v>11.7</v>
      </c>
      <c r="K28">
        <f>_xll.EQNXTDZ($A$1,$B28,K$1,$B$1)</f>
        <v>8.68</v>
      </c>
      <c r="L28">
        <f>_xll.EQNXTDZ($A$1,$B28,L$1,$B$1)</f>
        <v>6.08</v>
      </c>
      <c r="M28">
        <f>_xll.EQNXTDZ($A$1,$B28,M$1,$B$1)</f>
        <v>7.44</v>
      </c>
      <c r="N28">
        <f>_xll.EQNXTDZ($A$1,$B28,N$1,$B$1)</f>
        <v>7.09</v>
      </c>
      <c r="O28">
        <f>_xll.EQNXTDZ($A$1,$B28,O$1,$B$1)</f>
        <v>7.47</v>
      </c>
      <c r="P28">
        <f>_xll.EQNXTDZ($A$1,$B28,P$1,$B$1)</f>
        <v>7.55</v>
      </c>
      <c r="Q28">
        <f>_xll.EQNXTDZ($A$1,$B28,Q$1,$B$1)</f>
        <v>7.54</v>
      </c>
      <c r="R28">
        <f>_xll.EQNXTDZ($A$1,$B28,R$1,$B$1)</f>
        <v>6.19</v>
      </c>
      <c r="S28">
        <f>_xll.EQNXTDZ($A$1,$B28,S$1,$B$1)</f>
        <v>8.09</v>
      </c>
      <c r="T28">
        <f>_xll.EQNXTDZ($A$1,$B28,T$1,$B$1)</f>
        <v>8.18</v>
      </c>
      <c r="U28">
        <f>_xll.EQNXTDZ($A$1,$B28,U$1,$B$1)</f>
        <v>8.18</v>
      </c>
      <c r="V28">
        <f>_xll.EQNXTDZ($A$1,$B28,V$1,$B$1)</f>
        <v>6.17</v>
      </c>
      <c r="W28">
        <f>_xll.EQNXTDZ($A$1,$B28,W$1,$B$1)</f>
        <v>8.25</v>
      </c>
      <c r="X28">
        <f>_xll.EQNXTDZ($A$1,$B28,X$1,$B$1)</f>
        <v>8.33</v>
      </c>
      <c r="Y28">
        <f>_xll.EQNXTDZ($A$1,$B28,Y$1,$B$1)</f>
        <v>8.34</v>
      </c>
      <c r="Z28">
        <f>_xll.EQNXTDZ($A$1,$B28,Z$1,$B$1)</f>
        <v>7.02</v>
      </c>
      <c r="AA28">
        <f>_xll.EQNXTDZ($A$1,$B28,AA$1,$B$1)</f>
        <v>8.92</v>
      </c>
      <c r="AB28">
        <f>_xll.EQNXTDZ($A$1,$B28,AB$1,$B$1)</f>
        <v>9.01</v>
      </c>
      <c r="AC28">
        <f>_xll.EQNXTDZ($A$1,$B28,AC$1,$B$1)</f>
        <v>9.01</v>
      </c>
      <c r="AD28">
        <f>_xll.EQNXTDZ($A$1,$B28,AD$1,$B$1)</f>
        <v>6.88</v>
      </c>
      <c r="AE28">
        <f>_xll.EQNXTDZ($A$1,$B28,AE$1,$B$1)</f>
        <v>9.07</v>
      </c>
      <c r="AF28">
        <f>_xll.EQNXTDZ($A$1,$B28,AF$1,$B$1)</f>
        <v>9.17</v>
      </c>
      <c r="AG28">
        <f>_xll.EQNXTDZ($A$1,$B28,AG$1,$B$1)</f>
        <v>9.16</v>
      </c>
      <c r="AH28">
        <f>_xll.EQNXTDZ($A$1,$B28,AH$1,$B$1)</f>
        <v>7.63</v>
      </c>
      <c r="AI28">
        <f>_xll.EQNXTDZ($A$1,$B28,AI$1,$B$1)</f>
        <v>9.16</v>
      </c>
      <c r="AJ28">
        <f>_xll.EQNXTDZ($A$1,$B28,AJ$1,$B$1)</f>
        <v>9.27</v>
      </c>
      <c r="AK28">
        <f>_xll.EQNXTDZ($A$1,$B28,AK$1,$B$1)</f>
        <v>9.4600000000000009</v>
      </c>
      <c r="AL28">
        <f>_xll.EQNXTDZ($A$1,$B28,AL$1,$B$1)</f>
        <v>9.75</v>
      </c>
      <c r="AM28">
        <f>_xll.EQNXTDZ($A$1,$B28,AM$1,$B$1)</f>
        <v>9.8800000000000008</v>
      </c>
      <c r="AN28">
        <f>_xll.EQNXTDZ($A$1,$B28,AN$1,$B$1)</f>
        <v>9.98</v>
      </c>
      <c r="AO28">
        <f>_xll.EQNXTDZ($A$1,$B28,AO$1,$B$1)</f>
        <v>10</v>
      </c>
      <c r="AP28">
        <f>_xll.EQNXTDZ($A$1,$B28,AP$1,$B$1)</f>
        <v>11.01</v>
      </c>
      <c r="AQ28">
        <f>_xll.EQNXTDZ($A$1,$B28,AQ$1,$B$1)</f>
        <v>11.79</v>
      </c>
      <c r="AR28">
        <f>_xll.EQNXTDZ($A$1,$B28,AR$1,$B$1)</f>
        <v>11.65</v>
      </c>
      <c r="AS28">
        <f>_xll.EQNXTDZ($A$1,$B28,AS$1,$B$1)</f>
        <v>11.59</v>
      </c>
      <c r="AT28">
        <f>_xll.EQNXTDZ($A$1,$B28,AT$1,$B$1)</f>
        <v>10.26</v>
      </c>
      <c r="AU28">
        <f>_xll.EQNXTDZ($A$1,$B28,AU$1,$B$1)</f>
        <v>11.45</v>
      </c>
      <c r="AV28">
        <f>_xll.EQNXTDZ($A$1,$B28,AV$1,$B$1)</f>
        <v>11.02</v>
      </c>
      <c r="AW28">
        <f>_xll.EQNXTDZ($A$1,$B28,AW$1,$B$1)</f>
        <v>10.78</v>
      </c>
      <c r="AX28">
        <f>_xll.EQNXTDZ($A$1,$B28,AX$1,$B$1)</f>
        <v>10.6</v>
      </c>
      <c r="AY28">
        <f>_xll.EQNXTDZ($A$1,$B28,AY$1,$B$1)</f>
        <v>11.46</v>
      </c>
      <c r="AZ28">
        <f>_xll.EQNXTDZ($A$1,$B28,AZ$1,$B$1)</f>
        <v>11.34</v>
      </c>
      <c r="BA28">
        <f>_xll.EQNXTDZ($A$1,$B28,BA$1,$B$1)</f>
        <v>11.25</v>
      </c>
      <c r="BB28">
        <f>_xll.EQNXTDZ($A$1,$B28,BB$1,$B$1)</f>
        <v>11.23</v>
      </c>
      <c r="BC28">
        <f>_xll.EQNXTDZ($A$1,$B28,BC$1,$B$1)</f>
        <v>11.54</v>
      </c>
      <c r="BD28">
        <f>_xll.EQNXTDZ($A$1,$B28,BD$1,$B$1)</f>
        <v>11.14</v>
      </c>
      <c r="BE28">
        <f>_xll.EQNXTDZ($A$1,$B28,BE$1,$B$1)</f>
        <v>11.26</v>
      </c>
      <c r="BF28">
        <f>_xll.EQNXTDZ($A$1,$B28,BF$1,$B$1)</f>
        <v>11.07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-1.01</v>
      </c>
      <c r="D29">
        <f>_xll.EQNXTDZ($A$1,$B29,D$1,$B$1)</f>
        <v>-1.01</v>
      </c>
      <c r="E29">
        <f>_xll.EQNXTDZ($A$1,$B29,E$1,$B$1)</f>
        <v>-1.01</v>
      </c>
      <c r="F29">
        <f>_xll.EQNXTDZ($A$1,$B29,F$1,$B$1)</f>
        <v>-1.01</v>
      </c>
      <c r="G29">
        <f>_xll.EQNXTDZ($A$1,$B29,G$1,$B$1)</f>
        <v>3.33</v>
      </c>
      <c r="H29">
        <f>_xll.EQNXTDZ($A$1,$B29,H$1,$B$1)</f>
        <v>2.81</v>
      </c>
      <c r="I29">
        <f>_xll.EQNXTDZ($A$1,$B29,I$1,$B$1)</f>
        <v>1.04</v>
      </c>
      <c r="J29">
        <f>_xll.EQNXTDZ($A$1,$B29,J$1,$B$1)</f>
        <v>7.27</v>
      </c>
      <c r="K29">
        <f>_xll.EQNXTDZ($A$1,$B29,K$1,$B$1)</f>
        <v>2.48</v>
      </c>
      <c r="L29">
        <f>_xll.EQNXTDZ($A$1,$B29,L$1,$B$1)</f>
        <v>3.39</v>
      </c>
      <c r="M29">
        <f>_xll.EQNXTDZ($A$1,$B29,M$1,$B$1)</f>
        <v>1.3</v>
      </c>
      <c r="N29">
        <f>_xll.EQNXTDZ($A$1,$B29,N$1,$B$1)</f>
        <v>0.89</v>
      </c>
      <c r="O29">
        <f>_xll.EQNXTDZ($A$1,$B29,O$1,$B$1)</f>
        <v>2.61</v>
      </c>
      <c r="P29">
        <f>_xll.EQNXTDZ($A$1,$B29,P$1,$B$1)</f>
        <v>3.49</v>
      </c>
      <c r="Q29">
        <f>_xll.EQNXTDZ($A$1,$B29,Q$1,$B$1)</f>
        <v>2.0099999999999998</v>
      </c>
      <c r="R29">
        <f>_xll.EQNXTDZ($A$1,$B29,R$1,$B$1)</f>
        <v>6.59</v>
      </c>
      <c r="S29">
        <f>_xll.EQNXTDZ($A$1,$B29,S$1,$B$1)</f>
        <v>6.03</v>
      </c>
      <c r="T29">
        <f>_xll.EQNXTDZ($A$1,$B29,T$1,$B$1)</f>
        <v>7.67</v>
      </c>
      <c r="U29">
        <f>_xll.EQNXTDZ($A$1,$B29,U$1,$B$1)</f>
        <v>13.83</v>
      </c>
      <c r="V29">
        <f>_xll.EQNXTDZ($A$1,$B29,V$1,$B$1)</f>
        <v>12.42</v>
      </c>
      <c r="W29">
        <f>_xll.EQNXTDZ($A$1,$B29,W$1,$B$1)</f>
        <v>7.15</v>
      </c>
      <c r="X29">
        <f>_xll.EQNXTDZ($A$1,$B29,X$1,$B$1)</f>
        <v>12.19</v>
      </c>
      <c r="Y29">
        <f>_xll.EQNXTDZ($A$1,$B29,Y$1,$B$1)</f>
        <v>12.15</v>
      </c>
      <c r="Z29">
        <f>_xll.EQNXTDZ($A$1,$B29,Z$1,$B$1)</f>
        <v>20.81</v>
      </c>
      <c r="AA29">
        <f>_xll.EQNXTDZ($A$1,$B29,AA$1,$B$1)</f>
        <v>10.71</v>
      </c>
      <c r="AB29">
        <f>_xll.EQNXTDZ($A$1,$B29,AB$1,$B$1)</f>
        <v>23.71</v>
      </c>
      <c r="AC29">
        <f>_xll.EQNXTDZ($A$1,$B29,AC$1,$B$1)</f>
        <v>24.47</v>
      </c>
      <c r="AD29">
        <f>_xll.EQNXTDZ($A$1,$B29,AD$1,$B$1)</f>
        <v>22.48</v>
      </c>
      <c r="AE29">
        <f>_xll.EQNXTDZ($A$1,$B29,AE$1,$B$1)</f>
        <v>17.84</v>
      </c>
      <c r="AF29">
        <f>_xll.EQNXTDZ($A$1,$B29,AF$1,$B$1)</f>
        <v>21.25</v>
      </c>
      <c r="AG29">
        <f>_xll.EQNXTDZ($A$1,$B29,AG$1,$B$1)</f>
        <v>19.850000000000001</v>
      </c>
      <c r="AH29">
        <f>_xll.EQNXTDZ($A$1,$B29,AH$1,$B$1)</f>
        <v>15.33</v>
      </c>
      <c r="AI29">
        <f>_xll.EQNXTDZ($A$1,$B29,AI$1,$B$1)</f>
        <v>9.7200000000000006</v>
      </c>
      <c r="AJ29">
        <f>_xll.EQNXTDZ($A$1,$B29,AJ$1,$B$1)</f>
        <v>8.5500000000000007</v>
      </c>
      <c r="AK29">
        <f>_xll.EQNXTDZ($A$1,$B29,AK$1,$B$1)</f>
        <v>2.4900000000000002</v>
      </c>
      <c r="AL29">
        <f>_xll.EQNXTDZ($A$1,$B29,AL$1,$B$1)</f>
        <v>-34.619999999999997</v>
      </c>
      <c r="AM29">
        <f>_xll.EQNXTDZ($A$1,$B29,AM$1,$B$1)</f>
        <v>6.63</v>
      </c>
      <c r="AN29">
        <f>_xll.EQNXTDZ($A$1,$B29,AN$1,$B$1)</f>
        <v>8.84</v>
      </c>
      <c r="AO29">
        <f>_xll.EQNXTDZ($A$1,$B29,AO$1,$B$1)</f>
        <v>2.0299999999999998</v>
      </c>
      <c r="AP29">
        <f>_xll.EQNXTDZ($A$1,$B29,AP$1,$B$1)</f>
        <v>18</v>
      </c>
      <c r="AQ29">
        <f>_xll.EQNXTDZ($A$1,$B29,AQ$1,$B$1)</f>
        <v>20.46</v>
      </c>
      <c r="AR29">
        <f>_xll.EQNXTDZ($A$1,$B29,AR$1,$B$1)</f>
        <v>34.39</v>
      </c>
      <c r="AS29">
        <f>_xll.EQNXTDZ($A$1,$B29,AS$1,$B$1)</f>
        <v>36.869999999999997</v>
      </c>
      <c r="AT29">
        <f>_xll.EQNXTDZ($A$1,$B29,AT$1,$B$1)</f>
        <v>37.93</v>
      </c>
      <c r="AU29">
        <f>_xll.EQNXTDZ($A$1,$B29,AU$1,$B$1)</f>
        <v>24.28</v>
      </c>
      <c r="AV29">
        <f>_xll.EQNXTDZ($A$1,$B29,AV$1,$B$1)</f>
        <v>23.1</v>
      </c>
      <c r="AW29">
        <f>_xll.EQNXTDZ($A$1,$B29,AW$1,$B$1)</f>
        <v>21.98</v>
      </c>
      <c r="AX29">
        <f>_xll.EQNXTDZ($A$1,$B29,AX$1,$B$1)</f>
        <v>16.72</v>
      </c>
      <c r="AY29">
        <f>_xll.EQNXTDZ($A$1,$B29,AY$1,$B$1)</f>
        <v>13.12</v>
      </c>
      <c r="AZ29">
        <f>_xll.EQNXTDZ($A$1,$B29,AZ$1,$B$1)</f>
        <v>8.56</v>
      </c>
      <c r="BA29">
        <f>_xll.EQNXTDZ($A$1,$B29,BA$1,$B$1)</f>
        <v>-0.68</v>
      </c>
      <c r="BB29">
        <f>_xll.EQNXTDZ($A$1,$B29,BB$1,$B$1)</f>
        <v>2.3199999999999998</v>
      </c>
      <c r="BC29">
        <f>_xll.EQNXTDZ($A$1,$B29,BC$1,$B$1)</f>
        <v>6.01</v>
      </c>
      <c r="BD29">
        <f>_xll.EQNXTDZ($A$1,$B29,BD$1,$B$1)</f>
        <v>6.3</v>
      </c>
      <c r="BE29">
        <f>_xll.EQNXTDZ($A$1,$B29,BE$1,$B$1)</f>
        <v>5.59</v>
      </c>
      <c r="BF29">
        <f>_xll.EQNXTDZ($A$1,$B29,BF$1,$B$1)</f>
        <v>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5.93</v>
      </c>
      <c r="D30">
        <f>_xll.EQNXTDZ($A$1,$B30,D$1,$B$1)</f>
        <v>5.3</v>
      </c>
      <c r="E30">
        <f>_xll.EQNXTDZ($A$1,$B30,E$1,$B$1)</f>
        <v>2.02</v>
      </c>
      <c r="F30">
        <f>_xll.EQNXTDZ($A$1,$B30,F$1,$B$1)</f>
        <v>7.27</v>
      </c>
      <c r="G30">
        <f>_xll.EQNXTDZ($A$1,$B30,G$1,$B$1)</f>
        <v>6.79</v>
      </c>
      <c r="H30">
        <f>_xll.EQNXTDZ($A$1,$B30,H$1,$B$1)</f>
        <v>5.69</v>
      </c>
      <c r="I30">
        <f>_xll.EQNXTDZ($A$1,$B30,I$1,$B$1)</f>
        <v>2.1</v>
      </c>
      <c r="J30">
        <f>_xll.EQNXTDZ($A$1,$B30,J$1,$B$1)</f>
        <v>12.21</v>
      </c>
      <c r="K30">
        <f>_xll.EQNXTDZ($A$1,$B30,K$1,$B$1)</f>
        <v>5.03</v>
      </c>
      <c r="L30">
        <f>_xll.EQNXTDZ($A$1,$B30,L$1,$B$1)</f>
        <v>6.87</v>
      </c>
      <c r="M30">
        <f>_xll.EQNXTDZ($A$1,$B30,M$1,$B$1)</f>
        <v>2.65</v>
      </c>
      <c r="N30">
        <f>_xll.EQNXTDZ($A$1,$B30,N$1,$B$1)</f>
        <v>2.8</v>
      </c>
      <c r="O30">
        <f>_xll.EQNXTDZ($A$1,$B30,O$1,$B$1)</f>
        <v>5.39</v>
      </c>
      <c r="P30">
        <f>_xll.EQNXTDZ($A$1,$B30,P$1,$B$1)</f>
        <v>7.19</v>
      </c>
      <c r="Q30">
        <f>_xll.EQNXTDZ($A$1,$B30,Q$1,$B$1)</f>
        <v>4.13</v>
      </c>
      <c r="R30">
        <f>_xll.EQNXTDZ($A$1,$B30,R$1,$B$1)</f>
        <v>18.87</v>
      </c>
      <c r="S30">
        <f>_xll.EQNXTDZ($A$1,$B30,S$1,$B$1)</f>
        <v>24.12</v>
      </c>
      <c r="T30">
        <f>_xll.EQNXTDZ($A$1,$B30,T$1,$B$1)</f>
        <v>30.69</v>
      </c>
      <c r="U30">
        <f>_xll.EQNXTDZ($A$1,$B30,U$1,$B$1)</f>
        <v>34.49</v>
      </c>
      <c r="V30">
        <f>_xll.EQNXTDZ($A$1,$B30,V$1,$B$1)</f>
        <v>38.75</v>
      </c>
      <c r="W30">
        <f>_xll.EQNXTDZ($A$1,$B30,W$1,$B$1)</f>
        <v>21.75</v>
      </c>
      <c r="X30">
        <f>_xll.EQNXTDZ($A$1,$B30,X$1,$B$1)</f>
        <v>26.26</v>
      </c>
      <c r="Y30">
        <f>_xll.EQNXTDZ($A$1,$B30,Y$1,$B$1)</f>
        <v>30.92</v>
      </c>
      <c r="Z30">
        <f>_xll.EQNXTDZ($A$1,$B30,Z$1,$B$1)</f>
        <v>43.96</v>
      </c>
      <c r="AA30">
        <f>_xll.EQNXTDZ($A$1,$B30,AA$1,$B$1)</f>
        <v>26.91</v>
      </c>
      <c r="AB30">
        <f>_xll.EQNXTDZ($A$1,$B30,AB$1,$B$1)</f>
        <v>50.169999999999902</v>
      </c>
      <c r="AC30">
        <f>_xll.EQNXTDZ($A$1,$B30,AC$1,$B$1)</f>
        <v>50.55</v>
      </c>
      <c r="AD30">
        <f>_xll.EQNXTDZ($A$1,$B30,AD$1,$B$1)</f>
        <v>62.1</v>
      </c>
      <c r="AE30">
        <f>_xll.EQNXTDZ($A$1,$B30,AE$1,$B$1)</f>
        <v>38.86</v>
      </c>
      <c r="AF30">
        <f>_xll.EQNXTDZ($A$1,$B30,AF$1,$B$1)</f>
        <v>46.3</v>
      </c>
      <c r="AG30">
        <f>_xll.EQNXTDZ($A$1,$B30,AG$1,$B$1)</f>
        <v>43.55</v>
      </c>
      <c r="AH30">
        <f>_xll.EQNXTDZ($A$1,$B30,AH$1,$B$1)</f>
        <v>44.36</v>
      </c>
      <c r="AI30">
        <f>_xll.EQNXTDZ($A$1,$B30,AI$1,$B$1)</f>
        <v>17.91</v>
      </c>
      <c r="AJ30">
        <f>_xll.EQNXTDZ($A$1,$B30,AJ$1,$B$1)</f>
        <v>15.49</v>
      </c>
      <c r="AK30">
        <f>_xll.EQNXTDZ($A$1,$B30,AK$1,$B$1)</f>
        <v>4.4799999999999898</v>
      </c>
      <c r="AL30">
        <f>_xll.EQNXTDZ($A$1,$B30,AL$1,$B$1)</f>
        <v>61.42</v>
      </c>
      <c r="AM30">
        <f>_xll.EQNXTDZ($A$1,$B30,AM$1,$B$1)</f>
        <v>18.600000000000001</v>
      </c>
      <c r="AN30">
        <f>_xll.EQNXTDZ($A$1,$B30,AN$1,$B$1)</f>
        <v>23.92</v>
      </c>
      <c r="AO30">
        <f>_xll.EQNXTDZ($A$1,$B30,AO$1,$B$1)</f>
        <v>5.92</v>
      </c>
      <c r="AP30">
        <f>_xll.EQNXTDZ($A$1,$B30,AP$1,$B$1)</f>
        <v>53.56</v>
      </c>
      <c r="AQ30">
        <f>_xll.EQNXTDZ($A$1,$B30,AQ$1,$B$1)</f>
        <v>59.69</v>
      </c>
      <c r="AR30">
        <f>_xll.EQNXTDZ($A$1,$B30,AR$1,$B$1)</f>
        <v>100.32</v>
      </c>
      <c r="AS30">
        <f>_xll.EQNXTDZ($A$1,$B30,AS$1,$B$1)</f>
        <v>109.46</v>
      </c>
      <c r="AT30">
        <f>_xll.EQNXTDZ($A$1,$B30,AT$1,$B$1)</f>
        <v>115.82</v>
      </c>
      <c r="AU30">
        <f>_xll.EQNXTDZ($A$1,$B30,AU$1,$B$1)</f>
        <v>69.889999999999901</v>
      </c>
      <c r="AV30">
        <f>_xll.EQNXTDZ($A$1,$B30,AV$1,$B$1)</f>
        <v>69.099999999999994</v>
      </c>
      <c r="AW30">
        <f>_xll.EQNXTDZ($A$1,$B30,AW$1,$B$1)</f>
        <v>65.77</v>
      </c>
      <c r="AX30">
        <f>_xll.EQNXTDZ($A$1,$B30,AX$1,$B$1)</f>
        <v>53.120000000000097</v>
      </c>
      <c r="AY30">
        <f>_xll.EQNXTDZ($A$1,$B30,AY$1,$B$1)</f>
        <v>36.740000000000101</v>
      </c>
      <c r="AZ30">
        <f>_xll.EQNXTDZ($A$1,$B30,AZ$1,$B$1)</f>
        <v>24.77</v>
      </c>
      <c r="BA30">
        <f>_xll.EQNXTDZ($A$1,$B30,BA$1,$B$1)</f>
        <v>15.82</v>
      </c>
      <c r="BB30">
        <f>_xll.EQNXTDZ($A$1,$B30,BB$1,$B$1)</f>
        <v>25.65</v>
      </c>
      <c r="BC30">
        <f>_xll.EQNXTDZ($A$1,$B30,BC$1,$B$1)</f>
        <v>16.25</v>
      </c>
      <c r="BD30">
        <f>_xll.EQNXTDZ($A$1,$B30,BD$1,$B$1)</f>
        <v>17.77</v>
      </c>
      <c r="BE30">
        <f>_xll.EQNXTDZ($A$1,$B30,BE$1,$B$1)</f>
        <v>15.54</v>
      </c>
      <c r="BF30">
        <f>_xll.EQNXTDZ($A$1,$B30,BF$1,$B$1)</f>
        <v>17.440000000000001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-0.45</v>
      </c>
      <c r="AB35">
        <f>_xll.EQNXTDZ($A$1,$B35,AB$1,$B$1)</f>
        <v>1.78</v>
      </c>
      <c r="AC35">
        <f>_xll.EQNXTDZ($A$1,$B35,AC$1,$B$1)</f>
        <v>-0.32</v>
      </c>
      <c r="AD35">
        <f>_xll.EQNXTDZ($A$1,$B35,AD$1,$B$1)</f>
        <v>1.31</v>
      </c>
      <c r="AE35">
        <f>_xll.EQNXTDZ($A$1,$B35,AE$1,$B$1)</f>
        <v>0.15</v>
      </c>
      <c r="AF35">
        <f>_xll.EQNXTDZ($A$1,$B35,AF$1,$B$1)</f>
        <v>3.59</v>
      </c>
      <c r="AG35">
        <f>_xll.EQNXTDZ($A$1,$B35,AG$1,$B$1)</f>
        <v>2.31</v>
      </c>
      <c r="AH35">
        <f>_xll.EQNXTDZ($A$1,$B35,AH$1,$B$1)</f>
        <v>2.5099999999999998</v>
      </c>
      <c r="AI35">
        <f>_xll.EQNXTDZ($A$1,$B35,AI$1,$B$1)</f>
        <v>1.39</v>
      </c>
      <c r="AJ35">
        <f>_xll.EQNXTDZ($A$1,$B35,AJ$1,$B$1)</f>
        <v>3.32</v>
      </c>
      <c r="AK35">
        <f>_xll.EQNXTDZ($A$1,$B35,AK$1,$B$1)</f>
        <v>0.17</v>
      </c>
      <c r="AL35">
        <f>_xll.EQNXTDZ($A$1,$B35,AL$1,$B$1)</f>
        <v>2.19</v>
      </c>
      <c r="AM35">
        <f>_xll.EQNXTDZ($A$1,$B35,AM$1,$B$1)</f>
        <v>1.26</v>
      </c>
      <c r="AN35">
        <f>_xll.EQNXTDZ($A$1,$B35,AN$1,$B$1)</f>
        <v>3.57</v>
      </c>
      <c r="AO35">
        <f>_xll.EQNXTDZ($A$1,$B35,AO$1,$B$1)</f>
        <v>0.12</v>
      </c>
      <c r="AP35">
        <f>_xll.EQNXTDZ($A$1,$B35,AP$1,$B$1)</f>
        <v>3.07</v>
      </c>
      <c r="AQ35">
        <f>_xll.EQNXTDZ($A$1,$B35,AQ$1,$B$1)</f>
        <v>0.61</v>
      </c>
      <c r="AR35">
        <f>_xll.EQNXTDZ($A$1,$B35,AR$1,$B$1)</f>
        <v>5.97</v>
      </c>
      <c r="AS35">
        <f>_xll.EQNXTDZ($A$1,$B35,AS$1,$B$1)</f>
        <v>2.11</v>
      </c>
      <c r="AT35">
        <f>_xll.EQNXTDZ($A$1,$B35,AT$1,$B$1)</f>
        <v>1.85</v>
      </c>
      <c r="AU35">
        <f>_xll.EQNXTDZ($A$1,$B35,AU$1,$B$1)</f>
        <v>1.86</v>
      </c>
      <c r="AV35">
        <f>_xll.EQNXTDZ($A$1,$B35,AV$1,$B$1)</f>
        <v>4.0999999999999996</v>
      </c>
      <c r="AW35">
        <f>_xll.EQNXTDZ($A$1,$B35,AW$1,$B$1)</f>
        <v>3.21</v>
      </c>
      <c r="AX35">
        <f>_xll.EQNXTDZ($A$1,$B35,AX$1,$B$1)</f>
        <v>3.72</v>
      </c>
      <c r="AY35">
        <f>_xll.EQNXTDZ($A$1,$B35,AY$1,$B$1)</f>
        <v>0.26</v>
      </c>
      <c r="AZ35">
        <f>_xll.EQNXTDZ($A$1,$B35,AZ$1,$B$1)</f>
        <v>3.7</v>
      </c>
      <c r="BA35">
        <f>_xll.EQNXTDZ($A$1,$B35,BA$1,$B$1)</f>
        <v>0.81</v>
      </c>
      <c r="BB35">
        <f>_xll.EQNXTDZ($A$1,$B35,BB$1,$B$1)</f>
        <v>1.42</v>
      </c>
      <c r="BC35">
        <f>_xll.EQNXTDZ($A$1,$B35,BC$1,$B$1)</f>
        <v>-0.82</v>
      </c>
      <c r="BD35">
        <f>_xll.EQNXTDZ($A$1,$B35,BD$1,$B$1)</f>
        <v>4.6399999999999997</v>
      </c>
      <c r="BE35">
        <f>_xll.EQNXTDZ($A$1,$B35,BE$1,$B$1)</f>
        <v>3.1</v>
      </c>
      <c r="BF35">
        <f>_xll.EQNXTDZ($A$1,$B35,BF$1,$B$1)</f>
        <v>8.61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5.93</v>
      </c>
      <c r="D38">
        <f>_xll.EQNXTDZ($A$1,$B38,D$1,$B$1)</f>
        <v>5.3</v>
      </c>
      <c r="E38">
        <f>_xll.EQNXTDZ($A$1,$B38,E$1,$B$1)</f>
        <v>2.02</v>
      </c>
      <c r="F38">
        <f>_xll.EQNXTDZ($A$1,$B38,F$1,$B$1)</f>
        <v>7.27</v>
      </c>
      <c r="G38">
        <f>_xll.EQNXTDZ($A$1,$B38,G$1,$B$1)</f>
        <v>6.79</v>
      </c>
      <c r="H38">
        <f>_xll.EQNXTDZ($A$1,$B38,H$1,$B$1)</f>
        <v>5.69</v>
      </c>
      <c r="I38">
        <f>_xll.EQNXTDZ($A$1,$B38,I$1,$B$1)</f>
        <v>2.1</v>
      </c>
      <c r="J38">
        <f>_xll.EQNXTDZ($A$1,$B38,J$1,$B$1)</f>
        <v>12.21</v>
      </c>
      <c r="K38">
        <f>_xll.EQNXTDZ($A$1,$B38,K$1,$B$1)</f>
        <v>5.03</v>
      </c>
      <c r="L38">
        <f>_xll.EQNXTDZ($A$1,$B38,L$1,$B$1)</f>
        <v>6.87</v>
      </c>
      <c r="M38">
        <f>_xll.EQNXTDZ($A$1,$B38,M$1,$B$1)</f>
        <v>2.65</v>
      </c>
      <c r="N38">
        <f>_xll.EQNXTDZ($A$1,$B38,N$1,$B$1)</f>
        <v>2.8</v>
      </c>
      <c r="O38">
        <f>_xll.EQNXTDZ($A$1,$B38,O$1,$B$1)</f>
        <v>5.39</v>
      </c>
      <c r="P38">
        <f>_xll.EQNXTDZ($A$1,$B38,P$1,$B$1)</f>
        <v>7.19</v>
      </c>
      <c r="Q38">
        <f>_xll.EQNXTDZ($A$1,$B38,Q$1,$B$1)</f>
        <v>4.13</v>
      </c>
      <c r="R38">
        <f>_xll.EQNXTDZ($A$1,$B38,R$1,$B$1)</f>
        <v>18.87</v>
      </c>
      <c r="S38">
        <f>_xll.EQNXTDZ($A$1,$B38,S$1,$B$1)</f>
        <v>24.12</v>
      </c>
      <c r="T38">
        <f>_xll.EQNXTDZ($A$1,$B38,T$1,$B$1)</f>
        <v>30.69</v>
      </c>
      <c r="U38">
        <f>_xll.EQNXTDZ($A$1,$B38,U$1,$B$1)</f>
        <v>34.49</v>
      </c>
      <c r="V38">
        <f>_xll.EQNXTDZ($A$1,$B38,V$1,$B$1)</f>
        <v>38.75</v>
      </c>
      <c r="W38">
        <f>_xll.EQNXTDZ($A$1,$B38,W$1,$B$1)</f>
        <v>21.75</v>
      </c>
      <c r="X38">
        <f>_xll.EQNXTDZ($A$1,$B38,X$1,$B$1)</f>
        <v>26.26</v>
      </c>
      <c r="Y38">
        <f>_xll.EQNXTDZ($A$1,$B38,Y$1,$B$1)</f>
        <v>30.92</v>
      </c>
      <c r="Z38">
        <f>_xll.EQNXTDZ($A$1,$B38,Z$1,$B$1)</f>
        <v>43.96</v>
      </c>
      <c r="AA38">
        <f>_xll.EQNXTDZ($A$1,$B38,AA$1,$B$1)</f>
        <v>26.46</v>
      </c>
      <c r="AB38">
        <f>_xll.EQNXTDZ($A$1,$B38,AB$1,$B$1)</f>
        <v>51.95</v>
      </c>
      <c r="AC38">
        <f>_xll.EQNXTDZ($A$1,$B38,AC$1,$B$1)</f>
        <v>50.23</v>
      </c>
      <c r="AD38">
        <f>_xll.EQNXTDZ($A$1,$B38,AD$1,$B$1)</f>
        <v>63.41</v>
      </c>
      <c r="AE38">
        <f>_xll.EQNXTDZ($A$1,$B38,AE$1,$B$1)</f>
        <v>39.01</v>
      </c>
      <c r="AF38">
        <f>_xll.EQNXTDZ($A$1,$B38,AF$1,$B$1)</f>
        <v>49.89</v>
      </c>
      <c r="AG38">
        <f>_xll.EQNXTDZ($A$1,$B38,AG$1,$B$1)</f>
        <v>45.86</v>
      </c>
      <c r="AH38">
        <f>_xll.EQNXTDZ($A$1,$B38,AH$1,$B$1)</f>
        <v>46.87</v>
      </c>
      <c r="AI38">
        <f>_xll.EQNXTDZ($A$1,$B38,AI$1,$B$1)</f>
        <v>19.3</v>
      </c>
      <c r="AJ38">
        <f>_xll.EQNXTDZ($A$1,$B38,AJ$1,$B$1)</f>
        <v>18.809999999999999</v>
      </c>
      <c r="AK38">
        <f>_xll.EQNXTDZ($A$1,$B38,AK$1,$B$1)</f>
        <v>4.6500000000000004</v>
      </c>
      <c r="AL38">
        <f>_xll.EQNXTDZ($A$1,$B38,AL$1,$B$1)</f>
        <v>63.61</v>
      </c>
      <c r="AM38">
        <f>_xll.EQNXTDZ($A$1,$B38,AM$1,$B$1)</f>
        <v>19.86</v>
      </c>
      <c r="AN38">
        <f>_xll.EQNXTDZ($A$1,$B38,AN$1,$B$1)</f>
        <v>27.49</v>
      </c>
      <c r="AO38">
        <f>_xll.EQNXTDZ($A$1,$B38,AO$1,$B$1)</f>
        <v>6.04</v>
      </c>
      <c r="AP38">
        <f>_xll.EQNXTDZ($A$1,$B38,AP$1,$B$1)</f>
        <v>56.63</v>
      </c>
      <c r="AQ38">
        <f>_xll.EQNXTDZ($A$1,$B38,AQ$1,$B$1)</f>
        <v>60.3</v>
      </c>
      <c r="AR38">
        <f>_xll.EQNXTDZ($A$1,$B38,AR$1,$B$1)</f>
        <v>106.29</v>
      </c>
      <c r="AS38">
        <f>_xll.EQNXTDZ($A$1,$B38,AS$1,$B$1)</f>
        <v>111.57</v>
      </c>
      <c r="AT38">
        <f>_xll.EQNXTDZ($A$1,$B38,AT$1,$B$1)</f>
        <v>117.67</v>
      </c>
      <c r="AU38">
        <f>_xll.EQNXTDZ($A$1,$B38,AU$1,$B$1)</f>
        <v>71.75</v>
      </c>
      <c r="AV38">
        <f>_xll.EQNXTDZ($A$1,$B38,AV$1,$B$1)</f>
        <v>73.2</v>
      </c>
      <c r="AW38">
        <f>_xll.EQNXTDZ($A$1,$B38,AW$1,$B$1)</f>
        <v>68.98</v>
      </c>
      <c r="AX38">
        <f>_xll.EQNXTDZ($A$1,$B38,AX$1,$B$1)</f>
        <v>56.84</v>
      </c>
      <c r="AY38">
        <f>_xll.EQNXTDZ($A$1,$B38,AY$1,$B$1)</f>
        <v>37</v>
      </c>
      <c r="AZ38">
        <f>_xll.EQNXTDZ($A$1,$B38,AZ$1,$B$1)</f>
        <v>28.47</v>
      </c>
      <c r="BA38">
        <f>_xll.EQNXTDZ($A$1,$B38,BA$1,$B$1)</f>
        <v>16.63</v>
      </c>
      <c r="BB38">
        <f>_xll.EQNXTDZ($A$1,$B38,BB$1,$B$1)</f>
        <v>27.07</v>
      </c>
      <c r="BC38">
        <f>_xll.EQNXTDZ($A$1,$B38,BC$1,$B$1)</f>
        <v>15.43</v>
      </c>
      <c r="BD38">
        <f>_xll.EQNXTDZ($A$1,$B38,BD$1,$B$1)</f>
        <v>22.41</v>
      </c>
      <c r="BE38">
        <f>_xll.EQNXTDZ($A$1,$B38,BE$1,$B$1)</f>
        <v>18.64</v>
      </c>
      <c r="BF38">
        <f>_xll.EQNXTDZ($A$1,$B38,BF$1,$B$1)</f>
        <v>26.05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4.82</v>
      </c>
      <c r="T40">
        <f>_xll.EQNXTDZ($A$1,$B40,T$1,$B$1)</f>
        <v>6.15</v>
      </c>
      <c r="U40">
        <f>_xll.EQNXTDZ($A$1,$B40,U$1,$B$1)</f>
        <v>0</v>
      </c>
      <c r="V40">
        <f>_xll.EQNXTDZ($A$1,$B40,V$1,$B$1)</f>
        <v>5.24</v>
      </c>
      <c r="W40">
        <f>_xll.EQNXTDZ($A$1,$B40,W$1,$B$1)</f>
        <v>6.91</v>
      </c>
      <c r="X40">
        <f>_xll.EQNXTDZ($A$1,$B40,X$1,$B$1)</f>
        <v>1.73</v>
      </c>
      <c r="Y40">
        <f>_xll.EQNXTDZ($A$1,$B40,Y$1,$B$1)</f>
        <v>3.03</v>
      </c>
      <c r="Z40">
        <f>_xll.EQNXTDZ($A$1,$B40,Z$1,$B$1)</f>
        <v>0.19</v>
      </c>
      <c r="AA40">
        <f>_xll.EQNXTDZ($A$1,$B40,AA$1,$B$1)</f>
        <v>-1.1100000000000001</v>
      </c>
      <c r="AB40">
        <f>_xll.EQNXTDZ($A$1,$B40,AB$1,$B$1)</f>
        <v>-3.45</v>
      </c>
      <c r="AC40">
        <f>_xll.EQNXTDZ($A$1,$B40,AC$1,$B$1)</f>
        <v>5.21</v>
      </c>
      <c r="AD40">
        <f>_xll.EQNXTDZ($A$1,$B40,AD$1,$B$1)</f>
        <v>-2.12</v>
      </c>
      <c r="AE40">
        <f>_xll.EQNXTDZ($A$1,$B40,AE$1,$B$1)</f>
        <v>1.97</v>
      </c>
      <c r="AF40">
        <f>_xll.EQNXTDZ($A$1,$B40,AF$1,$B$1)</f>
        <v>-3.87</v>
      </c>
      <c r="AG40">
        <f>_xll.EQNXTDZ($A$1,$B40,AG$1,$B$1)</f>
        <v>10.7</v>
      </c>
      <c r="AH40">
        <f>_xll.EQNXTDZ($A$1,$B40,AH$1,$B$1)</f>
        <v>-22.47</v>
      </c>
      <c r="AI40">
        <f>_xll.EQNXTDZ($A$1,$B40,AI$1,$B$1)</f>
        <v>3.76</v>
      </c>
      <c r="AJ40">
        <f>_xll.EQNXTDZ($A$1,$B40,AJ$1,$B$1)</f>
        <v>6.05</v>
      </c>
      <c r="AK40">
        <f>_xll.EQNXTDZ($A$1,$B40,AK$1,$B$1)</f>
        <v>26.3</v>
      </c>
      <c r="AL40">
        <f>_xll.EQNXTDZ($A$1,$B40,AL$1,$B$1)</f>
        <v>5.49</v>
      </c>
      <c r="AM40">
        <f>_xll.EQNXTDZ($A$1,$B40,AM$1,$B$1)</f>
        <v>11.68</v>
      </c>
      <c r="AN40">
        <f>_xll.EQNXTDZ($A$1,$B40,AN$1,$B$1)</f>
        <v>24.99</v>
      </c>
      <c r="AO40">
        <f>_xll.EQNXTDZ($A$1,$B40,AO$1,$B$1)</f>
        <v>-5.4</v>
      </c>
      <c r="AP40">
        <f>_xll.EQNXTDZ($A$1,$B40,AP$1,$B$1)</f>
        <v>-14.11</v>
      </c>
      <c r="AQ40">
        <f>_xll.EQNXTDZ($A$1,$B40,AQ$1,$B$1)</f>
        <v>-11.33</v>
      </c>
      <c r="AR40">
        <f>_xll.EQNXTDZ($A$1,$B40,AR$1,$B$1)</f>
        <v>9.94</v>
      </c>
      <c r="AS40">
        <f>_xll.EQNXTDZ($A$1,$B40,AS$1,$B$1)</f>
        <v>7.27</v>
      </c>
      <c r="AT40">
        <f>_xll.EQNXTDZ($A$1,$B40,AT$1,$B$1)</f>
        <v>-6.57</v>
      </c>
      <c r="AU40">
        <f>_xll.EQNXTDZ($A$1,$B40,AU$1,$B$1)</f>
        <v>30.86</v>
      </c>
      <c r="AV40">
        <f>_xll.EQNXTDZ($A$1,$B40,AV$1,$B$1)</f>
        <v>-2.14</v>
      </c>
      <c r="AW40">
        <f>_xll.EQNXTDZ($A$1,$B40,AW$1,$B$1)</f>
        <v>10.69</v>
      </c>
      <c r="AX40">
        <f>_xll.EQNXTDZ($A$1,$B40,AX$1,$B$1)</f>
        <v>1.91</v>
      </c>
      <c r="AY40">
        <f>_xll.EQNXTDZ($A$1,$B40,AY$1,$B$1)</f>
        <v>40.619999999999997</v>
      </c>
      <c r="AZ40">
        <f>_xll.EQNXTDZ($A$1,$B40,AZ$1,$B$1)</f>
        <v>-22.5</v>
      </c>
      <c r="BA40">
        <f>_xll.EQNXTDZ($A$1,$B40,BA$1,$B$1)</f>
        <v>-7.89</v>
      </c>
      <c r="BB40">
        <f>_xll.EQNXTDZ($A$1,$B40,BB$1,$B$1)</f>
        <v>-12.2</v>
      </c>
      <c r="BC40">
        <f>_xll.EQNXTDZ($A$1,$B40,BC$1,$B$1)</f>
        <v>51.57</v>
      </c>
      <c r="BD40">
        <f>_xll.EQNXTDZ($A$1,$B40,BD$1,$B$1)</f>
        <v>-45.95</v>
      </c>
      <c r="BE40">
        <f>_xll.EQNXTDZ($A$1,$B40,BE$1,$B$1)</f>
        <v>15.24</v>
      </c>
      <c r="BF40">
        <f>_xll.EQNXTDZ($A$1,$B40,BF$1,$B$1)</f>
        <v>-34.76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7.19</v>
      </c>
      <c r="Q41">
        <f>_xll.EQNXTDZ($A$1,$B41,Q$1,$B$1)</f>
        <v>4.13</v>
      </c>
      <c r="R41">
        <f>_xll.EQNXTDZ($A$1,$B41,R$1,$B$1)</f>
        <v>18.87</v>
      </c>
      <c r="S41">
        <f>_xll.EQNXTDZ($A$1,$B41,S$1,$B$1)</f>
        <v>28.94</v>
      </c>
      <c r="T41">
        <f>_xll.EQNXTDZ($A$1,$B41,T$1,$B$1)</f>
        <v>36.840000000000003</v>
      </c>
      <c r="U41">
        <f>_xll.EQNXTDZ($A$1,$B41,U$1,$B$1)</f>
        <v>34.49</v>
      </c>
      <c r="V41">
        <f>_xll.EQNXTDZ($A$1,$B41,V$1,$B$1)</f>
        <v>43.99</v>
      </c>
      <c r="W41">
        <f>_xll.EQNXTDZ($A$1,$B41,W$1,$B$1)</f>
        <v>28.66</v>
      </c>
      <c r="X41">
        <f>_xll.EQNXTDZ($A$1,$B41,X$1,$B$1)</f>
        <v>27.99</v>
      </c>
      <c r="Y41">
        <f>_xll.EQNXTDZ($A$1,$B41,Y$1,$B$1)</f>
        <v>33.950000000000003</v>
      </c>
      <c r="Z41">
        <f>_xll.EQNXTDZ($A$1,$B41,Z$1,$B$1)</f>
        <v>44.15</v>
      </c>
      <c r="AA41">
        <f>_xll.EQNXTDZ($A$1,$B41,AA$1,$B$1)</f>
        <v>25.35</v>
      </c>
      <c r="AB41">
        <f>_xll.EQNXTDZ($A$1,$B41,AB$1,$B$1)</f>
        <v>48.5</v>
      </c>
      <c r="AC41">
        <f>_xll.EQNXTDZ($A$1,$B41,AC$1,$B$1)</f>
        <v>55.44</v>
      </c>
      <c r="AD41">
        <f>_xll.EQNXTDZ($A$1,$B41,AD$1,$B$1)</f>
        <v>61.29</v>
      </c>
      <c r="AE41">
        <f>_xll.EQNXTDZ($A$1,$B41,AE$1,$B$1)</f>
        <v>40.98</v>
      </c>
      <c r="AF41">
        <f>_xll.EQNXTDZ($A$1,$B41,AF$1,$B$1)</f>
        <v>46.02</v>
      </c>
      <c r="AG41">
        <f>_xll.EQNXTDZ($A$1,$B41,AG$1,$B$1)</f>
        <v>56.56</v>
      </c>
      <c r="AH41">
        <f>_xll.EQNXTDZ($A$1,$B41,AH$1,$B$1)</f>
        <v>24.4</v>
      </c>
      <c r="AI41">
        <f>_xll.EQNXTDZ($A$1,$B41,AI$1,$B$1)</f>
        <v>23.06</v>
      </c>
      <c r="AJ41">
        <f>_xll.EQNXTDZ($A$1,$B41,AJ$1,$B$1)</f>
        <v>24.86</v>
      </c>
      <c r="AK41">
        <f>_xll.EQNXTDZ($A$1,$B41,AK$1,$B$1)</f>
        <v>30.95</v>
      </c>
      <c r="AL41">
        <f>_xll.EQNXTDZ($A$1,$B41,AL$1,$B$1)</f>
        <v>69.099999999999994</v>
      </c>
      <c r="AM41">
        <f>_xll.EQNXTDZ($A$1,$B41,AM$1,$B$1)</f>
        <v>31.54</v>
      </c>
      <c r="AN41">
        <f>_xll.EQNXTDZ($A$1,$B41,AN$1,$B$1)</f>
        <v>52.48</v>
      </c>
      <c r="AO41">
        <f>_xll.EQNXTDZ($A$1,$B41,AO$1,$B$1)</f>
        <v>0.64</v>
      </c>
      <c r="AP41">
        <f>_xll.EQNXTDZ($A$1,$B41,AP$1,$B$1)</f>
        <v>42.52</v>
      </c>
      <c r="AQ41">
        <f>_xll.EQNXTDZ($A$1,$B41,AQ$1,$B$1)</f>
        <v>48.97</v>
      </c>
      <c r="AR41">
        <f>_xll.EQNXTDZ($A$1,$B41,AR$1,$B$1)</f>
        <v>116.23</v>
      </c>
      <c r="AS41">
        <f>_xll.EQNXTDZ($A$1,$B41,AS$1,$B$1)</f>
        <v>118.84</v>
      </c>
      <c r="AT41">
        <f>_xll.EQNXTDZ($A$1,$B41,AT$1,$B$1)</f>
        <v>111.1</v>
      </c>
      <c r="AU41">
        <f>_xll.EQNXTDZ($A$1,$B41,AU$1,$B$1)</f>
        <v>102.61</v>
      </c>
      <c r="AV41">
        <f>_xll.EQNXTDZ($A$1,$B41,AV$1,$B$1)</f>
        <v>71.06</v>
      </c>
      <c r="AW41">
        <f>_xll.EQNXTDZ($A$1,$B41,AW$1,$B$1)</f>
        <v>79.67</v>
      </c>
      <c r="AX41">
        <f>_xll.EQNXTDZ($A$1,$B41,AX$1,$B$1)</f>
        <v>58.75</v>
      </c>
      <c r="AY41">
        <f>_xll.EQNXTDZ($A$1,$B41,AY$1,$B$1)</f>
        <v>77.62</v>
      </c>
      <c r="AZ41">
        <f>_xll.EQNXTDZ($A$1,$B41,AZ$1,$B$1)</f>
        <v>5.97</v>
      </c>
      <c r="BA41">
        <f>_xll.EQNXTDZ($A$1,$B41,BA$1,$B$1)</f>
        <v>8.74</v>
      </c>
      <c r="BB41">
        <f>_xll.EQNXTDZ($A$1,$B41,BB$1,$B$1)</f>
        <v>14.87</v>
      </c>
      <c r="BC41">
        <f>_xll.EQNXTDZ($A$1,$B41,BC$1,$B$1)</f>
        <v>67</v>
      </c>
      <c r="BD41">
        <f>_xll.EQNXTDZ($A$1,$B41,BD$1,$B$1)</f>
        <v>-23.54</v>
      </c>
      <c r="BE41">
        <f>_xll.EQNXTDZ($A$1,$B41,BE$1,$B$1)</f>
        <v>33.880000000000003</v>
      </c>
      <c r="BF41">
        <f>_xll.EQNXTDZ($A$1,$B41,BF$1,$B$1)</f>
        <v>-8.7100000000000009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5.93</v>
      </c>
      <c r="D42">
        <f>_xll.EQNXTDZ($A$1,$B42,D$1,$B$1)</f>
        <v>5.3</v>
      </c>
      <c r="E42">
        <f>_xll.EQNXTDZ($A$1,$B42,E$1,$B$1)</f>
        <v>2.02</v>
      </c>
      <c r="F42">
        <f>_xll.EQNXTDZ($A$1,$B42,F$1,$B$1)</f>
        <v>7.27</v>
      </c>
      <c r="G42">
        <f>_xll.EQNXTDZ($A$1,$B42,G$1,$B$1)</f>
        <v>6.79</v>
      </c>
      <c r="H42">
        <f>_xll.EQNXTDZ($A$1,$B42,H$1,$B$1)</f>
        <v>5.69</v>
      </c>
      <c r="I42">
        <f>_xll.EQNXTDZ($A$1,$B42,I$1,$B$1)</f>
        <v>2.1</v>
      </c>
      <c r="J42">
        <f>_xll.EQNXTDZ($A$1,$B42,J$1,$B$1)</f>
        <v>12.21</v>
      </c>
      <c r="K42">
        <f>_xll.EQNXTDZ($A$1,$B42,K$1,$B$1)</f>
        <v>5.03</v>
      </c>
      <c r="L42">
        <f>_xll.EQNXTDZ($A$1,$B42,L$1,$B$1)</f>
        <v>6.87</v>
      </c>
      <c r="M42">
        <f>_xll.EQNXTDZ($A$1,$B42,M$1,$B$1)</f>
        <v>2.65</v>
      </c>
      <c r="N42">
        <f>_xll.EQNXTDZ($A$1,$B42,N$1,$B$1)</f>
        <v>2.8</v>
      </c>
      <c r="O42">
        <f>_xll.EQNXTDZ($A$1,$B42,O$1,$B$1)</f>
        <v>5.39</v>
      </c>
      <c r="P42">
        <f>_xll.EQNXTDZ($A$1,$B42,P$1,$B$1)</f>
        <v>7.19</v>
      </c>
      <c r="Q42">
        <f>_xll.EQNXTDZ($A$1,$B42,Q$1,$B$1)</f>
        <v>4.13</v>
      </c>
      <c r="R42">
        <f>_xll.EQNXTDZ($A$1,$B42,R$1,$B$1)</f>
        <v>18.87</v>
      </c>
      <c r="S42">
        <f>_xll.EQNXTDZ($A$1,$B42,S$1,$B$1)</f>
        <v>24.12</v>
      </c>
      <c r="T42">
        <f>_xll.EQNXTDZ($A$1,$B42,T$1,$B$1)</f>
        <v>30.69</v>
      </c>
      <c r="U42">
        <f>_xll.EQNXTDZ($A$1,$B42,U$1,$B$1)</f>
        <v>34.49</v>
      </c>
      <c r="V42">
        <f>_xll.EQNXTDZ($A$1,$B42,V$1,$B$1)</f>
        <v>38.75</v>
      </c>
      <c r="W42">
        <f>_xll.EQNXTDZ($A$1,$B42,W$1,$B$1)</f>
        <v>21.75</v>
      </c>
      <c r="X42">
        <f>_xll.EQNXTDZ($A$1,$B42,X$1,$B$1)</f>
        <v>26.26</v>
      </c>
      <c r="Y42">
        <f>_xll.EQNXTDZ($A$1,$B42,Y$1,$B$1)</f>
        <v>30.92</v>
      </c>
      <c r="Z42">
        <f>_xll.EQNXTDZ($A$1,$B42,Z$1,$B$1)</f>
        <v>43.96</v>
      </c>
      <c r="AA42">
        <f>_xll.EQNXTDZ($A$1,$B42,AA$1,$B$1)</f>
        <v>26.46</v>
      </c>
      <c r="AB42">
        <f>_xll.EQNXTDZ($A$1,$B42,AB$1,$B$1)</f>
        <v>51.95</v>
      </c>
      <c r="AC42">
        <f>_xll.EQNXTDZ($A$1,$B42,AC$1,$B$1)</f>
        <v>50.23</v>
      </c>
      <c r="AD42">
        <f>_xll.EQNXTDZ($A$1,$B42,AD$1,$B$1)</f>
        <v>63.41</v>
      </c>
      <c r="AE42">
        <f>_xll.EQNXTDZ($A$1,$B42,AE$1,$B$1)</f>
        <v>39.01</v>
      </c>
      <c r="AF42">
        <f>_xll.EQNXTDZ($A$1,$B42,AF$1,$B$1)</f>
        <v>49.89</v>
      </c>
      <c r="AG42">
        <f>_xll.EQNXTDZ($A$1,$B42,AG$1,$B$1)</f>
        <v>45.86</v>
      </c>
      <c r="AH42">
        <f>_xll.EQNXTDZ($A$1,$B42,AH$1,$B$1)</f>
        <v>46.87</v>
      </c>
      <c r="AI42">
        <f>_xll.EQNXTDZ($A$1,$B42,AI$1,$B$1)</f>
        <v>19.3</v>
      </c>
      <c r="AJ42">
        <f>_xll.EQNXTDZ($A$1,$B42,AJ$1,$B$1)</f>
        <v>18.809999999999999</v>
      </c>
      <c r="AK42">
        <f>_xll.EQNXTDZ($A$1,$B42,AK$1,$B$1)</f>
        <v>4.6500000000000004</v>
      </c>
      <c r="AL42">
        <f>_xll.EQNXTDZ($A$1,$B42,AL$1,$B$1)</f>
        <v>63.61</v>
      </c>
      <c r="AM42">
        <f>_xll.EQNXTDZ($A$1,$B42,AM$1,$B$1)</f>
        <v>19.86</v>
      </c>
      <c r="AN42">
        <f>_xll.EQNXTDZ($A$1,$B42,AN$1,$B$1)</f>
        <v>27.49</v>
      </c>
      <c r="AO42">
        <f>_xll.EQNXTDZ($A$1,$B42,AO$1,$B$1)</f>
        <v>6.04</v>
      </c>
      <c r="AP42">
        <f>_xll.EQNXTDZ($A$1,$B42,AP$1,$B$1)</f>
        <v>56.63</v>
      </c>
      <c r="AQ42">
        <f>_xll.EQNXTDZ($A$1,$B42,AQ$1,$B$1)</f>
        <v>60.3</v>
      </c>
      <c r="AR42">
        <f>_xll.EQNXTDZ($A$1,$B42,AR$1,$B$1)</f>
        <v>106.29</v>
      </c>
      <c r="AS42">
        <f>_xll.EQNXTDZ($A$1,$B42,AS$1,$B$1)</f>
        <v>111.57</v>
      </c>
      <c r="AT42">
        <f>_xll.EQNXTDZ($A$1,$B42,AT$1,$B$1)</f>
        <v>117.67</v>
      </c>
      <c r="AU42">
        <f>_xll.EQNXTDZ($A$1,$B42,AU$1,$B$1)</f>
        <v>71.75</v>
      </c>
      <c r="AV42">
        <f>_xll.EQNXTDZ($A$1,$B42,AV$1,$B$1)</f>
        <v>73.2</v>
      </c>
      <c r="AW42">
        <f>_xll.EQNXTDZ($A$1,$B42,AW$1,$B$1)</f>
        <v>68.98</v>
      </c>
      <c r="AX42">
        <f>_xll.EQNXTDZ($A$1,$B42,AX$1,$B$1)</f>
        <v>56.84</v>
      </c>
      <c r="AY42">
        <f>_xll.EQNXTDZ($A$1,$B42,AY$1,$B$1)</f>
        <v>37</v>
      </c>
      <c r="AZ42">
        <f>_xll.EQNXTDZ($A$1,$B42,AZ$1,$B$1)</f>
        <v>28.47</v>
      </c>
      <c r="BA42">
        <f>_xll.EQNXTDZ($A$1,$B42,BA$1,$B$1)</f>
        <v>16.63</v>
      </c>
      <c r="BB42">
        <f>_xll.EQNXTDZ($A$1,$B42,BB$1,$B$1)</f>
        <v>27.07</v>
      </c>
      <c r="BC42">
        <f>_xll.EQNXTDZ($A$1,$B42,BC$1,$B$1)</f>
        <v>15.43</v>
      </c>
      <c r="BD42">
        <f>_xll.EQNXTDZ($A$1,$B42,BD$1,$B$1)</f>
        <v>22.41</v>
      </c>
      <c r="BE42">
        <f>_xll.EQNXTDZ($A$1,$B42,BE$1,$B$1)</f>
        <v>18.64</v>
      </c>
      <c r="BF42">
        <f>_xll.EQNXTDZ($A$1,$B42,BF$1,$B$1)</f>
        <v>26.05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11.25</v>
      </c>
      <c r="D45">
        <f>_xll.EQNXTDZ($A$1,$B45,D$1,$B$1)</f>
        <v>11.25</v>
      </c>
      <c r="E45">
        <f>_xll.EQNXTDZ($A$1,$B45,E$1,$B$1)</f>
        <v>11.25</v>
      </c>
      <c r="F45">
        <f>_xll.EQNXTDZ($A$1,$B45,F$1,$B$1)</f>
        <v>11.25</v>
      </c>
      <c r="G45">
        <f>_xll.EQNXTDZ($A$1,$B45,G$1,$B$1)</f>
        <v>12.61</v>
      </c>
      <c r="H45">
        <f>_xll.EQNXTDZ($A$1,$B45,H$1,$B$1)</f>
        <v>12.61</v>
      </c>
      <c r="I45">
        <f>_xll.EQNXTDZ($A$1,$B45,I$1,$B$1)</f>
        <v>12.61</v>
      </c>
      <c r="J45">
        <f>_xll.EQNXTDZ($A$1,$B45,J$1,$B$1)</f>
        <v>12.61</v>
      </c>
      <c r="K45">
        <f>_xll.EQNXTDZ($A$1,$B45,K$1,$B$1)</f>
        <v>12.61</v>
      </c>
      <c r="L45">
        <f>_xll.EQNXTDZ($A$1,$B45,L$1,$B$1)</f>
        <v>12.61</v>
      </c>
      <c r="M45">
        <f>_xll.EQNXTDZ($A$1,$B45,M$1,$B$1)</f>
        <v>12.61</v>
      </c>
      <c r="N45">
        <f>_xll.EQNXTDZ($A$1,$B45,N$1,$B$1)</f>
        <v>12.61</v>
      </c>
      <c r="O45">
        <f>_xll.EQNXTDZ($A$1,$B45,O$1,$B$1)</f>
        <v>12.61</v>
      </c>
      <c r="P45">
        <f>_xll.EQNXTDZ($A$1,$B45,P$1,$B$1)</f>
        <v>12.61</v>
      </c>
      <c r="Q45">
        <f>_xll.EQNXTDZ($A$1,$B45,Q$1,$B$1)</f>
        <v>12.61</v>
      </c>
      <c r="R45">
        <f>_xll.EQNXTDZ($A$1,$B45,R$1,$B$1)</f>
        <v>12.61</v>
      </c>
      <c r="S45">
        <f>_xll.EQNXTDZ($A$1,$B45,S$1,$B$1)</f>
        <v>12.61</v>
      </c>
      <c r="T45">
        <f>_xll.EQNXTDZ($A$1,$B45,T$1,$B$1)</f>
        <v>12.61</v>
      </c>
      <c r="U45">
        <f>_xll.EQNXTDZ($A$1,$B45,U$1,$B$1)</f>
        <v>12.61</v>
      </c>
      <c r="V45">
        <f>_xll.EQNXTDZ($A$1,$B45,V$1,$B$1)</f>
        <v>12.61</v>
      </c>
      <c r="W45">
        <f>_xll.EQNXTDZ($A$1,$B45,W$1,$B$1)</f>
        <v>12.61</v>
      </c>
      <c r="X45">
        <f>_xll.EQNXTDZ($A$1,$B45,X$1,$B$1)</f>
        <v>12.61</v>
      </c>
      <c r="Y45">
        <f>_xll.EQNXTDZ($A$1,$B45,Y$1,$B$1)</f>
        <v>12.61</v>
      </c>
      <c r="Z45">
        <f>_xll.EQNXTDZ($A$1,$B45,Z$1,$B$1)</f>
        <v>12.61</v>
      </c>
      <c r="AA45">
        <f>_xll.EQNXTDZ($A$1,$B45,AA$1,$B$1)</f>
        <v>12.61</v>
      </c>
      <c r="AB45">
        <f>_xll.EQNXTDZ($A$1,$B45,AB$1,$B$1)</f>
        <v>12.61</v>
      </c>
      <c r="AC45">
        <f>_xll.EQNXTDZ($A$1,$B45,AC$1,$B$1)</f>
        <v>12.61</v>
      </c>
      <c r="AD45">
        <f>_xll.EQNXTDZ($A$1,$B45,AD$1,$B$1)</f>
        <v>12.61</v>
      </c>
      <c r="AE45">
        <f>_xll.EQNXTDZ($A$1,$B45,AE$1,$B$1)</f>
        <v>12.61</v>
      </c>
      <c r="AF45">
        <f>_xll.EQNXTDZ($A$1,$B45,AF$1,$B$1)</f>
        <v>12.61</v>
      </c>
      <c r="AG45">
        <f>_xll.EQNXTDZ($A$1,$B45,AG$1,$B$1)</f>
        <v>12.61</v>
      </c>
      <c r="AH45">
        <f>_xll.EQNXTDZ($A$1,$B45,AH$1,$B$1)</f>
        <v>12.04</v>
      </c>
      <c r="AI45">
        <f>_xll.EQNXTDZ($A$1,$B45,AI$1,$B$1)</f>
        <v>12.04</v>
      </c>
      <c r="AJ45">
        <f>_xll.EQNXTDZ($A$1,$B45,AJ$1,$B$1)</f>
        <v>12.04</v>
      </c>
      <c r="AK45">
        <f>_xll.EQNXTDZ($A$1,$B45,AK$1,$B$1)</f>
        <v>12.04</v>
      </c>
      <c r="AL45">
        <f>_xll.EQNXTDZ($A$1,$B45,AL$1,$B$1)</f>
        <v>12.04</v>
      </c>
      <c r="AM45">
        <f>_xll.EQNXTDZ($A$1,$B45,AM$1,$B$1)</f>
        <v>12.04</v>
      </c>
      <c r="AN45">
        <f>_xll.EQNXTDZ($A$1,$B45,AN$1,$B$1)</f>
        <v>12.04</v>
      </c>
      <c r="AO45">
        <f>_xll.EQNXTDZ($A$1,$B45,AO$1,$B$1)</f>
        <v>12.04</v>
      </c>
      <c r="AP45">
        <f>_xll.EQNXTDZ($A$1,$B45,AP$1,$B$1)</f>
        <v>12.04</v>
      </c>
      <c r="AQ45">
        <f>_xll.EQNXTDZ($A$1,$B45,AQ$1,$B$1)</f>
        <v>12.04</v>
      </c>
      <c r="AR45">
        <f>_xll.EQNXTDZ($A$1,$B45,AR$1,$B$1)</f>
        <v>12.04</v>
      </c>
      <c r="AS45">
        <f>_xll.EQNXTDZ($A$1,$B45,AS$1,$B$1)</f>
        <v>12.04</v>
      </c>
      <c r="AT45">
        <f>_xll.EQNXTDZ($A$1,$B45,AT$1,$B$1)</f>
        <v>12.04</v>
      </c>
      <c r="AU45">
        <f>_xll.EQNXTDZ($A$1,$B45,AU$1,$B$1)</f>
        <v>12.04</v>
      </c>
      <c r="AV45">
        <f>_xll.EQNXTDZ($A$1,$B45,AV$1,$B$1)</f>
        <v>12.04</v>
      </c>
      <c r="AW45">
        <f>_xll.EQNXTDZ($A$1,$B45,AW$1,$B$1)</f>
        <v>12.04</v>
      </c>
      <c r="AX45">
        <f>_xll.EQNXTDZ($A$1,$B45,AX$1,$B$1)</f>
        <v>12.04</v>
      </c>
      <c r="AY45">
        <f>_xll.EQNXTDZ($A$1,$B45,AY$1,$B$1)</f>
        <v>12.04</v>
      </c>
      <c r="AZ45">
        <f>_xll.EQNXTDZ($A$1,$B45,AZ$1,$B$1)</f>
        <v>12.04</v>
      </c>
      <c r="BA45">
        <f>_xll.EQNXTDZ($A$1,$B45,BA$1,$B$1)</f>
        <v>12.04</v>
      </c>
      <c r="BB45">
        <f>_xll.EQNXTDZ($A$1,$B45,BB$1,$B$1)</f>
        <v>12.04</v>
      </c>
      <c r="BC45">
        <f>_xll.EQNXTDZ($A$1,$B45,BC$1,$B$1)</f>
        <v>12.04</v>
      </c>
      <c r="BD45">
        <f>_xll.EQNXTDZ($A$1,$B45,BD$1,$B$1)</f>
        <v>12.04</v>
      </c>
      <c r="BE45">
        <f>_xll.EQNXTDZ($A$1,$B45,BE$1,$B$1)</f>
        <v>12.04</v>
      </c>
      <c r="BF45">
        <f>_xll.EQNXTDZ($A$1,$B45,BF$1,$B$1)</f>
        <v>12.04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39.4</v>
      </c>
      <c r="D48" s="55">
        <f>_xll.EQNXTDZ($A$1,$B48,D$5)</f>
        <v>40.75</v>
      </c>
      <c r="E48" s="55">
        <f>_xll.EQNXTDZ($A$1,$B48,E$5)</f>
        <v>49.97</v>
      </c>
      <c r="F48" s="55">
        <f>_xll.EQNXTDZ($A$1,$B48,F$5)</f>
        <v>43.73</v>
      </c>
      <c r="G48" s="55">
        <f>_xll.EQNXTDZ($A$1,$B48,G$5)</f>
        <v>42.4</v>
      </c>
      <c r="H48" s="55">
        <f>_xll.EQNXTDZ($A$1,$B48,H$5)</f>
        <v>36.200000000000003</v>
      </c>
      <c r="I48" s="55">
        <f>_xll.EQNXTDZ($A$1,$B48,I$5)</f>
        <v>37</v>
      </c>
      <c r="J48" s="55">
        <f>_xll.EQNXTDZ($A$1,$B48,J$5)</f>
        <v>36.4</v>
      </c>
      <c r="K48" s="55">
        <f>_xll.EQNXTDZ($A$1,$B48,K$5)</f>
        <v>50.21</v>
      </c>
      <c r="L48" s="55">
        <f>_xll.EQNXTDZ($A$1,$B48,L$5)</f>
        <v>46.2</v>
      </c>
      <c r="M48" s="55">
        <f>_xll.EQNXTDZ($A$1,$B48,M$5)</f>
        <v>45.57</v>
      </c>
      <c r="N48" s="55">
        <f>_xll.EQNXTDZ($A$1,$B48,N$5)</f>
        <v>37.08</v>
      </c>
      <c r="O48" s="55">
        <f>_xll.EQNXTDZ($A$1,$B48,O$5)</f>
        <v>38.700000000000003</v>
      </c>
      <c r="P48" s="55">
        <f>_xll.EQNXTDZ($A$1,$B48,P$5)</f>
        <v>46.2</v>
      </c>
      <c r="Q48" s="55">
        <f>_xll.EQNXTDZ($A$1,$B48,Q$5)</f>
        <v>47.98</v>
      </c>
      <c r="R48" s="55">
        <f>_xll.EQNXTDZ($A$1,$B48,R$5)</f>
        <v>46.7</v>
      </c>
      <c r="S48" s="55">
        <f>_xll.EQNXTDZ($A$1,$B48,S$5)</f>
        <v>58.87</v>
      </c>
      <c r="T48" s="55">
        <f>_xll.EQNXTDZ($A$1,$B48,T$5)</f>
        <v>95.55</v>
      </c>
      <c r="U48" s="55">
        <f>_xll.EQNXTDZ($A$1,$B48,U$5)</f>
        <v>138.15</v>
      </c>
      <c r="V48" s="55">
        <f>_xll.EQNXTDZ($A$1,$B48,V$5)</f>
        <v>156.56</v>
      </c>
      <c r="W48" s="55">
        <f>_xll.EQNXTDZ($A$1,$B48,W$5)</f>
        <v>151</v>
      </c>
      <c r="X48" s="55">
        <f>_xll.EQNXTDZ($A$1,$B48,X$5)</f>
        <v>146.03</v>
      </c>
      <c r="Y48" s="55">
        <f>_xll.EQNXTDZ($A$1,$B48,Y$5)</f>
        <v>179.22</v>
      </c>
      <c r="Z48" s="55">
        <f>_xll.EQNXTDZ($A$1,$B48,Z$5)</f>
        <v>173.96</v>
      </c>
      <c r="AA48" s="55">
        <f>_xll.EQNXTDZ($A$1,$B48,AA$5)</f>
        <v>180.58</v>
      </c>
      <c r="AB48" s="55">
        <f>_xll.EQNXTDZ($A$1,$B48,AB$5)</f>
        <v>212.73</v>
      </c>
      <c r="AC48" s="55">
        <f>_xll.EQNXTDZ($A$1,$B48,AC$5)</f>
        <v>213.83</v>
      </c>
      <c r="AD48" s="55">
        <f>_xll.EQNXTDZ($A$1,$B48,AD$5)</f>
        <v>186.4</v>
      </c>
      <c r="AE48" s="55">
        <f>_xll.EQNXTDZ($A$1,$B48,AE$5)</f>
        <v>182.83</v>
      </c>
      <c r="AF48" s="55">
        <f>_xll.EQNXTDZ($A$1,$B48,AF$5)</f>
        <v>207.4</v>
      </c>
      <c r="AG48" s="55">
        <f>_xll.EQNXTDZ($A$1,$B48,AG$5)</f>
        <v>169.4</v>
      </c>
      <c r="AH48" s="55">
        <f>_xll.EQNXTDZ($A$1,$B48,AH$5)</f>
        <v>103.95</v>
      </c>
      <c r="AI48" s="55">
        <f>_xll.EQNXTDZ($A$1,$B48,AI$5)</f>
        <v>158.4</v>
      </c>
      <c r="AJ48" s="55">
        <f>_xll.EQNXTDZ($A$1,$B48,AJ$5)</f>
        <v>136.19999999999999</v>
      </c>
      <c r="AK48" s="55">
        <f>_xll.EQNXTDZ($A$1,$B48,AK$5)</f>
        <v>151.80000000000001</v>
      </c>
      <c r="AL48" s="55">
        <f>_xll.EQNXTDZ($A$1,$B48,AL$5)</f>
        <v>161.25</v>
      </c>
      <c r="AM48" s="55">
        <f>_xll.EQNXTDZ($A$1,$B48,AM$5)</f>
        <v>198.3</v>
      </c>
      <c r="AN48" s="55">
        <f>_xll.EQNXTDZ($A$1,$B48,AN$5)</f>
        <v>184.85</v>
      </c>
      <c r="AO48" s="55">
        <f>_xll.EQNXTDZ($A$1,$B48,AO$5)</f>
        <v>149.55000000000001</v>
      </c>
      <c r="AP48" s="55">
        <f>_xll.EQNXTDZ($A$1,$B48,AP$5)</f>
        <v>174.9</v>
      </c>
      <c r="AQ48" s="55">
        <f>_xll.EQNXTDZ($A$1,$B48,AQ$5)</f>
        <v>187.8</v>
      </c>
      <c r="AR48" s="55">
        <f>_xll.EQNXTDZ($A$1,$B48,AR$5)</f>
        <v>273.2</v>
      </c>
      <c r="AS48" s="55">
        <f>_xll.EQNXTDZ($A$1,$B48,AS$5)</f>
        <v>279.3</v>
      </c>
      <c r="AT48" s="55">
        <f>_xll.EQNXTDZ($A$1,$B48,AT$5)</f>
        <v>236.2</v>
      </c>
      <c r="AU48" s="55">
        <f>_xll.EQNXTDZ($A$1,$B48,AU$5)</f>
        <v>281</v>
      </c>
      <c r="AV48" s="55">
        <f>_xll.EQNXTDZ($A$1,$B48,AV$5)</f>
        <v>385.1</v>
      </c>
      <c r="AW48" s="55">
        <f>_xll.EQNXTDZ($A$1,$B48,AW$5)</f>
        <v>352.6</v>
      </c>
      <c r="AX48" s="55">
        <f>_xll.EQNXTDZ($A$1,$B48,AX$5)</f>
        <v>294.5</v>
      </c>
      <c r="AY48" s="55">
        <f>_xll.EQNXTDZ($A$1,$B48,AY$5)</f>
        <v>331.45</v>
      </c>
      <c r="AZ48" s="55">
        <f>_xll.EQNXTDZ($A$1,$B48,AZ$5)</f>
        <v>341.4</v>
      </c>
      <c r="BA48" s="55">
        <f>_xll.EQNXTDZ($A$1,$B48,BA$5)</f>
        <v>306.35000000000002</v>
      </c>
      <c r="BB48" s="55">
        <f>_xll.EQNXTDZ($A$1,$B48,BB$5)</f>
        <v>260.25</v>
      </c>
      <c r="BC48" s="55">
        <f>_xll.EQNXTDZ($A$1,$B48,BC$5)</f>
        <v>300.14999999999998</v>
      </c>
      <c r="BD48" s="55">
        <f>_xll.EQNXTDZ($A$1,$B48,BD$5)</f>
        <v>251.6</v>
      </c>
      <c r="BE48" s="55">
        <f>_xll.EQNXTDZ($A$1,$B48,BE$5)</f>
        <v>235.45</v>
      </c>
      <c r="BF48" s="55">
        <f>_xll.EQNXTDZ($A$1,$B48,BF$5)</f>
        <v>245.5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42.11</v>
      </c>
      <c r="D49" s="55">
        <f>_xll.EQNXTDZ($A$1,$B49,D$5)</f>
        <v>42.11</v>
      </c>
      <c r="E49" s="55">
        <f>_xll.EQNXTDZ($A$1,$B49,E$5)</f>
        <v>42.39</v>
      </c>
      <c r="F49" s="55">
        <f>_xll.EQNXTDZ($A$1,$B49,F$5)</f>
        <v>42.4</v>
      </c>
      <c r="G49" s="55">
        <f>_xll.EQNXTDZ($A$1,$B49,G$5)</f>
        <v>44.18</v>
      </c>
      <c r="H49" s="55">
        <f>_xll.EQNXTDZ($A$1,$B49,H$5)</f>
        <v>44.18</v>
      </c>
      <c r="I49" s="55">
        <f>_xll.EQNXTDZ($A$1,$B49,I$5)</f>
        <v>44.15</v>
      </c>
      <c r="J49" s="55">
        <f>_xll.EQNXTDZ($A$1,$B49,J$5)</f>
        <v>43.26</v>
      </c>
      <c r="K49" s="55">
        <f>_xll.EQNXTDZ($A$1,$B49,K$5)</f>
        <v>43.37</v>
      </c>
      <c r="L49" s="55">
        <f>_xll.EQNXTDZ($A$1,$B49,L$5)</f>
        <v>43.42</v>
      </c>
      <c r="M49" s="55">
        <f>_xll.EQNXTDZ($A$1,$B49,M$5)</f>
        <v>43.42</v>
      </c>
      <c r="N49" s="55">
        <f>_xll.EQNXTDZ($A$1,$B49,N$5)</f>
        <v>43.42</v>
      </c>
      <c r="O49" s="55">
        <f>_xll.EQNXTDZ($A$1,$B49,O$5)</f>
        <v>43.42</v>
      </c>
      <c r="P49" s="55">
        <f>_xll.EQNXTDZ($A$1,$B49,P$5)</f>
        <v>43.45</v>
      </c>
      <c r="Q49" s="55">
        <f>_xll.EQNXTDZ($A$1,$B49,Q$5)</f>
        <v>43.45</v>
      </c>
      <c r="R49" s="55">
        <f>_xll.EQNXTDZ($A$1,$B49,R$5)</f>
        <v>43.45</v>
      </c>
      <c r="S49" s="55">
        <f>_xll.EQNXTDZ($A$1,$B49,S$5)</f>
        <v>43.45</v>
      </c>
      <c r="T49" s="55">
        <f>_xll.EQNXTDZ($A$1,$B49,T$5)</f>
        <v>43.02</v>
      </c>
      <c r="U49" s="55">
        <f>_xll.EQNXTDZ($A$1,$B49,U$5)</f>
        <v>42.65</v>
      </c>
      <c r="V49" s="55">
        <f>_xll.EQNXTDZ($A$1,$B49,V$5)</f>
        <v>42.65</v>
      </c>
      <c r="W49" s="55">
        <f>_xll.EQNXTDZ($A$1,$B49,W$5)</f>
        <v>42.65</v>
      </c>
      <c r="X49" s="55">
        <f>_xll.EQNXTDZ($A$1,$B49,X$5)</f>
        <v>42.65</v>
      </c>
      <c r="Y49" s="55">
        <f>_xll.EQNXTDZ($A$1,$B49,Y$5)</f>
        <v>42.65</v>
      </c>
      <c r="Z49" s="55">
        <f>_xll.EQNXTDZ($A$1,$B49,Z$5)</f>
        <v>42.65</v>
      </c>
      <c r="AA49" s="55">
        <f>_xll.EQNXTDZ($A$1,$B49,AA$5)</f>
        <v>42.65</v>
      </c>
      <c r="AB49" s="55">
        <f>_xll.EQNXTDZ($A$1,$B49,AB$5)</f>
        <v>42.65</v>
      </c>
      <c r="AC49" s="55">
        <f>_xll.EQNXTDZ($A$1,$B49,AC$5)</f>
        <v>42.65</v>
      </c>
      <c r="AD49" s="55">
        <f>_xll.EQNXTDZ($A$1,$B49,AD$5)</f>
        <v>42.65</v>
      </c>
      <c r="AE49" s="55">
        <f>_xll.EQNXTDZ($A$1,$B49,AE$5)</f>
        <v>42.65</v>
      </c>
      <c r="AF49" s="55">
        <f>_xll.EQNXTDZ($A$1,$B49,AF$5)</f>
        <v>42.65</v>
      </c>
      <c r="AG49" s="55">
        <f>_xll.EQNXTDZ($A$1,$B49,AG$5)</f>
        <v>42.65</v>
      </c>
      <c r="AH49" s="55">
        <f>_xll.EQNXTDZ($A$1,$B49,AH$5)</f>
        <v>42.65</v>
      </c>
      <c r="AI49" s="55">
        <f>_xll.EQNXTDZ($A$1,$B49,AI$5)</f>
        <v>42.65</v>
      </c>
      <c r="AJ49" s="55">
        <f>_xll.EQNXTDZ($A$1,$B49,AJ$5)</f>
        <v>42.65</v>
      </c>
      <c r="AK49" s="55">
        <f>_xll.EQNXTDZ($A$1,$B49,AK$5)</f>
        <v>42.65</v>
      </c>
      <c r="AL49" s="55">
        <f>_xll.EQNXTDZ($A$1,$B49,AL$5)</f>
        <v>42.65</v>
      </c>
      <c r="AM49" s="55">
        <f>_xll.EQNXTDZ($A$1,$B49,AM$5)</f>
        <v>42.65</v>
      </c>
      <c r="AN49" s="55">
        <f>_xll.EQNXTDZ($A$1,$B49,AN$5)</f>
        <v>42.65</v>
      </c>
      <c r="AO49" s="55">
        <f>_xll.EQNXTDZ($A$1,$B49,AO$5)</f>
        <v>42.65</v>
      </c>
      <c r="AP49" s="55">
        <f>_xll.EQNXTDZ($A$1,$B49,AP$5)</f>
        <v>42.8</v>
      </c>
      <c r="AQ49" s="55">
        <f>_xll.EQNXTDZ($A$1,$B49,AQ$5)</f>
        <v>42.78</v>
      </c>
      <c r="AR49" s="55">
        <f>_xll.EQNXTDZ($A$1,$B49,AR$5)</f>
        <v>42.78</v>
      </c>
      <c r="AS49" s="55">
        <f>_xll.EQNXTDZ($A$1,$B49,AS$5)</f>
        <v>42.78</v>
      </c>
      <c r="AT49" s="55">
        <f>_xll.EQNXTDZ($A$1,$B49,AT$5)</f>
        <v>42.78</v>
      </c>
      <c r="AU49" s="55">
        <f>_xll.EQNXTDZ($A$1,$B49,AU$5)</f>
        <v>42.78</v>
      </c>
      <c r="AV49" s="55">
        <f>_xll.EQNXTDZ($A$1,$B49,AV$5)</f>
        <v>42.78</v>
      </c>
      <c r="AW49" s="55">
        <f>_xll.EQNXTDZ($A$1,$B49,AW$5)</f>
        <v>42.78</v>
      </c>
      <c r="AX49" s="55">
        <f>_xll.EQNXTDZ($A$1,$B49,AX$5)</f>
        <v>42.78</v>
      </c>
      <c r="AY49" s="55">
        <f>_xll.EQNXTDZ($A$1,$B49,AY$5)</f>
        <v>42.78</v>
      </c>
      <c r="AZ49" s="55">
        <f>_xll.EQNXTDZ($A$1,$B49,AZ$5)</f>
        <v>42.78</v>
      </c>
      <c r="BA49" s="55">
        <f>_xll.EQNXTDZ($A$1,$B49,BA$5)</f>
        <v>42.81</v>
      </c>
      <c r="BB49" s="55">
        <f>_xll.EQNXTDZ($A$1,$B49,BB$5)</f>
        <v>42.9</v>
      </c>
      <c r="BC49" s="55">
        <f>_xll.EQNXTDZ($A$1,$B49,BC$5)</f>
        <v>42.9</v>
      </c>
      <c r="BD49" s="55">
        <f>_xll.EQNXTDZ($A$1,$B49,BD$5)</f>
        <v>42.9</v>
      </c>
      <c r="BE49" s="55">
        <f>_xll.EQNXTDZ($A$1,$B49,BE$5)</f>
        <v>43.03</v>
      </c>
      <c r="BF49" s="55">
        <f>_xll.EQNXTDZ($A$1,$B49,BF$5)</f>
        <v>43.11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11.25</v>
      </c>
      <c r="E56" s="55">
        <f>_xll.EQNXTDZ($A$1,$B56,E$5,$B$1)</f>
        <v>0</v>
      </c>
      <c r="F56" s="55">
        <f>_xll.EQNXTDZ($A$1,$B56,F$5,$B$1)</f>
        <v>11.25</v>
      </c>
      <c r="G56" s="55">
        <f>_xll.EQNXTDZ($A$1,$B56,G$5,$B$1)</f>
        <v>0</v>
      </c>
      <c r="H56" s="55">
        <f>_xll.EQNXTDZ($A$1,$B56,H$5,$B$1)</f>
        <v>12.61</v>
      </c>
      <c r="I56" s="55">
        <f>_xll.EQNXTDZ($A$1,$B56,I$5,$B$1)</f>
        <v>0</v>
      </c>
      <c r="J56" s="55">
        <f>_xll.EQNXTDZ($A$1,$B56,J$5,$B$1)</f>
        <v>12.61</v>
      </c>
      <c r="K56" s="55">
        <f>_xll.EQNXTDZ($A$1,$B56,K$5,$B$1)</f>
        <v>0</v>
      </c>
      <c r="L56" s="55">
        <f>_xll.EQNXTDZ($A$1,$B56,L$5,$B$1)</f>
        <v>12.61</v>
      </c>
      <c r="M56" s="55">
        <f>_xll.EQNXTDZ($A$1,$B56,M$5,$B$1)</f>
        <v>0</v>
      </c>
      <c r="N56" s="55">
        <f>_xll.EQNXTDZ($A$1,$B56,N$5,$B$1)</f>
        <v>12.61</v>
      </c>
      <c r="O56" s="55">
        <f>_xll.EQNXTDZ($A$1,$B56,O$5,$B$1)</f>
        <v>0</v>
      </c>
      <c r="P56" s="55">
        <f>_xll.EQNXTDZ($A$1,$B56,P$5,$B$1)</f>
        <v>12.61</v>
      </c>
      <c r="Q56" s="55">
        <f>_xll.EQNXTDZ($A$1,$B56,Q$5,$B$1)</f>
        <v>0</v>
      </c>
      <c r="R56" s="55">
        <f>_xll.EQNXTDZ($A$1,$B56,R$5,$B$1)</f>
        <v>12.61</v>
      </c>
      <c r="S56" s="55">
        <f>_xll.EQNXTDZ($A$1,$B56,S$5,$B$1)</f>
        <v>0</v>
      </c>
      <c r="T56" s="55">
        <f>_xll.EQNXTDZ($A$1,$B56,T$5,$B$1)</f>
        <v>12.61</v>
      </c>
      <c r="U56" s="55">
        <f>_xll.EQNXTDZ($A$1,$B56,U$5,$B$1)</f>
        <v>0</v>
      </c>
      <c r="V56" s="55">
        <f>_xll.EQNXTDZ($A$1,$B56,V$5,$B$1)</f>
        <v>12.61</v>
      </c>
      <c r="W56" s="55">
        <f>_xll.EQNXTDZ($A$1,$B56,W$5,$B$1)</f>
        <v>0</v>
      </c>
      <c r="X56" s="55">
        <f>_xll.EQNXTDZ($A$1,$B56,X$5,$B$1)</f>
        <v>12.61</v>
      </c>
      <c r="Y56" s="55">
        <f>_xll.EQNXTDZ($A$1,$B56,Y$5,$B$1)</f>
        <v>0</v>
      </c>
      <c r="Z56" s="55">
        <f>_xll.EQNXTDZ($A$1,$B56,Z$5,$B$1)</f>
        <v>12.61</v>
      </c>
      <c r="AA56" s="55">
        <f>_xll.EQNXTDZ($A$1,$B56,AA$5,$B$1)</f>
        <v>0</v>
      </c>
      <c r="AB56" s="55">
        <f>_xll.EQNXTDZ($A$1,$B56,AB$5,$B$1)</f>
        <v>12.61</v>
      </c>
      <c r="AC56" s="55">
        <f>_xll.EQNXTDZ($A$1,$B56,AC$5,$B$1)</f>
        <v>0</v>
      </c>
      <c r="AD56" s="55">
        <f>_xll.EQNXTDZ($A$1,$B56,AD$5,$B$1)</f>
        <v>12.61</v>
      </c>
      <c r="AE56" s="55">
        <f>_xll.EQNXTDZ($A$1,$B56,AE$5,$B$1)</f>
        <v>0</v>
      </c>
      <c r="AF56" s="55">
        <f>_xll.EQNXTDZ($A$1,$B56,AF$5,$B$1)</f>
        <v>12.61</v>
      </c>
      <c r="AG56" s="55">
        <f>_xll.EQNXTDZ($A$1,$B56,AG$5,$B$1)</f>
        <v>0</v>
      </c>
      <c r="AH56" s="55">
        <f>_xll.EQNXTDZ($A$1,$B56,AH$5,$B$1)</f>
        <v>12.04</v>
      </c>
      <c r="AI56" s="55">
        <f>_xll.EQNXTDZ($A$1,$B56,AI$5,$B$1)</f>
        <v>0</v>
      </c>
      <c r="AJ56" s="55">
        <f>_xll.EQNXTDZ($A$1,$B56,AJ$5,$B$1)</f>
        <v>12.04</v>
      </c>
      <c r="AK56" s="55">
        <f>_xll.EQNXTDZ($A$1,$B56,AK$5,$B$1)</f>
        <v>0</v>
      </c>
      <c r="AL56" s="55">
        <f>_xll.EQNXTDZ($A$1,$B56,AL$5,$B$1)</f>
        <v>12.04</v>
      </c>
      <c r="AM56" s="55">
        <f>_xll.EQNXTDZ($A$1,$B56,AM$5,$B$1)</f>
        <v>0</v>
      </c>
      <c r="AN56" s="55">
        <f>_xll.EQNXTDZ($A$1,$B56,AN$5,$B$1)</f>
        <v>12.04</v>
      </c>
      <c r="AO56" s="55">
        <f>_xll.EQNXTDZ($A$1,$B56,AO$5,$B$1)</f>
        <v>0</v>
      </c>
      <c r="AP56" s="55">
        <f>_xll.EQNXTDZ($A$1,$B56,AP$5,$B$1)</f>
        <v>12.04</v>
      </c>
      <c r="AQ56" s="55">
        <f>_xll.EQNXTDZ($A$1,$B56,AQ$5,$B$1)</f>
        <v>0</v>
      </c>
      <c r="AR56" s="55">
        <f>_xll.EQNXTDZ($A$1,$B56,AR$5,$B$1)</f>
        <v>12.04</v>
      </c>
      <c r="AS56" s="55">
        <f>_xll.EQNXTDZ($A$1,$B56,AS$5,$B$1)</f>
        <v>0</v>
      </c>
      <c r="AT56" s="55">
        <f>_xll.EQNXTDZ($A$1,$B56,AT$5,$B$1)</f>
        <v>12.04</v>
      </c>
      <c r="AU56" s="55">
        <f>_xll.EQNXTDZ($A$1,$B56,AU$5,$B$1)</f>
        <v>0</v>
      </c>
      <c r="AV56" s="55">
        <f>_xll.EQNXTDZ($A$1,$B56,AV$5,$B$1)</f>
        <v>12.04</v>
      </c>
      <c r="AW56" s="55">
        <f>_xll.EQNXTDZ($A$1,$B56,AW$5,$B$1)</f>
        <v>0</v>
      </c>
      <c r="AX56" s="55">
        <f>_xll.EQNXTDZ($A$1,$B56,AX$5,$B$1)</f>
        <v>12.04</v>
      </c>
      <c r="AY56" s="55">
        <f>_xll.EQNXTDZ($A$1,$B56,AY$5,$B$1)</f>
        <v>0</v>
      </c>
      <c r="AZ56" s="55">
        <f>_xll.EQNXTDZ($A$1,$B56,AZ$5,$B$1)</f>
        <v>12.04</v>
      </c>
      <c r="BA56" s="55">
        <f>_xll.EQNXTDZ($A$1,$B56,BA$5,$B$1)</f>
        <v>0</v>
      </c>
      <c r="BB56" s="55">
        <f>_xll.EQNXTDZ($A$1,$B56,BB$5,$B$1)</f>
        <v>12.04</v>
      </c>
      <c r="BC56" s="55">
        <f>_xll.EQNXTDZ($A$1,$B56,BC$5,$B$1)</f>
        <v>0</v>
      </c>
      <c r="BD56" s="55">
        <f>_xll.EQNXTDZ($A$1,$B56,BD$5,$B$1)</f>
        <v>12.04</v>
      </c>
      <c r="BE56" s="55">
        <f>_xll.EQNXTDZ($A$1,$B56,BE$5,$B$1)</f>
        <v>0</v>
      </c>
      <c r="BF56" s="55">
        <f>_xll.EQNXTDZ($A$1,$B56,BF$5,$B$1)</f>
        <v>12.04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1.36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321.22000000000003</v>
      </c>
      <c r="E58" s="55">
        <f>_xll.EQNXTDZ($A$1,$B58,E$5,$B$1)</f>
        <v>0</v>
      </c>
      <c r="F58" s="55">
        <f>_xll.EQNXTDZ($A$1,$B58,F$5,$B$1)</f>
        <v>350.64</v>
      </c>
      <c r="G58" s="55">
        <f>_xll.EQNXTDZ($A$1,$B58,G$5,$B$1)</f>
        <v>0</v>
      </c>
      <c r="H58" s="55">
        <f>_xll.EQNXTDZ($A$1,$B58,H$5,$B$1)</f>
        <v>363.1</v>
      </c>
      <c r="I58" s="55">
        <f>_xll.EQNXTDZ($A$1,$B58,I$5,$B$1)</f>
        <v>0</v>
      </c>
      <c r="J58" s="55">
        <f>_xll.EQNXTDZ($A$1,$B58,J$5,$B$1)</f>
        <v>371.52</v>
      </c>
      <c r="K58" s="55">
        <f>_xll.EQNXTDZ($A$1,$B58,K$5,$B$1)</f>
        <v>0</v>
      </c>
      <c r="L58" s="55">
        <f>_xll.EQNXTDZ($A$1,$B58,L$5,$B$1)</f>
        <v>383.42</v>
      </c>
      <c r="M58" s="55">
        <f>_xll.EQNXTDZ($A$1,$B58,M$5,$B$1)</f>
        <v>0</v>
      </c>
      <c r="N58" s="55">
        <f>_xll.EQNXTDZ($A$1,$B58,N$5,$B$1)</f>
        <v>401.3</v>
      </c>
      <c r="O58" s="55">
        <f>_xll.EQNXTDZ($A$1,$B58,O$5,$B$1)</f>
        <v>0</v>
      </c>
      <c r="P58" s="55">
        <f>_xll.EQNXTDZ($A$1,$B58,P$5,$B$1)</f>
        <v>392.96</v>
      </c>
      <c r="Q58" s="55">
        <f>_xll.EQNXTDZ($A$1,$B58,Q$5,$B$1)</f>
        <v>0</v>
      </c>
      <c r="R58" s="55">
        <f>_xll.EQNXTDZ($A$1,$B58,R$5,$B$1)</f>
        <v>429.75</v>
      </c>
      <c r="S58" s="55">
        <f>_xll.EQNXTDZ($A$1,$B58,S$5,$B$1)</f>
        <v>0</v>
      </c>
      <c r="T58" s="55">
        <f>_xll.EQNXTDZ($A$1,$B58,T$5,$B$1)</f>
        <v>463.18</v>
      </c>
      <c r="U58" s="55">
        <f>_xll.EQNXTDZ($A$1,$B58,U$5,$B$1)</f>
        <v>0</v>
      </c>
      <c r="V58" s="55">
        <f>_xll.EQNXTDZ($A$1,$B58,V$5,$B$1)</f>
        <v>592.34</v>
      </c>
      <c r="W58" s="55">
        <f>_xll.EQNXTDZ($A$1,$B58,W$5,$B$1)</f>
        <v>0</v>
      </c>
      <c r="X58" s="55">
        <f>_xll.EQNXTDZ($A$1,$B58,X$5,$B$1)</f>
        <v>611.21</v>
      </c>
      <c r="Y58" s="55">
        <f>_xll.EQNXTDZ($A$1,$B58,Y$5,$B$1)</f>
        <v>0</v>
      </c>
      <c r="Z58" s="55">
        <f>_xll.EQNXTDZ($A$1,$B58,Z$5,$B$1)</f>
        <v>712.86</v>
      </c>
      <c r="AA58" s="55">
        <f>_xll.EQNXTDZ($A$1,$B58,AA$5,$B$1)</f>
        <v>0</v>
      </c>
      <c r="AB58" s="55">
        <f>_xll.EQNXTDZ($A$1,$B58,AB$5,$B$1)</f>
        <v>763.86</v>
      </c>
      <c r="AC58" s="55">
        <f>_xll.EQNXTDZ($A$1,$B58,AC$5,$B$1)</f>
        <v>0</v>
      </c>
      <c r="AD58" s="55">
        <f>_xll.EQNXTDZ($A$1,$B58,AD$5,$B$1)</f>
        <v>880.59</v>
      </c>
      <c r="AE58" s="55">
        <f>_xll.EQNXTDZ($A$1,$B58,AE$5,$B$1)</f>
        <v>0</v>
      </c>
      <c r="AF58" s="55">
        <f>_xll.EQNXTDZ($A$1,$B58,AF$5,$B$1)</f>
        <v>937.09</v>
      </c>
      <c r="AG58" s="55">
        <f>_xll.EQNXTDZ($A$1,$B58,AG$5,$B$1)</f>
        <v>0</v>
      </c>
      <c r="AH58" s="55">
        <f>_xll.EQNXTDZ($A$1,$B58,AH$5,$B$1)</f>
        <v>1007.21</v>
      </c>
      <c r="AI58" s="55">
        <f>_xll.EQNXTDZ($A$1,$B58,AI$5,$B$1)</f>
        <v>0</v>
      </c>
      <c r="AJ58" s="55">
        <f>_xll.EQNXTDZ($A$1,$B58,AJ$5,$B$1)</f>
        <v>1029.8900000000001</v>
      </c>
      <c r="AK58" s="55">
        <f>_xll.EQNXTDZ($A$1,$B58,AK$5,$B$1)</f>
        <v>0</v>
      </c>
      <c r="AL58" s="55">
        <f>_xll.EQNXTDZ($A$1,$B58,AL$5,$B$1)</f>
        <v>1130.69</v>
      </c>
      <c r="AM58" s="55">
        <f>_xll.EQNXTDZ($A$1,$B58,AM$5,$B$1)</f>
        <v>0</v>
      </c>
      <c r="AN58" s="55">
        <f>_xll.EQNXTDZ($A$1,$B58,AN$5,$B$1)</f>
        <v>1198.94</v>
      </c>
      <c r="AO58" s="55">
        <f>_xll.EQNXTDZ($A$1,$B58,AO$5,$B$1)</f>
        <v>0</v>
      </c>
      <c r="AP58" s="55">
        <f>_xll.EQNXTDZ($A$1,$B58,AP$5,$B$1)</f>
        <v>1243.22</v>
      </c>
      <c r="AQ58" s="55">
        <f>_xll.EQNXTDZ($A$1,$B58,AQ$5,$B$1)</f>
        <v>0</v>
      </c>
      <c r="AR58" s="55">
        <f>_xll.EQNXTDZ($A$1,$B58,AR$5,$B$1)</f>
        <v>1392.65</v>
      </c>
      <c r="AS58" s="55">
        <f>_xll.EQNXTDZ($A$1,$B58,AS$5,$B$1)</f>
        <v>0</v>
      </c>
      <c r="AT58" s="55">
        <f>_xll.EQNXTDZ($A$1,$B58,AT$5,$B$1)</f>
        <v>1623.32</v>
      </c>
      <c r="AU58" s="55">
        <f>_xll.EQNXTDZ($A$1,$B58,AU$5,$B$1)</f>
        <v>0</v>
      </c>
      <c r="AV58" s="55">
        <f>_xll.EQNXTDZ($A$1,$B58,AV$5,$B$1)</f>
        <v>1759.14</v>
      </c>
      <c r="AW58" s="55">
        <f>_xll.EQNXTDZ($A$1,$B58,AW$5,$B$1)</f>
        <v>0</v>
      </c>
      <c r="AX58" s="55">
        <f>_xll.EQNXTDZ($A$1,$B58,AX$5,$B$1)</f>
        <v>1899.27</v>
      </c>
      <c r="AY58" s="55">
        <f>_xll.EQNXTDZ($A$1,$B58,AY$5,$B$1)</f>
        <v>0</v>
      </c>
      <c r="AZ58" s="55">
        <f>_xll.EQNXTDZ($A$1,$B58,AZ$5,$B$1)</f>
        <v>1952.74</v>
      </c>
      <c r="BA58" s="55">
        <f>_xll.EQNXTDZ($A$1,$B58,BA$5,$B$1)</f>
        <v>0</v>
      </c>
      <c r="BB58" s="55">
        <f>_xll.EQNXTDZ($A$1,$B58,BB$5,$B$1)</f>
        <v>1976.36</v>
      </c>
      <c r="BC58" s="55">
        <f>_xll.EQNXTDZ($A$1,$B58,BC$5,$B$1)</f>
        <v>0</v>
      </c>
      <c r="BD58" s="55">
        <f>_xll.EQNXTDZ($A$1,$B58,BD$5,$B$1)</f>
        <v>2004.04</v>
      </c>
      <c r="BE58" s="55">
        <f>_xll.EQNXTDZ($A$1,$B58,BE$5,$B$1)</f>
        <v>0</v>
      </c>
      <c r="BF58" s="55">
        <f>_xll.EQNXTDZ($A$1,$B58,BF$5,$B$1)</f>
        <v>2029.93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332.47</v>
      </c>
      <c r="E59" s="55">
        <f>_xll.EQNXTDZ($A$1,$B59,E$5,$B$1)</f>
        <v>0</v>
      </c>
      <c r="F59" s="55">
        <f>_xll.EQNXTDZ($A$1,$B59,F$5,$B$1)</f>
        <v>363.25</v>
      </c>
      <c r="G59" s="55">
        <f>_xll.EQNXTDZ($A$1,$B59,G$5,$B$1)</f>
        <v>0</v>
      </c>
      <c r="H59" s="55">
        <f>_xll.EQNXTDZ($A$1,$B59,H$5,$B$1)</f>
        <v>375.71</v>
      </c>
      <c r="I59" s="55">
        <f>_xll.EQNXTDZ($A$1,$B59,I$5,$B$1)</f>
        <v>0</v>
      </c>
      <c r="J59" s="55">
        <f>_xll.EQNXTDZ($A$1,$B59,J$5,$B$1)</f>
        <v>384.13</v>
      </c>
      <c r="K59" s="55">
        <f>_xll.EQNXTDZ($A$1,$B59,K$5,$B$1)</f>
        <v>0</v>
      </c>
      <c r="L59" s="55">
        <f>_xll.EQNXTDZ($A$1,$B59,L$5,$B$1)</f>
        <v>396.03</v>
      </c>
      <c r="M59" s="55">
        <f>_xll.EQNXTDZ($A$1,$B59,M$5,$B$1)</f>
        <v>0</v>
      </c>
      <c r="N59" s="55">
        <f>_xll.EQNXTDZ($A$1,$B59,N$5,$B$1)</f>
        <v>413.91</v>
      </c>
      <c r="O59" s="55">
        <f>_xll.EQNXTDZ($A$1,$B59,O$5,$B$1)</f>
        <v>0</v>
      </c>
      <c r="P59" s="55">
        <f>_xll.EQNXTDZ($A$1,$B59,P$5,$B$1)</f>
        <v>405.57</v>
      </c>
      <c r="Q59" s="55">
        <f>_xll.EQNXTDZ($A$1,$B59,Q$5,$B$1)</f>
        <v>0</v>
      </c>
      <c r="R59" s="55">
        <f>_xll.EQNXTDZ($A$1,$B59,R$5,$B$1)</f>
        <v>442.36</v>
      </c>
      <c r="S59" s="55">
        <f>_xll.EQNXTDZ($A$1,$B59,S$5,$B$1)</f>
        <v>0</v>
      </c>
      <c r="T59" s="55">
        <f>_xll.EQNXTDZ($A$1,$B59,T$5,$B$1)</f>
        <v>475.79</v>
      </c>
      <c r="U59" s="55">
        <f>_xll.EQNXTDZ($A$1,$B59,U$5,$B$1)</f>
        <v>0</v>
      </c>
      <c r="V59" s="55">
        <f>_xll.EQNXTDZ($A$1,$B59,V$5,$B$1)</f>
        <v>604.95000000000005</v>
      </c>
      <c r="W59" s="55">
        <f>_xll.EQNXTDZ($A$1,$B59,W$5,$B$1)</f>
        <v>0</v>
      </c>
      <c r="X59" s="55">
        <f>_xll.EQNXTDZ($A$1,$B59,X$5,$B$1)</f>
        <v>623.82000000000005</v>
      </c>
      <c r="Y59" s="55">
        <f>_xll.EQNXTDZ($A$1,$B59,Y$5,$B$1)</f>
        <v>0</v>
      </c>
      <c r="Z59" s="55">
        <f>_xll.EQNXTDZ($A$1,$B59,Z$5,$B$1)</f>
        <v>725.47</v>
      </c>
      <c r="AA59" s="55">
        <f>_xll.EQNXTDZ($A$1,$B59,AA$5,$B$1)</f>
        <v>0</v>
      </c>
      <c r="AB59" s="55">
        <f>_xll.EQNXTDZ($A$1,$B59,AB$5,$B$1)</f>
        <v>776.47</v>
      </c>
      <c r="AC59" s="55">
        <f>_xll.EQNXTDZ($A$1,$B59,AC$5,$B$1)</f>
        <v>0</v>
      </c>
      <c r="AD59" s="55">
        <f>_xll.EQNXTDZ($A$1,$B59,AD$5,$B$1)</f>
        <v>893.2</v>
      </c>
      <c r="AE59" s="55">
        <f>_xll.EQNXTDZ($A$1,$B59,AE$5,$B$1)</f>
        <v>0</v>
      </c>
      <c r="AF59" s="55">
        <f>_xll.EQNXTDZ($A$1,$B59,AF$5,$B$1)</f>
        <v>949.7</v>
      </c>
      <c r="AG59" s="55">
        <f>_xll.EQNXTDZ($A$1,$B59,AG$5,$B$1)</f>
        <v>0</v>
      </c>
      <c r="AH59" s="55">
        <f>_xll.EQNXTDZ($A$1,$B59,AH$5,$B$1)</f>
        <v>1019.25</v>
      </c>
      <c r="AI59" s="55">
        <f>_xll.EQNXTDZ($A$1,$B59,AI$5,$B$1)</f>
        <v>0</v>
      </c>
      <c r="AJ59" s="55">
        <f>_xll.EQNXTDZ($A$1,$B59,AJ$5,$B$1)</f>
        <v>1041.93</v>
      </c>
      <c r="AK59" s="55">
        <f>_xll.EQNXTDZ($A$1,$B59,AK$5,$B$1)</f>
        <v>0</v>
      </c>
      <c r="AL59" s="55">
        <f>_xll.EQNXTDZ($A$1,$B59,AL$5,$B$1)</f>
        <v>1142.73</v>
      </c>
      <c r="AM59" s="55">
        <f>_xll.EQNXTDZ($A$1,$B59,AM$5,$B$1)</f>
        <v>0</v>
      </c>
      <c r="AN59" s="55">
        <f>_xll.EQNXTDZ($A$1,$B59,AN$5,$B$1)</f>
        <v>1210.98</v>
      </c>
      <c r="AO59" s="55">
        <f>_xll.EQNXTDZ($A$1,$B59,AO$5,$B$1)</f>
        <v>0</v>
      </c>
      <c r="AP59" s="55">
        <f>_xll.EQNXTDZ($A$1,$B59,AP$5,$B$1)</f>
        <v>1255.26</v>
      </c>
      <c r="AQ59" s="55">
        <f>_xll.EQNXTDZ($A$1,$B59,AQ$5,$B$1)</f>
        <v>0</v>
      </c>
      <c r="AR59" s="55">
        <f>_xll.EQNXTDZ($A$1,$B59,AR$5,$B$1)</f>
        <v>1404.69</v>
      </c>
      <c r="AS59" s="55">
        <f>_xll.EQNXTDZ($A$1,$B59,AS$5,$B$1)</f>
        <v>0</v>
      </c>
      <c r="AT59" s="55">
        <f>_xll.EQNXTDZ($A$1,$B59,AT$5,$B$1)</f>
        <v>1635.36</v>
      </c>
      <c r="AU59" s="55">
        <f>_xll.EQNXTDZ($A$1,$B59,AU$5,$B$1)</f>
        <v>0</v>
      </c>
      <c r="AV59" s="55">
        <f>_xll.EQNXTDZ($A$1,$B59,AV$5,$B$1)</f>
        <v>1771.18</v>
      </c>
      <c r="AW59" s="55">
        <f>_xll.EQNXTDZ($A$1,$B59,AW$5,$B$1)</f>
        <v>0</v>
      </c>
      <c r="AX59" s="55">
        <f>_xll.EQNXTDZ($A$1,$B59,AX$5,$B$1)</f>
        <v>1911.31</v>
      </c>
      <c r="AY59" s="55">
        <f>_xll.EQNXTDZ($A$1,$B59,AY$5,$B$1)</f>
        <v>0</v>
      </c>
      <c r="AZ59" s="55">
        <f>_xll.EQNXTDZ($A$1,$B59,AZ$5,$B$1)</f>
        <v>1964.78</v>
      </c>
      <c r="BA59" s="55">
        <f>_xll.EQNXTDZ($A$1,$B59,BA$5,$B$1)</f>
        <v>0</v>
      </c>
      <c r="BB59" s="55">
        <f>_xll.EQNXTDZ($A$1,$B59,BB$5,$B$1)</f>
        <v>1988.4</v>
      </c>
      <c r="BC59" s="55">
        <f>_xll.EQNXTDZ($A$1,$B59,BC$5,$B$1)</f>
        <v>0</v>
      </c>
      <c r="BD59" s="55">
        <f>_xll.EQNXTDZ($A$1,$B59,BD$5,$B$1)</f>
        <v>2016.08</v>
      </c>
      <c r="BE59" s="55">
        <f>_xll.EQNXTDZ($A$1,$B59,BE$5,$B$1)</f>
        <v>0</v>
      </c>
      <c r="BF59" s="55">
        <f>_xll.EQNXTDZ($A$1,$B59,BF$5,$B$1)</f>
        <v>2041.97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59.05</v>
      </c>
      <c r="E61" s="55">
        <f>_xll.EQNXTDZ($A$1,$B61,E$5,$B$1)</f>
        <v>0</v>
      </c>
      <c r="F61" s="55">
        <f>_xll.EQNXTDZ($A$1,$B61,F$5,$B$1)</f>
        <v>194.69</v>
      </c>
      <c r="G61" s="55">
        <f>_xll.EQNXTDZ($A$1,$B61,G$5,$B$1)</f>
        <v>0</v>
      </c>
      <c r="H61" s="55">
        <f>_xll.EQNXTDZ($A$1,$B61,H$5,$B$1)</f>
        <v>183.27</v>
      </c>
      <c r="I61" s="55">
        <f>_xll.EQNXTDZ($A$1,$B61,I$5,$B$1)</f>
        <v>0</v>
      </c>
      <c r="J61" s="55">
        <f>_xll.EQNXTDZ($A$1,$B61,J$5,$B$1)</f>
        <v>193.11</v>
      </c>
      <c r="K61" s="55">
        <f>_xll.EQNXTDZ($A$1,$B61,K$5,$B$1)</f>
        <v>0</v>
      </c>
      <c r="L61" s="55">
        <f>_xll.EQNXTDZ($A$1,$B61,L$5,$B$1)</f>
        <v>174.71</v>
      </c>
      <c r="M61" s="55">
        <f>_xll.EQNXTDZ($A$1,$B61,M$5,$B$1)</f>
        <v>0</v>
      </c>
      <c r="N61" s="55">
        <f>_xll.EQNXTDZ($A$1,$B61,N$5,$B$1)</f>
        <v>157.58000000000001</v>
      </c>
      <c r="O61" s="55">
        <f>_xll.EQNXTDZ($A$1,$B61,O$5,$B$1)</f>
        <v>0</v>
      </c>
      <c r="P61" s="55">
        <f>_xll.EQNXTDZ($A$1,$B61,P$5,$B$1)</f>
        <v>161.19999999999999</v>
      </c>
      <c r="Q61" s="55">
        <f>_xll.EQNXTDZ($A$1,$B61,Q$5,$B$1)</f>
        <v>0</v>
      </c>
      <c r="R61" s="55">
        <f>_xll.EQNXTDZ($A$1,$B61,R$5,$B$1)</f>
        <v>157.44</v>
      </c>
      <c r="S61" s="55">
        <f>_xll.EQNXTDZ($A$1,$B61,S$5,$B$1)</f>
        <v>0</v>
      </c>
      <c r="T61" s="55">
        <f>_xll.EQNXTDZ($A$1,$B61,T$5,$B$1)</f>
        <v>154.91999999999999</v>
      </c>
      <c r="U61" s="55">
        <f>_xll.EQNXTDZ($A$1,$B61,U$5,$B$1)</f>
        <v>0</v>
      </c>
      <c r="V61" s="55">
        <f>_xll.EQNXTDZ($A$1,$B61,V$5,$B$1)</f>
        <v>116.84</v>
      </c>
      <c r="W61" s="55">
        <f>_xll.EQNXTDZ($A$1,$B61,W$5,$B$1)</f>
        <v>0</v>
      </c>
      <c r="X61" s="55">
        <f>_xll.EQNXTDZ($A$1,$B61,X$5,$B$1)</f>
        <v>117.87</v>
      </c>
      <c r="Y61" s="55">
        <f>_xll.EQNXTDZ($A$1,$B61,Y$5,$B$1)</f>
        <v>0</v>
      </c>
      <c r="Z61" s="55">
        <f>_xll.EQNXTDZ($A$1,$B61,Z$5,$B$1)</f>
        <v>91.8</v>
      </c>
      <c r="AA61" s="55">
        <f>_xll.EQNXTDZ($A$1,$B61,AA$5,$B$1)</f>
        <v>0</v>
      </c>
      <c r="AB61" s="55">
        <f>_xll.EQNXTDZ($A$1,$B61,AB$5,$B$1)</f>
        <v>62.43</v>
      </c>
      <c r="AC61" s="55">
        <f>_xll.EQNXTDZ($A$1,$B61,AC$5,$B$1)</f>
        <v>0</v>
      </c>
      <c r="AD61" s="55">
        <f>_xll.EQNXTDZ($A$1,$B61,AD$5,$B$1)</f>
        <v>51.48</v>
      </c>
      <c r="AE61" s="55">
        <f>_xll.EQNXTDZ($A$1,$B61,AE$5,$B$1)</f>
        <v>0</v>
      </c>
      <c r="AF61" s="55">
        <f>_xll.EQNXTDZ($A$1,$B61,AF$5,$B$1)</f>
        <v>32.75</v>
      </c>
      <c r="AG61" s="55">
        <f>_xll.EQNXTDZ($A$1,$B61,AG$5,$B$1)</f>
        <v>0</v>
      </c>
      <c r="AH61" s="55">
        <f>_xll.EQNXTDZ($A$1,$B61,AH$5,$B$1)</f>
        <v>6.63</v>
      </c>
      <c r="AI61" s="55">
        <f>_xll.EQNXTDZ($A$1,$B61,AI$5,$B$1)</f>
        <v>0</v>
      </c>
      <c r="AJ61" s="55">
        <f>_xll.EQNXTDZ($A$1,$B61,AJ$5,$B$1)</f>
        <v>6.28</v>
      </c>
      <c r="AK61" s="55">
        <f>_xll.EQNXTDZ($A$1,$B61,AK$5,$B$1)</f>
        <v>0</v>
      </c>
      <c r="AL61" s="55">
        <f>_xll.EQNXTDZ($A$1,$B61,AL$5,$B$1)</f>
        <v>3.49</v>
      </c>
      <c r="AM61" s="55">
        <f>_xll.EQNXTDZ($A$1,$B61,AM$5,$B$1)</f>
        <v>0</v>
      </c>
      <c r="AN61" s="55">
        <f>_xll.EQNXTDZ($A$1,$B61,AN$5,$B$1)</f>
        <v>3.04</v>
      </c>
      <c r="AO61" s="55">
        <f>_xll.EQNXTDZ($A$1,$B61,AO$5,$B$1)</f>
        <v>0</v>
      </c>
      <c r="AP61" s="55">
        <f>_xll.EQNXTDZ($A$1,$B61,AP$5,$B$1)</f>
        <v>0.54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59.05</v>
      </c>
      <c r="E63" s="55">
        <f>_xll.EQNXTDZ($A$1,$B63,E$5,$B$1)</f>
        <v>0</v>
      </c>
      <c r="F63" s="55">
        <f>_xll.EQNXTDZ($A$1,$B63,F$5,$B$1)</f>
        <v>194.69</v>
      </c>
      <c r="G63" s="55">
        <f>_xll.EQNXTDZ($A$1,$B63,G$5,$B$1)</f>
        <v>0</v>
      </c>
      <c r="H63" s="55">
        <f>_xll.EQNXTDZ($A$1,$B63,H$5,$B$1)</f>
        <v>183.27</v>
      </c>
      <c r="I63" s="55">
        <f>_xll.EQNXTDZ($A$1,$B63,I$5,$B$1)</f>
        <v>0</v>
      </c>
      <c r="J63" s="55">
        <f>_xll.EQNXTDZ($A$1,$B63,J$5,$B$1)</f>
        <v>193.11</v>
      </c>
      <c r="K63" s="55">
        <f>_xll.EQNXTDZ($A$1,$B63,K$5,$B$1)</f>
        <v>0</v>
      </c>
      <c r="L63" s="55">
        <f>_xll.EQNXTDZ($A$1,$B63,L$5,$B$1)</f>
        <v>174.71</v>
      </c>
      <c r="M63" s="55">
        <f>_xll.EQNXTDZ($A$1,$B63,M$5,$B$1)</f>
        <v>0</v>
      </c>
      <c r="N63" s="55">
        <f>_xll.EQNXTDZ($A$1,$B63,N$5,$B$1)</f>
        <v>157.58000000000001</v>
      </c>
      <c r="O63" s="55">
        <f>_xll.EQNXTDZ($A$1,$B63,O$5,$B$1)</f>
        <v>0</v>
      </c>
      <c r="P63" s="55">
        <f>_xll.EQNXTDZ($A$1,$B63,P$5,$B$1)</f>
        <v>161.19999999999999</v>
      </c>
      <c r="Q63" s="55">
        <f>_xll.EQNXTDZ($A$1,$B63,Q$5,$B$1)</f>
        <v>0</v>
      </c>
      <c r="R63" s="55">
        <f>_xll.EQNXTDZ($A$1,$B63,R$5,$B$1)</f>
        <v>157.44</v>
      </c>
      <c r="S63" s="55">
        <f>_xll.EQNXTDZ($A$1,$B63,S$5,$B$1)</f>
        <v>0</v>
      </c>
      <c r="T63" s="55">
        <f>_xll.EQNXTDZ($A$1,$B63,T$5,$B$1)</f>
        <v>154.91999999999999</v>
      </c>
      <c r="U63" s="55">
        <f>_xll.EQNXTDZ($A$1,$B63,U$5,$B$1)</f>
        <v>0</v>
      </c>
      <c r="V63" s="55">
        <f>_xll.EQNXTDZ($A$1,$B63,V$5,$B$1)</f>
        <v>116.84</v>
      </c>
      <c r="W63" s="55">
        <f>_xll.EQNXTDZ($A$1,$B63,W$5,$B$1)</f>
        <v>0</v>
      </c>
      <c r="X63" s="55">
        <f>_xll.EQNXTDZ($A$1,$B63,X$5,$B$1)</f>
        <v>117.87</v>
      </c>
      <c r="Y63" s="55">
        <f>_xll.EQNXTDZ($A$1,$B63,Y$5,$B$1)</f>
        <v>0</v>
      </c>
      <c r="Z63" s="55">
        <f>_xll.EQNXTDZ($A$1,$B63,Z$5,$B$1)</f>
        <v>91.8</v>
      </c>
      <c r="AA63" s="55">
        <f>_xll.EQNXTDZ($A$1,$B63,AA$5,$B$1)</f>
        <v>0</v>
      </c>
      <c r="AB63" s="55">
        <f>_xll.EQNXTDZ($A$1,$B63,AB$5,$B$1)</f>
        <v>62.43</v>
      </c>
      <c r="AC63" s="55">
        <f>_xll.EQNXTDZ($A$1,$B63,AC$5,$B$1)</f>
        <v>0</v>
      </c>
      <c r="AD63" s="55">
        <f>_xll.EQNXTDZ($A$1,$B63,AD$5,$B$1)</f>
        <v>51.48</v>
      </c>
      <c r="AE63" s="55">
        <f>_xll.EQNXTDZ($A$1,$B63,AE$5,$B$1)</f>
        <v>0</v>
      </c>
      <c r="AF63" s="55">
        <f>_xll.EQNXTDZ($A$1,$B63,AF$5,$B$1)</f>
        <v>32.75</v>
      </c>
      <c r="AG63" s="55">
        <f>_xll.EQNXTDZ($A$1,$B63,AG$5,$B$1)</f>
        <v>0</v>
      </c>
      <c r="AH63" s="55">
        <f>_xll.EQNXTDZ($A$1,$B63,AH$5,$B$1)</f>
        <v>6.63</v>
      </c>
      <c r="AI63" s="55">
        <f>_xll.EQNXTDZ($A$1,$B63,AI$5,$B$1)</f>
        <v>0</v>
      </c>
      <c r="AJ63" s="55">
        <f>_xll.EQNXTDZ($A$1,$B63,AJ$5,$B$1)</f>
        <v>6.28</v>
      </c>
      <c r="AK63" s="55">
        <f>_xll.EQNXTDZ($A$1,$B63,AK$5,$B$1)</f>
        <v>0</v>
      </c>
      <c r="AL63" s="55">
        <f>_xll.EQNXTDZ($A$1,$B63,AL$5,$B$1)</f>
        <v>3.49</v>
      </c>
      <c r="AM63" s="55">
        <f>_xll.EQNXTDZ($A$1,$B63,AM$5,$B$1)</f>
        <v>0</v>
      </c>
      <c r="AN63" s="55">
        <f>_xll.EQNXTDZ($A$1,$B63,AN$5,$B$1)</f>
        <v>3.04</v>
      </c>
      <c r="AO63" s="55">
        <f>_xll.EQNXTDZ($A$1,$B63,AO$5,$B$1)</f>
        <v>0</v>
      </c>
      <c r="AP63" s="55">
        <f>_xll.EQNXTDZ($A$1,$B63,AP$5,$B$1)</f>
        <v>0.54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10.220000000000001</v>
      </c>
      <c r="E64" s="55">
        <f>_xll.EQNXTDZ($A$1,$B64,E$5,$B$1)</f>
        <v>0</v>
      </c>
      <c r="F64" s="55">
        <f>_xll.EQNXTDZ($A$1,$B64,F$5,$B$1)</f>
        <v>13.42</v>
      </c>
      <c r="G64" s="55">
        <f>_xll.EQNXTDZ($A$1,$B64,G$5,$B$1)</f>
        <v>0</v>
      </c>
      <c r="H64" s="55">
        <f>_xll.EQNXTDZ($A$1,$B64,H$5,$B$1)</f>
        <v>13.59</v>
      </c>
      <c r="I64" s="55">
        <f>_xll.EQNXTDZ($A$1,$B64,I$5,$B$1)</f>
        <v>0</v>
      </c>
      <c r="J64" s="55">
        <f>_xll.EQNXTDZ($A$1,$B64,J$5,$B$1)</f>
        <v>14.64</v>
      </c>
      <c r="K64" s="55">
        <f>_xll.EQNXTDZ($A$1,$B64,K$5,$B$1)</f>
        <v>0</v>
      </c>
      <c r="L64" s="55">
        <f>_xll.EQNXTDZ($A$1,$B64,L$5,$B$1)</f>
        <v>15.21</v>
      </c>
      <c r="M64" s="55">
        <f>_xll.EQNXTDZ($A$1,$B64,M$5,$B$1)</f>
        <v>0</v>
      </c>
      <c r="N64" s="55">
        <f>_xll.EQNXTDZ($A$1,$B64,N$5,$B$1)</f>
        <v>15.52</v>
      </c>
      <c r="O64" s="55">
        <f>_xll.EQNXTDZ($A$1,$B64,O$5,$B$1)</f>
        <v>0</v>
      </c>
      <c r="P64" s="55">
        <f>_xll.EQNXTDZ($A$1,$B64,P$5,$B$1)</f>
        <v>14.87</v>
      </c>
      <c r="Q64" s="55">
        <f>_xll.EQNXTDZ($A$1,$B64,Q$5,$B$1)</f>
        <v>0</v>
      </c>
      <c r="R64" s="55">
        <f>_xll.EQNXTDZ($A$1,$B64,R$5,$B$1)</f>
        <v>14.79</v>
      </c>
      <c r="S64" s="55">
        <f>_xll.EQNXTDZ($A$1,$B64,S$5,$B$1)</f>
        <v>0</v>
      </c>
      <c r="T64" s="55">
        <f>_xll.EQNXTDZ($A$1,$B64,T$5,$B$1)</f>
        <v>14.75</v>
      </c>
      <c r="U64" s="55">
        <f>_xll.EQNXTDZ($A$1,$B64,U$5,$B$1)</f>
        <v>0</v>
      </c>
      <c r="V64" s="55">
        <f>_xll.EQNXTDZ($A$1,$B64,V$5,$B$1)</f>
        <v>20.78</v>
      </c>
      <c r="W64" s="55">
        <f>_xll.EQNXTDZ($A$1,$B64,W$5,$B$1)</f>
        <v>0</v>
      </c>
      <c r="X64" s="55">
        <f>_xll.EQNXTDZ($A$1,$B64,X$5,$B$1)</f>
        <v>15.37</v>
      </c>
      <c r="Y64" s="55">
        <f>_xll.EQNXTDZ($A$1,$B64,Y$5,$B$1)</f>
        <v>0</v>
      </c>
      <c r="Z64" s="55">
        <f>_xll.EQNXTDZ($A$1,$B64,Z$5,$B$1)</f>
        <v>20.39</v>
      </c>
      <c r="AA64" s="55">
        <f>_xll.EQNXTDZ($A$1,$B64,AA$5,$B$1)</f>
        <v>0</v>
      </c>
      <c r="AB64" s="55">
        <f>_xll.EQNXTDZ($A$1,$B64,AB$5,$B$1)</f>
        <v>20.38</v>
      </c>
      <c r="AC64" s="55">
        <f>_xll.EQNXTDZ($A$1,$B64,AC$5,$B$1)</f>
        <v>0</v>
      </c>
      <c r="AD64" s="55">
        <f>_xll.EQNXTDZ($A$1,$B64,AD$5,$B$1)</f>
        <v>20.29</v>
      </c>
      <c r="AE64" s="55">
        <f>_xll.EQNXTDZ($A$1,$B64,AE$5,$B$1)</f>
        <v>0</v>
      </c>
      <c r="AF64" s="55">
        <f>_xll.EQNXTDZ($A$1,$B64,AF$5,$B$1)</f>
        <v>20.04</v>
      </c>
      <c r="AG64" s="55">
        <f>_xll.EQNXTDZ($A$1,$B64,AG$5,$B$1)</f>
        <v>0</v>
      </c>
      <c r="AH64" s="55">
        <f>_xll.EQNXTDZ($A$1,$B64,AH$5,$B$1)</f>
        <v>19.399999999999999</v>
      </c>
      <c r="AI64" s="55">
        <f>_xll.EQNXTDZ($A$1,$B64,AI$5,$B$1)</f>
        <v>0</v>
      </c>
      <c r="AJ64" s="55">
        <f>_xll.EQNXTDZ($A$1,$B64,AJ$5,$B$1)</f>
        <v>18.059999999999999</v>
      </c>
      <c r="AK64" s="55">
        <f>_xll.EQNXTDZ($A$1,$B64,AK$5,$B$1)</f>
        <v>0</v>
      </c>
      <c r="AL64" s="55">
        <f>_xll.EQNXTDZ($A$1,$B64,AL$5,$B$1)</f>
        <v>16.88</v>
      </c>
      <c r="AM64" s="55">
        <f>_xll.EQNXTDZ($A$1,$B64,AM$5,$B$1)</f>
        <v>0</v>
      </c>
      <c r="AN64" s="55">
        <f>_xll.EQNXTDZ($A$1,$B64,AN$5,$B$1)</f>
        <v>16.32</v>
      </c>
      <c r="AO64" s="55">
        <f>_xll.EQNXTDZ($A$1,$B64,AO$5,$B$1)</f>
        <v>0</v>
      </c>
      <c r="AP64" s="55">
        <f>_xll.EQNXTDZ($A$1,$B64,AP$5,$B$1)</f>
        <v>15.55</v>
      </c>
      <c r="AQ64" s="55">
        <f>_xll.EQNXTDZ($A$1,$B64,AQ$5,$B$1)</f>
        <v>0</v>
      </c>
      <c r="AR64" s="55">
        <f>_xll.EQNXTDZ($A$1,$B64,AR$5,$B$1)</f>
        <v>15.83</v>
      </c>
      <c r="AS64" s="55">
        <f>_xll.EQNXTDZ($A$1,$B64,AS$5,$B$1)</f>
        <v>0</v>
      </c>
      <c r="AT64" s="55">
        <f>_xll.EQNXTDZ($A$1,$B64,AT$5,$B$1)</f>
        <v>16.690000000000001</v>
      </c>
      <c r="AU64" s="55">
        <f>_xll.EQNXTDZ($A$1,$B64,AU$5,$B$1)</f>
        <v>0</v>
      </c>
      <c r="AV64" s="55">
        <f>_xll.EQNXTDZ($A$1,$B64,AV$5,$B$1)</f>
        <v>16.649999999999999</v>
      </c>
      <c r="AW64" s="55">
        <f>_xll.EQNXTDZ($A$1,$B64,AW$5,$B$1)</f>
        <v>0</v>
      </c>
      <c r="AX64" s="55">
        <f>_xll.EQNXTDZ($A$1,$B64,AX$5,$B$1)</f>
        <v>17.600000000000001</v>
      </c>
      <c r="AY64" s="55">
        <f>_xll.EQNXTDZ($A$1,$B64,AY$5,$B$1)</f>
        <v>0</v>
      </c>
      <c r="AZ64" s="55">
        <f>_xll.EQNXTDZ($A$1,$B64,AZ$5,$B$1)</f>
        <v>16.5</v>
      </c>
      <c r="BA64" s="55">
        <f>_xll.EQNXTDZ($A$1,$B64,BA$5,$B$1)</f>
        <v>0</v>
      </c>
      <c r="BB64" s="55">
        <f>_xll.EQNXTDZ($A$1,$B64,BB$5,$B$1)</f>
        <v>16.88</v>
      </c>
      <c r="BC64" s="55">
        <f>_xll.EQNXTDZ($A$1,$B64,BC$5,$B$1)</f>
        <v>0</v>
      </c>
      <c r="BD64" s="55">
        <f>_xll.EQNXTDZ($A$1,$B64,BD$5,$B$1)</f>
        <v>17.239999999999998</v>
      </c>
      <c r="BE64" s="55">
        <f>_xll.EQNXTDZ($A$1,$B64,BE$5,$B$1)</f>
        <v>0</v>
      </c>
      <c r="BF64" s="55">
        <f>_xll.EQNXTDZ($A$1,$B64,BF$5,$B$1)</f>
        <v>15.67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9.2799999999999994</v>
      </c>
      <c r="E66" s="55">
        <f>_xll.EQNXTDZ($A$1,$B66,E$5,$B$1)</f>
        <v>0</v>
      </c>
      <c r="F66" s="55">
        <f>_xll.EQNXTDZ($A$1,$B66,F$5,$B$1)</f>
        <v>14.77</v>
      </c>
      <c r="G66" s="55">
        <f>_xll.EQNXTDZ($A$1,$B66,G$5,$B$1)</f>
        <v>0</v>
      </c>
      <c r="H66" s="55">
        <f>_xll.EQNXTDZ($A$1,$B66,H$5,$B$1)</f>
        <v>16.239999999999998</v>
      </c>
      <c r="I66" s="55">
        <f>_xll.EQNXTDZ($A$1,$B66,I$5,$B$1)</f>
        <v>0</v>
      </c>
      <c r="J66" s="55">
        <f>_xll.EQNXTDZ($A$1,$B66,J$5,$B$1)</f>
        <v>11.19</v>
      </c>
      <c r="K66" s="55">
        <f>_xll.EQNXTDZ($A$1,$B66,K$5,$B$1)</f>
        <v>0</v>
      </c>
      <c r="L66" s="55">
        <f>_xll.EQNXTDZ($A$1,$B66,L$5,$B$1)</f>
        <v>15.16</v>
      </c>
      <c r="M66" s="55">
        <f>_xll.EQNXTDZ($A$1,$B66,M$5,$B$1)</f>
        <v>0</v>
      </c>
      <c r="N66" s="55">
        <f>_xll.EQNXTDZ($A$1,$B66,N$5,$B$1)</f>
        <v>9.8699999999999992</v>
      </c>
      <c r="O66" s="55">
        <f>_xll.EQNXTDZ($A$1,$B66,O$5,$B$1)</f>
        <v>0</v>
      </c>
      <c r="P66" s="55">
        <f>_xll.EQNXTDZ($A$1,$B66,P$5,$B$1)</f>
        <v>9.7100000000000009</v>
      </c>
      <c r="Q66" s="55">
        <f>_xll.EQNXTDZ($A$1,$B66,Q$5,$B$1)</f>
        <v>0</v>
      </c>
      <c r="R66" s="55">
        <f>_xll.EQNXTDZ($A$1,$B66,R$5,$B$1)</f>
        <v>9.99</v>
      </c>
      <c r="S66" s="55">
        <f>_xll.EQNXTDZ($A$1,$B66,S$5,$B$1)</f>
        <v>0</v>
      </c>
      <c r="T66" s="55">
        <f>_xll.EQNXTDZ($A$1,$B66,T$5,$B$1)</f>
        <v>10.45</v>
      </c>
      <c r="U66" s="55">
        <f>_xll.EQNXTDZ($A$1,$B66,U$5,$B$1)</f>
        <v>0</v>
      </c>
      <c r="V66" s="55">
        <f>_xll.EQNXTDZ($A$1,$B66,V$5,$B$1)</f>
        <v>10.78</v>
      </c>
      <c r="W66" s="55">
        <f>_xll.EQNXTDZ($A$1,$B66,W$5,$B$1)</f>
        <v>0</v>
      </c>
      <c r="X66" s="55">
        <f>_xll.EQNXTDZ($A$1,$B66,X$5,$B$1)</f>
        <v>12.83</v>
      </c>
      <c r="Y66" s="55">
        <f>_xll.EQNXTDZ($A$1,$B66,Y$5,$B$1)</f>
        <v>0</v>
      </c>
      <c r="Z66" s="55">
        <f>_xll.EQNXTDZ($A$1,$B66,Z$5,$B$1)</f>
        <v>16.55</v>
      </c>
      <c r="AA66" s="55">
        <f>_xll.EQNXTDZ($A$1,$B66,AA$5,$B$1)</f>
        <v>0</v>
      </c>
      <c r="AB66" s="55">
        <f>_xll.EQNXTDZ($A$1,$B66,AB$5,$B$1)</f>
        <v>17.8</v>
      </c>
      <c r="AC66" s="55">
        <f>_xll.EQNXTDZ($A$1,$B66,AC$5,$B$1)</f>
        <v>0</v>
      </c>
      <c r="AD66" s="55">
        <f>_xll.EQNXTDZ($A$1,$B66,AD$5,$B$1)</f>
        <v>17.920000000000002</v>
      </c>
      <c r="AE66" s="55">
        <f>_xll.EQNXTDZ($A$1,$B66,AE$5,$B$1)</f>
        <v>0</v>
      </c>
      <c r="AF66" s="55">
        <f>_xll.EQNXTDZ($A$1,$B66,AF$5,$B$1)</f>
        <v>18.329999999999998</v>
      </c>
      <c r="AG66" s="55">
        <f>_xll.EQNXTDZ($A$1,$B66,AG$5,$B$1)</f>
        <v>0</v>
      </c>
      <c r="AH66" s="55">
        <f>_xll.EQNXTDZ($A$1,$B66,AH$5,$B$1)</f>
        <v>20.170000000000002</v>
      </c>
      <c r="AI66" s="55">
        <f>_xll.EQNXTDZ($A$1,$B66,AI$5,$B$1)</f>
        <v>0</v>
      </c>
      <c r="AJ66" s="55">
        <f>_xll.EQNXTDZ($A$1,$B66,AJ$5,$B$1)</f>
        <v>20.52</v>
      </c>
      <c r="AK66" s="55">
        <f>_xll.EQNXTDZ($A$1,$B66,AK$5,$B$1)</f>
        <v>0</v>
      </c>
      <c r="AL66" s="55">
        <f>_xll.EQNXTDZ($A$1,$B66,AL$5,$B$1)</f>
        <v>16.64</v>
      </c>
      <c r="AM66" s="55">
        <f>_xll.EQNXTDZ($A$1,$B66,AM$5,$B$1)</f>
        <v>0</v>
      </c>
      <c r="AN66" s="55">
        <f>_xll.EQNXTDZ($A$1,$B66,AN$5,$B$1)</f>
        <v>16.649999999999999</v>
      </c>
      <c r="AO66" s="55">
        <f>_xll.EQNXTDZ($A$1,$B66,AO$5,$B$1)</f>
        <v>0</v>
      </c>
      <c r="AP66" s="55">
        <f>_xll.EQNXTDZ($A$1,$B66,AP$5,$B$1)</f>
        <v>18.600000000000001</v>
      </c>
      <c r="AQ66" s="55">
        <f>_xll.EQNXTDZ($A$1,$B66,AQ$5,$B$1)</f>
        <v>0</v>
      </c>
      <c r="AR66" s="55">
        <f>_xll.EQNXTDZ($A$1,$B66,AR$5,$B$1)</f>
        <v>18.86</v>
      </c>
      <c r="AS66" s="55">
        <f>_xll.EQNXTDZ($A$1,$B66,AS$5,$B$1)</f>
        <v>0</v>
      </c>
      <c r="AT66" s="55">
        <f>_xll.EQNXTDZ($A$1,$B66,AT$5,$B$1)</f>
        <v>21.88</v>
      </c>
      <c r="AU66" s="55">
        <f>_xll.EQNXTDZ($A$1,$B66,AU$5,$B$1)</f>
        <v>0</v>
      </c>
      <c r="AV66" s="55">
        <f>_xll.EQNXTDZ($A$1,$B66,AV$5,$B$1)</f>
        <v>21.87</v>
      </c>
      <c r="AW66" s="55">
        <f>_xll.EQNXTDZ($A$1,$B66,AW$5,$B$1)</f>
        <v>0</v>
      </c>
      <c r="AX66" s="55">
        <f>_xll.EQNXTDZ($A$1,$B66,AX$5,$B$1)</f>
        <v>20.32</v>
      </c>
      <c r="AY66" s="55">
        <f>_xll.EQNXTDZ($A$1,$B66,AY$5,$B$1)</f>
        <v>0</v>
      </c>
      <c r="AZ66" s="55">
        <f>_xll.EQNXTDZ($A$1,$B66,AZ$5,$B$1)</f>
        <v>20.32</v>
      </c>
      <c r="BA66" s="55">
        <f>_xll.EQNXTDZ($A$1,$B66,BA$5,$B$1)</f>
        <v>0</v>
      </c>
      <c r="BB66" s="55">
        <f>_xll.EQNXTDZ($A$1,$B66,BB$5,$B$1)</f>
        <v>21.68</v>
      </c>
      <c r="BC66" s="55">
        <f>_xll.EQNXTDZ($A$1,$B66,BC$5,$B$1)</f>
        <v>0</v>
      </c>
      <c r="BD66" s="55">
        <f>_xll.EQNXTDZ($A$1,$B66,BD$5,$B$1)</f>
        <v>21.68</v>
      </c>
      <c r="BE66" s="55">
        <f>_xll.EQNXTDZ($A$1,$B66,BE$5,$B$1)</f>
        <v>0</v>
      </c>
      <c r="BF66" s="55">
        <f>_xll.EQNXTDZ($A$1,$B66,BF$5,$B$1)</f>
        <v>22.55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411.02</v>
      </c>
      <c r="E67" s="55">
        <f>_xll.EQNXTDZ($A$1,$B67,E$5,$B$1)</f>
        <v>0</v>
      </c>
      <c r="F67" s="55">
        <f>_xll.EQNXTDZ($A$1,$B67,F$5,$B$1)</f>
        <v>586.13</v>
      </c>
      <c r="G67" s="55">
        <f>_xll.EQNXTDZ($A$1,$B67,G$5,$B$1)</f>
        <v>0</v>
      </c>
      <c r="H67" s="55">
        <f>_xll.EQNXTDZ($A$1,$B67,H$5,$B$1)</f>
        <v>588.80999999999995</v>
      </c>
      <c r="I67" s="55">
        <f>_xll.EQNXTDZ($A$1,$B67,I$5,$B$1)</f>
        <v>0</v>
      </c>
      <c r="J67" s="55">
        <f>_xll.EQNXTDZ($A$1,$B67,J$5,$B$1)</f>
        <v>603.07000000000005</v>
      </c>
      <c r="K67" s="55">
        <f>_xll.EQNXTDZ($A$1,$B67,K$5,$B$1)</f>
        <v>0</v>
      </c>
      <c r="L67" s="55">
        <f>_xll.EQNXTDZ($A$1,$B67,L$5,$B$1)</f>
        <v>601.11</v>
      </c>
      <c r="M67" s="55">
        <f>_xll.EQNXTDZ($A$1,$B67,M$5,$B$1)</f>
        <v>0</v>
      </c>
      <c r="N67" s="55">
        <f>_xll.EQNXTDZ($A$1,$B67,N$5,$B$1)</f>
        <v>596.88</v>
      </c>
      <c r="O67" s="55">
        <f>_xll.EQNXTDZ($A$1,$B67,O$5,$B$1)</f>
        <v>0</v>
      </c>
      <c r="P67" s="55">
        <f>_xll.EQNXTDZ($A$1,$B67,P$5,$B$1)</f>
        <v>591.35</v>
      </c>
      <c r="Q67" s="55">
        <f>_xll.EQNXTDZ($A$1,$B67,Q$5,$B$1)</f>
        <v>0</v>
      </c>
      <c r="R67" s="55">
        <f>_xll.EQNXTDZ($A$1,$B67,R$5,$B$1)</f>
        <v>624.58000000000004</v>
      </c>
      <c r="S67" s="55">
        <f>_xll.EQNXTDZ($A$1,$B67,S$5,$B$1)</f>
        <v>0</v>
      </c>
      <c r="T67" s="55">
        <f>_xll.EQNXTDZ($A$1,$B67,T$5,$B$1)</f>
        <v>655.91</v>
      </c>
      <c r="U67" s="55">
        <f>_xll.EQNXTDZ($A$1,$B67,U$5,$B$1)</f>
        <v>0</v>
      </c>
      <c r="V67" s="55">
        <f>_xll.EQNXTDZ($A$1,$B67,V$5,$B$1)</f>
        <v>753.35</v>
      </c>
      <c r="W67" s="55">
        <f>_xll.EQNXTDZ($A$1,$B67,W$5,$B$1)</f>
        <v>0</v>
      </c>
      <c r="X67" s="55">
        <f>_xll.EQNXTDZ($A$1,$B67,X$5,$B$1)</f>
        <v>769.89</v>
      </c>
      <c r="Y67" s="55">
        <f>_xll.EQNXTDZ($A$1,$B67,Y$5,$B$1)</f>
        <v>0</v>
      </c>
      <c r="Z67" s="55">
        <f>_xll.EQNXTDZ($A$1,$B67,Z$5,$B$1)</f>
        <v>854.21</v>
      </c>
      <c r="AA67" s="55">
        <f>_xll.EQNXTDZ($A$1,$B67,AA$5,$B$1)</f>
        <v>0</v>
      </c>
      <c r="AB67" s="55">
        <f>_xll.EQNXTDZ($A$1,$B67,AB$5,$B$1)</f>
        <v>877.08</v>
      </c>
      <c r="AC67" s="55">
        <f>_xll.EQNXTDZ($A$1,$B67,AC$5,$B$1)</f>
        <v>0</v>
      </c>
      <c r="AD67" s="55">
        <f>_xll.EQNXTDZ($A$1,$B67,AD$5,$B$1)</f>
        <v>982.89</v>
      </c>
      <c r="AE67" s="55">
        <f>_xll.EQNXTDZ($A$1,$B67,AE$5,$B$1)</f>
        <v>0</v>
      </c>
      <c r="AF67" s="55">
        <f>_xll.EQNXTDZ($A$1,$B67,AF$5,$B$1)</f>
        <v>1020.82</v>
      </c>
      <c r="AG67" s="55">
        <f>_xll.EQNXTDZ($A$1,$B67,AG$5,$B$1)</f>
        <v>0</v>
      </c>
      <c r="AH67" s="55">
        <f>_xll.EQNXTDZ($A$1,$B67,AH$5,$B$1)</f>
        <v>1065.45</v>
      </c>
      <c r="AI67" s="55">
        <f>_xll.EQNXTDZ($A$1,$B67,AI$5,$B$1)</f>
        <v>0</v>
      </c>
      <c r="AJ67" s="55">
        <f>_xll.EQNXTDZ($A$1,$B67,AJ$5,$B$1)</f>
        <v>1086.79</v>
      </c>
      <c r="AK67" s="55">
        <f>_xll.EQNXTDZ($A$1,$B67,AK$5,$B$1)</f>
        <v>0</v>
      </c>
      <c r="AL67" s="55">
        <f>_xll.EQNXTDZ($A$1,$B67,AL$5,$B$1)</f>
        <v>1179.74</v>
      </c>
      <c r="AM67" s="55">
        <f>_xll.EQNXTDZ($A$1,$B67,AM$5,$B$1)</f>
        <v>0</v>
      </c>
      <c r="AN67" s="55">
        <f>_xll.EQNXTDZ($A$1,$B67,AN$5,$B$1)</f>
        <v>1246.99</v>
      </c>
      <c r="AO67" s="55">
        <f>_xll.EQNXTDZ($A$1,$B67,AO$5,$B$1)</f>
        <v>0</v>
      </c>
      <c r="AP67" s="55">
        <f>_xll.EQNXTDZ($A$1,$B67,AP$5,$B$1)</f>
        <v>1289.95</v>
      </c>
      <c r="AQ67" s="55">
        <f>_xll.EQNXTDZ($A$1,$B67,AQ$5,$B$1)</f>
        <v>0</v>
      </c>
      <c r="AR67" s="55">
        <f>_xll.EQNXTDZ($A$1,$B67,AR$5,$B$1)</f>
        <v>1439.38</v>
      </c>
      <c r="AS67" s="55">
        <f>_xll.EQNXTDZ($A$1,$B67,AS$5,$B$1)</f>
        <v>0</v>
      </c>
      <c r="AT67" s="55">
        <f>_xll.EQNXTDZ($A$1,$B67,AT$5,$B$1)</f>
        <v>1673.93</v>
      </c>
      <c r="AU67" s="55">
        <f>_xll.EQNXTDZ($A$1,$B67,AU$5,$B$1)</f>
        <v>0</v>
      </c>
      <c r="AV67" s="55">
        <f>_xll.EQNXTDZ($A$1,$B67,AV$5,$B$1)</f>
        <v>1809.7</v>
      </c>
      <c r="AW67" s="55">
        <f>_xll.EQNXTDZ($A$1,$B67,AW$5,$B$1)</f>
        <v>0</v>
      </c>
      <c r="AX67" s="55">
        <f>_xll.EQNXTDZ($A$1,$B67,AX$5,$B$1)</f>
        <v>1949.23</v>
      </c>
      <c r="AY67" s="55">
        <f>_xll.EQNXTDZ($A$1,$B67,AY$5,$B$1)</f>
        <v>0</v>
      </c>
      <c r="AZ67" s="55">
        <f>_xll.EQNXTDZ($A$1,$B67,AZ$5,$B$1)</f>
        <v>2001.6</v>
      </c>
      <c r="BA67" s="55">
        <f>_xll.EQNXTDZ($A$1,$B67,BA$5,$B$1)</f>
        <v>0</v>
      </c>
      <c r="BB67" s="55">
        <f>_xll.EQNXTDZ($A$1,$B67,BB$5,$B$1)</f>
        <v>2026.96</v>
      </c>
      <c r="BC67" s="55">
        <f>_xll.EQNXTDZ($A$1,$B67,BC$5,$B$1)</f>
        <v>0</v>
      </c>
      <c r="BD67" s="55">
        <f>_xll.EQNXTDZ($A$1,$B67,BD$5,$B$1)</f>
        <v>2055</v>
      </c>
      <c r="BE67" s="55">
        <f>_xll.EQNXTDZ($A$1,$B67,BE$5,$B$1)</f>
        <v>0</v>
      </c>
      <c r="BF67" s="55">
        <f>_xll.EQNXTDZ($A$1,$B67,BF$5,$B$1)</f>
        <v>2080.19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444.21</v>
      </c>
      <c r="E68" s="55">
        <f>_xll.EQNXTDZ($A$1,$B68,E$5,$B$1)</f>
        <v>0</v>
      </c>
      <c r="F68" s="55">
        <f>_xll.EQNXTDZ($A$1,$B68,F$5,$B$1)</f>
        <v>716.28</v>
      </c>
      <c r="G68" s="55">
        <f>_xll.EQNXTDZ($A$1,$B68,G$5,$B$1)</f>
        <v>0</v>
      </c>
      <c r="H68" s="55">
        <f>_xll.EQNXTDZ($A$1,$B68,H$5,$B$1)</f>
        <v>696</v>
      </c>
      <c r="I68" s="55">
        <f>_xll.EQNXTDZ($A$1,$B68,I$5,$B$1)</f>
        <v>0</v>
      </c>
      <c r="J68" s="55">
        <f>_xll.EQNXTDZ($A$1,$B68,J$5,$B$1)</f>
        <v>675.24</v>
      </c>
      <c r="K68" s="55">
        <f>_xll.EQNXTDZ($A$1,$B68,K$5,$B$1)</f>
        <v>0</v>
      </c>
      <c r="L68" s="55">
        <f>_xll.EQNXTDZ($A$1,$B68,L$5,$B$1)</f>
        <v>664.15</v>
      </c>
      <c r="M68" s="55">
        <f>_xll.EQNXTDZ($A$1,$B68,M$5,$B$1)</f>
        <v>0</v>
      </c>
      <c r="N68" s="55">
        <f>_xll.EQNXTDZ($A$1,$B68,N$5,$B$1)</f>
        <v>663.08</v>
      </c>
      <c r="O68" s="55">
        <f>_xll.EQNXTDZ($A$1,$B68,O$5,$B$1)</f>
        <v>0</v>
      </c>
      <c r="P68" s="55">
        <f>_xll.EQNXTDZ($A$1,$B68,P$5,$B$1)</f>
        <v>668.54</v>
      </c>
      <c r="Q68" s="55">
        <f>_xll.EQNXTDZ($A$1,$B68,Q$5,$B$1)</f>
        <v>0</v>
      </c>
      <c r="R68" s="55">
        <f>_xll.EQNXTDZ($A$1,$B68,R$5,$B$1)</f>
        <v>676.71</v>
      </c>
      <c r="S68" s="55">
        <f>_xll.EQNXTDZ($A$1,$B68,S$5,$B$1)</f>
        <v>0</v>
      </c>
      <c r="T68" s="55">
        <f>_xll.EQNXTDZ($A$1,$B68,T$5,$B$1)</f>
        <v>678.06</v>
      </c>
      <c r="U68" s="55">
        <f>_xll.EQNXTDZ($A$1,$B68,U$5,$B$1)</f>
        <v>0</v>
      </c>
      <c r="V68" s="55">
        <f>_xll.EQNXTDZ($A$1,$B68,V$5,$B$1)</f>
        <v>637.20000000000005</v>
      </c>
      <c r="W68" s="55">
        <f>_xll.EQNXTDZ($A$1,$B68,W$5,$B$1)</f>
        <v>0</v>
      </c>
      <c r="X68" s="55">
        <f>_xll.EQNXTDZ($A$1,$B68,X$5,$B$1)</f>
        <v>648.25</v>
      </c>
      <c r="Y68" s="55">
        <f>_xll.EQNXTDZ($A$1,$B68,Y$5,$B$1)</f>
        <v>0</v>
      </c>
      <c r="Z68" s="55">
        <f>_xll.EQNXTDZ($A$1,$B68,Z$5,$B$1)</f>
        <v>672.65</v>
      </c>
      <c r="AA68" s="55">
        <f>_xll.EQNXTDZ($A$1,$B68,AA$5,$B$1)</f>
        <v>0</v>
      </c>
      <c r="AB68" s="55">
        <f>_xll.EQNXTDZ($A$1,$B68,AB$5,$B$1)</f>
        <v>675.93</v>
      </c>
      <c r="AC68" s="55">
        <f>_xll.EQNXTDZ($A$1,$B68,AC$5,$B$1)</f>
        <v>0</v>
      </c>
      <c r="AD68" s="55">
        <f>_xll.EQNXTDZ($A$1,$B68,AD$5,$B$1)</f>
        <v>671.86</v>
      </c>
      <c r="AE68" s="55">
        <f>_xll.EQNXTDZ($A$1,$B68,AE$5,$B$1)</f>
        <v>0</v>
      </c>
      <c r="AF68" s="55">
        <f>_xll.EQNXTDZ($A$1,$B68,AF$5,$B$1)</f>
        <v>671.85</v>
      </c>
      <c r="AG68" s="55">
        <f>_xll.EQNXTDZ($A$1,$B68,AG$5,$B$1)</f>
        <v>0</v>
      </c>
      <c r="AH68" s="55">
        <f>_xll.EQNXTDZ($A$1,$B68,AH$5,$B$1)</f>
        <v>674.59</v>
      </c>
      <c r="AI68" s="55">
        <f>_xll.EQNXTDZ($A$1,$B68,AI$5,$B$1)</f>
        <v>0</v>
      </c>
      <c r="AJ68" s="55">
        <f>_xll.EQNXTDZ($A$1,$B68,AJ$5,$B$1)</f>
        <v>680.43</v>
      </c>
      <c r="AK68" s="55">
        <f>_xll.EQNXTDZ($A$1,$B68,AK$5,$B$1)</f>
        <v>0</v>
      </c>
      <c r="AL68" s="55">
        <f>_xll.EQNXTDZ($A$1,$B68,AL$5,$B$1)</f>
        <v>734.36</v>
      </c>
      <c r="AM68" s="55">
        <f>_xll.EQNXTDZ($A$1,$B68,AM$5,$B$1)</f>
        <v>0</v>
      </c>
      <c r="AN68" s="55">
        <f>_xll.EQNXTDZ($A$1,$B68,AN$5,$B$1)</f>
        <v>724.59</v>
      </c>
      <c r="AO68" s="55">
        <f>_xll.EQNXTDZ($A$1,$B68,AO$5,$B$1)</f>
        <v>0</v>
      </c>
      <c r="AP68" s="55">
        <f>_xll.EQNXTDZ($A$1,$B68,AP$5,$B$1)</f>
        <v>815.05</v>
      </c>
      <c r="AQ68" s="55">
        <f>_xll.EQNXTDZ($A$1,$B68,AQ$5,$B$1)</f>
        <v>0</v>
      </c>
      <c r="AR68" s="55">
        <f>_xll.EQNXTDZ($A$1,$B68,AR$5,$B$1)</f>
        <v>800.47</v>
      </c>
      <c r="AS68" s="55">
        <f>_xll.EQNXTDZ($A$1,$B68,AS$5,$B$1)</f>
        <v>0</v>
      </c>
      <c r="AT68" s="55">
        <f>_xll.EQNXTDZ($A$1,$B68,AT$5,$B$1)</f>
        <v>795.63</v>
      </c>
      <c r="AU68" s="55">
        <f>_xll.EQNXTDZ($A$1,$B68,AU$5,$B$1)</f>
        <v>0</v>
      </c>
      <c r="AV68" s="55">
        <f>_xll.EQNXTDZ($A$1,$B68,AV$5,$B$1)</f>
        <v>783.94</v>
      </c>
      <c r="AW68" s="55">
        <f>_xll.EQNXTDZ($A$1,$B68,AW$5,$B$1)</f>
        <v>0</v>
      </c>
      <c r="AX68" s="55">
        <f>_xll.EQNXTDZ($A$1,$B68,AX$5,$B$1)</f>
        <v>775.99</v>
      </c>
      <c r="AY68" s="55">
        <f>_xll.EQNXTDZ($A$1,$B68,AY$5,$B$1)</f>
        <v>0</v>
      </c>
      <c r="AZ68" s="55">
        <f>_xll.EQNXTDZ($A$1,$B68,AZ$5,$B$1)</f>
        <v>763.01</v>
      </c>
      <c r="BA68" s="55">
        <f>_xll.EQNXTDZ($A$1,$B68,BA$5,$B$1)</f>
        <v>0</v>
      </c>
      <c r="BB68" s="55">
        <f>_xll.EQNXTDZ($A$1,$B68,BB$5,$B$1)</f>
        <v>756.37</v>
      </c>
      <c r="BC68" s="55">
        <f>_xll.EQNXTDZ($A$1,$B68,BC$5,$B$1)</f>
        <v>0</v>
      </c>
      <c r="BD68" s="55">
        <f>_xll.EQNXTDZ($A$1,$B68,BD$5,$B$1)</f>
        <v>759.79</v>
      </c>
      <c r="BE68" s="55">
        <f>_xll.EQNXTDZ($A$1,$B68,BE$5,$B$1)</f>
        <v>0</v>
      </c>
      <c r="BF68" s="55">
        <f>_xll.EQNXTDZ($A$1,$B68,BF$5,$B$1)</f>
        <v>744.91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444.21</v>
      </c>
      <c r="E71" s="55">
        <f>_xll.EQNXTDZ($A$1,$B71,E$5,$B$1)</f>
        <v>0</v>
      </c>
      <c r="F71" s="55">
        <f>_xll.EQNXTDZ($A$1,$B71,F$5,$B$1)</f>
        <v>716.28</v>
      </c>
      <c r="G71" s="55">
        <f>_xll.EQNXTDZ($A$1,$B71,G$5,$B$1)</f>
        <v>0</v>
      </c>
      <c r="H71" s="55">
        <f>_xll.EQNXTDZ($A$1,$B71,H$5,$B$1)</f>
        <v>696</v>
      </c>
      <c r="I71" s="55">
        <f>_xll.EQNXTDZ($A$1,$B71,I$5,$B$1)</f>
        <v>0</v>
      </c>
      <c r="J71" s="55">
        <f>_xll.EQNXTDZ($A$1,$B71,J$5,$B$1)</f>
        <v>675.24</v>
      </c>
      <c r="K71" s="55">
        <f>_xll.EQNXTDZ($A$1,$B71,K$5,$B$1)</f>
        <v>0</v>
      </c>
      <c r="L71" s="55">
        <f>_xll.EQNXTDZ($A$1,$B71,L$5,$B$1)</f>
        <v>664.15</v>
      </c>
      <c r="M71" s="55">
        <f>_xll.EQNXTDZ($A$1,$B71,M$5,$B$1)</f>
        <v>0</v>
      </c>
      <c r="N71" s="55">
        <f>_xll.EQNXTDZ($A$1,$B71,N$5,$B$1)</f>
        <v>663.08</v>
      </c>
      <c r="O71" s="55">
        <f>_xll.EQNXTDZ($A$1,$B71,O$5,$B$1)</f>
        <v>0</v>
      </c>
      <c r="P71" s="55">
        <f>_xll.EQNXTDZ($A$1,$B71,P$5,$B$1)</f>
        <v>668.54</v>
      </c>
      <c r="Q71" s="55">
        <f>_xll.EQNXTDZ($A$1,$B71,Q$5,$B$1)</f>
        <v>0</v>
      </c>
      <c r="R71" s="55">
        <f>_xll.EQNXTDZ($A$1,$B71,R$5,$B$1)</f>
        <v>676.71</v>
      </c>
      <c r="S71" s="55">
        <f>_xll.EQNXTDZ($A$1,$B71,S$5,$B$1)</f>
        <v>0</v>
      </c>
      <c r="T71" s="55">
        <f>_xll.EQNXTDZ($A$1,$B71,T$5,$B$1)</f>
        <v>678.06</v>
      </c>
      <c r="U71" s="55">
        <f>_xll.EQNXTDZ($A$1,$B71,U$5,$B$1)</f>
        <v>0</v>
      </c>
      <c r="V71" s="55">
        <f>_xll.EQNXTDZ($A$1,$B71,V$5,$B$1)</f>
        <v>637.20000000000005</v>
      </c>
      <c r="W71" s="55">
        <f>_xll.EQNXTDZ($A$1,$B71,W$5,$B$1)</f>
        <v>0</v>
      </c>
      <c r="X71" s="55">
        <f>_xll.EQNXTDZ($A$1,$B71,X$5,$B$1)</f>
        <v>648.25</v>
      </c>
      <c r="Y71" s="55">
        <f>_xll.EQNXTDZ($A$1,$B71,Y$5,$B$1)</f>
        <v>0</v>
      </c>
      <c r="Z71" s="55">
        <f>_xll.EQNXTDZ($A$1,$B71,Z$5,$B$1)</f>
        <v>672.65</v>
      </c>
      <c r="AA71" s="55">
        <f>_xll.EQNXTDZ($A$1,$B71,AA$5,$B$1)</f>
        <v>0</v>
      </c>
      <c r="AB71" s="55">
        <f>_xll.EQNXTDZ($A$1,$B71,AB$5,$B$1)</f>
        <v>675.93</v>
      </c>
      <c r="AC71" s="55">
        <f>_xll.EQNXTDZ($A$1,$B71,AC$5,$B$1)</f>
        <v>0</v>
      </c>
      <c r="AD71" s="55">
        <f>_xll.EQNXTDZ($A$1,$B71,AD$5,$B$1)</f>
        <v>671.86</v>
      </c>
      <c r="AE71" s="55">
        <f>_xll.EQNXTDZ($A$1,$B71,AE$5,$B$1)</f>
        <v>0</v>
      </c>
      <c r="AF71" s="55">
        <f>_xll.EQNXTDZ($A$1,$B71,AF$5,$B$1)</f>
        <v>671.85</v>
      </c>
      <c r="AG71" s="55">
        <f>_xll.EQNXTDZ($A$1,$B71,AG$5,$B$1)</f>
        <v>0</v>
      </c>
      <c r="AH71" s="55">
        <f>_xll.EQNXTDZ($A$1,$B71,AH$5,$B$1)</f>
        <v>674.59</v>
      </c>
      <c r="AI71" s="55">
        <f>_xll.EQNXTDZ($A$1,$B71,AI$5,$B$1)</f>
        <v>0</v>
      </c>
      <c r="AJ71" s="55">
        <f>_xll.EQNXTDZ($A$1,$B71,AJ$5,$B$1)</f>
        <v>680.43</v>
      </c>
      <c r="AK71" s="55">
        <f>_xll.EQNXTDZ($A$1,$B71,AK$5,$B$1)</f>
        <v>0</v>
      </c>
      <c r="AL71" s="55">
        <f>_xll.EQNXTDZ($A$1,$B71,AL$5,$B$1)</f>
        <v>734.36</v>
      </c>
      <c r="AM71" s="55">
        <f>_xll.EQNXTDZ($A$1,$B71,AM$5,$B$1)</f>
        <v>0</v>
      </c>
      <c r="AN71" s="55">
        <f>_xll.EQNXTDZ($A$1,$B71,AN$5,$B$1)</f>
        <v>724.59</v>
      </c>
      <c r="AO71" s="55">
        <f>_xll.EQNXTDZ($A$1,$B71,AO$5,$B$1)</f>
        <v>0</v>
      </c>
      <c r="AP71" s="55">
        <f>_xll.EQNXTDZ($A$1,$B71,AP$5,$B$1)</f>
        <v>815.05</v>
      </c>
      <c r="AQ71" s="55">
        <f>_xll.EQNXTDZ($A$1,$B71,AQ$5,$B$1)</f>
        <v>0</v>
      </c>
      <c r="AR71" s="55">
        <f>_xll.EQNXTDZ($A$1,$B71,AR$5,$B$1)</f>
        <v>800.47</v>
      </c>
      <c r="AS71" s="55">
        <f>_xll.EQNXTDZ($A$1,$B71,AS$5,$B$1)</f>
        <v>0</v>
      </c>
      <c r="AT71" s="55">
        <f>_xll.EQNXTDZ($A$1,$B71,AT$5,$B$1)</f>
        <v>795.63</v>
      </c>
      <c r="AU71" s="55">
        <f>_xll.EQNXTDZ($A$1,$B71,AU$5,$B$1)</f>
        <v>0</v>
      </c>
      <c r="AV71" s="55">
        <f>_xll.EQNXTDZ($A$1,$B71,AV$5,$B$1)</f>
        <v>783.94</v>
      </c>
      <c r="AW71" s="55">
        <f>_xll.EQNXTDZ($A$1,$B71,AW$5,$B$1)</f>
        <v>0</v>
      </c>
      <c r="AX71" s="55">
        <f>_xll.EQNXTDZ($A$1,$B71,AX$5,$B$1)</f>
        <v>775.99</v>
      </c>
      <c r="AY71" s="55">
        <f>_xll.EQNXTDZ($A$1,$B71,AY$5,$B$1)</f>
        <v>0</v>
      </c>
      <c r="AZ71" s="55">
        <f>_xll.EQNXTDZ($A$1,$B71,AZ$5,$B$1)</f>
        <v>763.01</v>
      </c>
      <c r="BA71" s="55">
        <f>_xll.EQNXTDZ($A$1,$B71,BA$5,$B$1)</f>
        <v>0</v>
      </c>
      <c r="BB71" s="55">
        <f>_xll.EQNXTDZ($A$1,$B71,BB$5,$B$1)</f>
        <v>756.37</v>
      </c>
      <c r="BC71" s="55">
        <f>_xll.EQNXTDZ($A$1,$B71,BC$5,$B$1)</f>
        <v>0</v>
      </c>
      <c r="BD71" s="55">
        <f>_xll.EQNXTDZ($A$1,$B71,BD$5,$B$1)</f>
        <v>759.79</v>
      </c>
      <c r="BE71" s="55">
        <f>_xll.EQNXTDZ($A$1,$B71,BE$5,$B$1)</f>
        <v>0</v>
      </c>
      <c r="BF71" s="55">
        <f>_xll.EQNXTDZ($A$1,$B71,BF$5,$B$1)</f>
        <v>744.91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11.78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11.78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11.78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11.78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11.78</v>
      </c>
      <c r="AA72" s="55">
        <f>_xll.EQNXTDZ($A$1,$B72,AA$5,$B$1)</f>
        <v>0</v>
      </c>
      <c r="AB72" s="55">
        <f>_xll.EQNXTDZ($A$1,$B72,AB$5,$B$1)</f>
        <v>11.78</v>
      </c>
      <c r="AC72" s="55">
        <f>_xll.EQNXTDZ($A$1,$B72,AC$5,$B$1)</f>
        <v>0</v>
      </c>
      <c r="AD72" s="55">
        <f>_xll.EQNXTDZ($A$1,$B72,AD$5,$B$1)</f>
        <v>11.78</v>
      </c>
      <c r="AE72" s="55">
        <f>_xll.EQNXTDZ($A$1,$B72,AE$5,$B$1)</f>
        <v>0</v>
      </c>
      <c r="AF72" s="55">
        <f>_xll.EQNXTDZ($A$1,$B72,AF$5,$B$1)</f>
        <v>11.78</v>
      </c>
      <c r="AG72" s="55">
        <f>_xll.EQNXTDZ($A$1,$B72,AG$5,$B$1)</f>
        <v>0</v>
      </c>
      <c r="AH72" s="55">
        <f>_xll.EQNXTDZ($A$1,$B72,AH$5,$B$1)</f>
        <v>11.78</v>
      </c>
      <c r="AI72" s="55">
        <f>_xll.EQNXTDZ($A$1,$B72,AI$5,$B$1)</f>
        <v>0</v>
      </c>
      <c r="AJ72" s="55">
        <f>_xll.EQNXTDZ($A$1,$B72,AJ$5,$B$1)</f>
        <v>11.78</v>
      </c>
      <c r="AK72" s="55">
        <f>_xll.EQNXTDZ($A$1,$B72,AK$5,$B$1)</f>
        <v>0</v>
      </c>
      <c r="AL72" s="55">
        <f>_xll.EQNXTDZ($A$1,$B72,AL$5,$B$1)</f>
        <v>11.78</v>
      </c>
      <c r="AM72" s="55">
        <f>_xll.EQNXTDZ($A$1,$B72,AM$5,$B$1)</f>
        <v>0</v>
      </c>
      <c r="AN72" s="55">
        <f>_xll.EQNXTDZ($A$1,$B72,AN$5,$B$1)</f>
        <v>11.78</v>
      </c>
      <c r="AO72" s="55">
        <f>_xll.EQNXTDZ($A$1,$B72,AO$5,$B$1)</f>
        <v>0</v>
      </c>
      <c r="AP72" s="55">
        <f>_xll.EQNXTDZ($A$1,$B72,AP$5,$B$1)</f>
        <v>11.78</v>
      </c>
      <c r="AQ72" s="55">
        <f>_xll.EQNXTDZ($A$1,$B72,AQ$5,$B$1)</f>
        <v>0</v>
      </c>
      <c r="AR72" s="55">
        <f>_xll.EQNXTDZ($A$1,$B72,AR$5,$B$1)</f>
        <v>11.78</v>
      </c>
      <c r="AS72" s="55">
        <f>_xll.EQNXTDZ($A$1,$B72,AS$5,$B$1)</f>
        <v>0</v>
      </c>
      <c r="AT72" s="55">
        <f>_xll.EQNXTDZ($A$1,$B72,AT$5,$B$1)</f>
        <v>11.78</v>
      </c>
      <c r="AU72" s="55">
        <f>_xll.EQNXTDZ($A$1,$B72,AU$5,$B$1)</f>
        <v>0</v>
      </c>
      <c r="AV72" s="55">
        <f>_xll.EQNXTDZ($A$1,$B72,AV$5,$B$1)</f>
        <v>11.78</v>
      </c>
      <c r="AW72" s="55">
        <f>_xll.EQNXTDZ($A$1,$B72,AW$5,$B$1)</f>
        <v>0</v>
      </c>
      <c r="AX72" s="55">
        <f>_xll.EQNXTDZ($A$1,$B72,AX$5,$B$1)</f>
        <v>11.78</v>
      </c>
      <c r="AY72" s="55">
        <f>_xll.EQNXTDZ($A$1,$B72,AY$5,$B$1)</f>
        <v>0</v>
      </c>
      <c r="AZ72" s="55">
        <f>_xll.EQNXTDZ($A$1,$B72,AZ$5,$B$1)</f>
        <v>11.78</v>
      </c>
      <c r="BA72" s="55">
        <f>_xll.EQNXTDZ($A$1,$B72,BA$5,$B$1)</f>
        <v>0</v>
      </c>
      <c r="BB72" s="55">
        <f>_xll.EQNXTDZ($A$1,$B72,BB$5,$B$1)</f>
        <v>11.78</v>
      </c>
      <c r="BC72" s="55">
        <f>_xll.EQNXTDZ($A$1,$B72,BC$5,$B$1)</f>
        <v>0</v>
      </c>
      <c r="BD72" s="55">
        <f>_xll.EQNXTDZ($A$1,$B72,BD$5,$B$1)</f>
        <v>11.78</v>
      </c>
      <c r="BE72" s="55">
        <f>_xll.EQNXTDZ($A$1,$B72,BE$5,$B$1)</f>
        <v>0</v>
      </c>
      <c r="BF72" s="55">
        <f>_xll.EQNXTDZ($A$1,$B72,BF$5,$B$1)</f>
        <v>11.78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40.75</v>
      </c>
      <c r="W74" s="55">
        <f>_xll.EQNXTDZ($A$1,$B74,W$5,$B$1)</f>
        <v>0</v>
      </c>
      <c r="X74" s="55">
        <f>_xll.EQNXTDZ($A$1,$B74,X$5,$B$1)</f>
        <v>51.56</v>
      </c>
      <c r="Y74" s="55">
        <f>_xll.EQNXTDZ($A$1,$B74,Y$5,$B$1)</f>
        <v>0</v>
      </c>
      <c r="Z74" s="55">
        <f>_xll.EQNXTDZ($A$1,$B74,Z$5,$B$1)</f>
        <v>26.82</v>
      </c>
      <c r="AA74" s="55">
        <f>_xll.EQNXTDZ($A$1,$B74,AA$5,$B$1)</f>
        <v>0</v>
      </c>
      <c r="AB74" s="55">
        <f>_xll.EQNXTDZ($A$1,$B74,AB$5,$B$1)</f>
        <v>17.63</v>
      </c>
      <c r="AC74" s="55">
        <f>_xll.EQNXTDZ($A$1,$B74,AC$5,$B$1)</f>
        <v>0</v>
      </c>
      <c r="AD74" s="55">
        <f>_xll.EQNXTDZ($A$1,$B74,AD$5,$B$1)</f>
        <v>23.36</v>
      </c>
      <c r="AE74" s="55">
        <f>_xll.EQNXTDZ($A$1,$B74,AE$5,$B$1)</f>
        <v>0</v>
      </c>
      <c r="AF74" s="55">
        <f>_xll.EQNXTDZ($A$1,$B74,AF$5,$B$1)</f>
        <v>33.43</v>
      </c>
      <c r="AG74" s="55">
        <f>_xll.EQNXTDZ($A$1,$B74,AG$5,$B$1)</f>
        <v>0</v>
      </c>
      <c r="AH74" s="55">
        <f>_xll.EQNXTDZ($A$1,$B74,AH$5,$B$1)</f>
        <v>31.03</v>
      </c>
      <c r="AI74" s="55">
        <f>_xll.EQNXTDZ($A$1,$B74,AI$5,$B$1)</f>
        <v>0</v>
      </c>
      <c r="AJ74" s="55">
        <f>_xll.EQNXTDZ($A$1,$B74,AJ$5,$B$1)</f>
        <v>47.1</v>
      </c>
      <c r="AK74" s="55">
        <f>_xll.EQNXTDZ($A$1,$B74,AK$5,$B$1)</f>
        <v>0</v>
      </c>
      <c r="AL74" s="55">
        <f>_xll.EQNXTDZ($A$1,$B74,AL$5,$B$1)</f>
        <v>32.200000000000003</v>
      </c>
      <c r="AM74" s="55">
        <f>_xll.EQNXTDZ($A$1,$B74,AM$5,$B$1)</f>
        <v>0</v>
      </c>
      <c r="AN74" s="55">
        <f>_xll.EQNXTDZ($A$1,$B74,AN$5,$B$1)</f>
        <v>70.83</v>
      </c>
      <c r="AO74" s="55">
        <f>_xll.EQNXTDZ($A$1,$B74,AO$5,$B$1)</f>
        <v>0</v>
      </c>
      <c r="AP74" s="55">
        <f>_xll.EQNXTDZ($A$1,$B74,AP$5,$B$1)</f>
        <v>13.87</v>
      </c>
      <c r="AQ74" s="55">
        <f>_xll.EQNXTDZ($A$1,$B74,AQ$5,$B$1)</f>
        <v>0</v>
      </c>
      <c r="AR74" s="55">
        <f>_xll.EQNXTDZ($A$1,$B74,AR$5,$B$1)</f>
        <v>19.37</v>
      </c>
      <c r="AS74" s="55">
        <f>_xll.EQNXTDZ($A$1,$B74,AS$5,$B$1)</f>
        <v>0</v>
      </c>
      <c r="AT74" s="55">
        <f>_xll.EQNXTDZ($A$1,$B74,AT$5,$B$1)</f>
        <v>19.87</v>
      </c>
      <c r="AU74" s="55">
        <f>_xll.EQNXTDZ($A$1,$B74,AU$5,$B$1)</f>
        <v>0</v>
      </c>
      <c r="AV74" s="55">
        <f>_xll.EQNXTDZ($A$1,$B74,AV$5,$B$1)</f>
        <v>18.97</v>
      </c>
      <c r="AW74" s="55">
        <f>_xll.EQNXTDZ($A$1,$B74,AW$5,$B$1)</f>
        <v>0</v>
      </c>
      <c r="AX74" s="55">
        <f>_xll.EQNXTDZ($A$1,$B74,AX$5,$B$1)</f>
        <v>35.06</v>
      </c>
      <c r="AY74" s="55">
        <f>_xll.EQNXTDZ($A$1,$B74,AY$5,$B$1)</f>
        <v>0</v>
      </c>
      <c r="AZ74" s="55">
        <f>_xll.EQNXTDZ($A$1,$B74,AZ$5,$B$1)</f>
        <v>38.630000000000003</v>
      </c>
      <c r="BA74" s="55">
        <f>_xll.EQNXTDZ($A$1,$B74,BA$5,$B$1)</f>
        <v>0</v>
      </c>
      <c r="BB74" s="55">
        <f>_xll.EQNXTDZ($A$1,$B74,BB$5,$B$1)</f>
        <v>71.09</v>
      </c>
      <c r="BC74" s="55">
        <f>_xll.EQNXTDZ($A$1,$B74,BC$5,$B$1)</f>
        <v>0</v>
      </c>
      <c r="BD74" s="55">
        <f>_xll.EQNXTDZ($A$1,$B74,BD$5,$B$1)</f>
        <v>73.17</v>
      </c>
      <c r="BE74" s="55">
        <f>_xll.EQNXTDZ($A$1,$B74,BE$5,$B$1)</f>
        <v>0</v>
      </c>
      <c r="BF74" s="55">
        <f>_xll.EQNXTDZ($A$1,$B74,BF$5,$B$1)</f>
        <v>92.91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23.23</v>
      </c>
      <c r="E77" s="55">
        <f>_xll.EQNXTDZ($A$1,$B77,E$5,$B$1)</f>
        <v>0</v>
      </c>
      <c r="F77" s="55">
        <f>_xll.EQNXTDZ($A$1,$B77,F$5,$B$1)</f>
        <v>10.8</v>
      </c>
      <c r="G77" s="55">
        <f>_xll.EQNXTDZ($A$1,$B77,G$5,$B$1)</f>
        <v>0</v>
      </c>
      <c r="H77" s="55">
        <f>_xll.EQNXTDZ($A$1,$B77,H$5,$B$1)</f>
        <v>22.71</v>
      </c>
      <c r="I77" s="55">
        <f>_xll.EQNXTDZ($A$1,$B77,I$5,$B$1)</f>
        <v>0</v>
      </c>
      <c r="J77" s="55">
        <f>_xll.EQNXTDZ($A$1,$B77,J$5,$B$1)</f>
        <v>31.99</v>
      </c>
      <c r="K77" s="55">
        <f>_xll.EQNXTDZ($A$1,$B77,K$5,$B$1)</f>
        <v>0</v>
      </c>
      <c r="L77" s="55">
        <f>_xll.EQNXTDZ($A$1,$B77,L$5,$B$1)</f>
        <v>31.99</v>
      </c>
      <c r="M77" s="55">
        <f>_xll.EQNXTDZ($A$1,$B77,M$5,$B$1)</f>
        <v>0</v>
      </c>
      <c r="N77" s="55">
        <f>_xll.EQNXTDZ($A$1,$B77,N$5,$B$1)</f>
        <v>41.05</v>
      </c>
      <c r="O77" s="55">
        <f>_xll.EQNXTDZ($A$1,$B77,O$5,$B$1)</f>
        <v>0</v>
      </c>
      <c r="P77" s="55">
        <f>_xll.EQNXTDZ($A$1,$B77,P$5,$B$1)</f>
        <v>31.99</v>
      </c>
      <c r="Q77" s="55">
        <f>_xll.EQNXTDZ($A$1,$B77,Q$5,$B$1)</f>
        <v>0</v>
      </c>
      <c r="R77" s="55">
        <f>_xll.EQNXTDZ($A$1,$B77,R$5,$B$1)</f>
        <v>47.11</v>
      </c>
      <c r="S77" s="55">
        <f>_xll.EQNXTDZ($A$1,$B77,S$5,$B$1)</f>
        <v>0</v>
      </c>
      <c r="T77" s="55">
        <f>_xll.EQNXTDZ($A$1,$B77,T$5,$B$1)</f>
        <v>39.61</v>
      </c>
      <c r="U77" s="55">
        <f>_xll.EQNXTDZ($A$1,$B77,U$5,$B$1)</f>
        <v>0</v>
      </c>
      <c r="V77" s="55">
        <f>_xll.EQNXTDZ($A$1,$B77,V$5,$B$1)</f>
        <v>94.05</v>
      </c>
      <c r="W77" s="55">
        <f>_xll.EQNXTDZ($A$1,$B77,W$5,$B$1)</f>
        <v>0</v>
      </c>
      <c r="X77" s="55">
        <f>_xll.EQNXTDZ($A$1,$B77,X$5,$B$1)</f>
        <v>92.6</v>
      </c>
      <c r="Y77" s="55">
        <f>_xll.EQNXTDZ($A$1,$B77,Y$5,$B$1)</f>
        <v>0</v>
      </c>
      <c r="Z77" s="55">
        <f>_xll.EQNXTDZ($A$1,$B77,Z$5,$B$1)</f>
        <v>109.52</v>
      </c>
      <c r="AA77" s="55">
        <f>_xll.EQNXTDZ($A$1,$B77,AA$5,$B$1)</f>
        <v>0</v>
      </c>
      <c r="AB77" s="55">
        <f>_xll.EQNXTDZ($A$1,$B77,AB$5,$B$1)</f>
        <v>105.98</v>
      </c>
      <c r="AC77" s="55">
        <f>_xll.EQNXTDZ($A$1,$B77,AC$5,$B$1)</f>
        <v>0</v>
      </c>
      <c r="AD77" s="55">
        <f>_xll.EQNXTDZ($A$1,$B77,AD$5,$B$1)</f>
        <v>107.7</v>
      </c>
      <c r="AE77" s="55">
        <f>_xll.EQNXTDZ($A$1,$B77,AE$5,$B$1)</f>
        <v>0</v>
      </c>
      <c r="AF77" s="55">
        <f>_xll.EQNXTDZ($A$1,$B77,AF$5,$B$1)</f>
        <v>110.5</v>
      </c>
      <c r="AG77" s="55">
        <f>_xll.EQNXTDZ($A$1,$B77,AG$5,$B$1)</f>
        <v>0</v>
      </c>
      <c r="AH77" s="55">
        <f>_xll.EQNXTDZ($A$1,$B77,AH$5,$B$1)</f>
        <v>104.68</v>
      </c>
      <c r="AI77" s="55">
        <f>_xll.EQNXTDZ($A$1,$B77,AI$5,$B$1)</f>
        <v>0</v>
      </c>
      <c r="AJ77" s="55">
        <f>_xll.EQNXTDZ($A$1,$B77,AJ$5,$B$1)</f>
        <v>117.62</v>
      </c>
      <c r="AK77" s="55">
        <f>_xll.EQNXTDZ($A$1,$B77,AK$5,$B$1)</f>
        <v>0</v>
      </c>
      <c r="AL77" s="55">
        <f>_xll.EQNXTDZ($A$1,$B77,AL$5,$B$1)</f>
        <v>153.75</v>
      </c>
      <c r="AM77" s="55">
        <f>_xll.EQNXTDZ($A$1,$B77,AM$5,$B$1)</f>
        <v>0</v>
      </c>
      <c r="AN77" s="55">
        <f>_xll.EQNXTDZ($A$1,$B77,AN$5,$B$1)</f>
        <v>198.37</v>
      </c>
      <c r="AO77" s="55">
        <f>_xll.EQNXTDZ($A$1,$B77,AO$5,$B$1)</f>
        <v>0</v>
      </c>
      <c r="AP77" s="55">
        <f>_xll.EQNXTDZ($A$1,$B77,AP$5,$B$1)</f>
        <v>179.19</v>
      </c>
      <c r="AQ77" s="55">
        <f>_xll.EQNXTDZ($A$1,$B77,AQ$5,$B$1)</f>
        <v>0</v>
      </c>
      <c r="AR77" s="55">
        <f>_xll.EQNXTDZ($A$1,$B77,AR$5,$B$1)</f>
        <v>185.9</v>
      </c>
      <c r="AS77" s="55">
        <f>_xll.EQNXTDZ($A$1,$B77,AS$5,$B$1)</f>
        <v>0</v>
      </c>
      <c r="AT77" s="55">
        <f>_xll.EQNXTDZ($A$1,$B77,AT$5,$B$1)</f>
        <v>197.96</v>
      </c>
      <c r="AU77" s="55">
        <f>_xll.EQNXTDZ($A$1,$B77,AU$5,$B$1)</f>
        <v>0</v>
      </c>
      <c r="AV77" s="55">
        <f>_xll.EQNXTDZ($A$1,$B77,AV$5,$B$1)</f>
        <v>234.45</v>
      </c>
      <c r="AW77" s="55">
        <f>_xll.EQNXTDZ($A$1,$B77,AW$5,$B$1)</f>
        <v>0</v>
      </c>
      <c r="AX77" s="55">
        <f>_xll.EQNXTDZ($A$1,$B77,AX$5,$B$1)</f>
        <v>249.3</v>
      </c>
      <c r="AY77" s="55">
        <f>_xll.EQNXTDZ($A$1,$B77,AY$5,$B$1)</f>
        <v>0</v>
      </c>
      <c r="AZ77" s="55">
        <f>_xll.EQNXTDZ($A$1,$B77,AZ$5,$B$1)</f>
        <v>293.33999999999997</v>
      </c>
      <c r="BA77" s="55">
        <f>_xll.EQNXTDZ($A$1,$B77,BA$5,$B$1)</f>
        <v>0</v>
      </c>
      <c r="BB77" s="55">
        <f>_xll.EQNXTDZ($A$1,$B77,BB$5,$B$1)</f>
        <v>278.67</v>
      </c>
      <c r="BC77" s="55">
        <f>_xll.EQNXTDZ($A$1,$B77,BC$5,$B$1)</f>
        <v>0</v>
      </c>
      <c r="BD77" s="55">
        <f>_xll.EQNXTDZ($A$1,$B77,BD$5,$B$1)</f>
        <v>314.10000000000002</v>
      </c>
      <c r="BE77" s="55">
        <f>_xll.EQNXTDZ($A$1,$B77,BE$5,$B$1)</f>
        <v>0</v>
      </c>
      <c r="BF77" s="55">
        <f>_xll.EQNXTDZ($A$1,$B77,BF$5,$B$1)</f>
        <v>306.16000000000003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6.88</v>
      </c>
      <c r="E78" s="55">
        <f>_xll.EQNXTDZ($A$1,$B78,E$5,$B$1)</f>
        <v>0</v>
      </c>
      <c r="F78" s="55">
        <f>_xll.EQNXTDZ($A$1,$B78,F$5,$B$1)</f>
        <v>22.06</v>
      </c>
      <c r="G78" s="55">
        <f>_xll.EQNXTDZ($A$1,$B78,G$5,$B$1)</f>
        <v>0</v>
      </c>
      <c r="H78" s="55">
        <f>_xll.EQNXTDZ($A$1,$B78,H$5,$B$1)</f>
        <v>22.56</v>
      </c>
      <c r="I78" s="55">
        <f>_xll.EQNXTDZ($A$1,$B78,I$5,$B$1)</f>
        <v>0</v>
      </c>
      <c r="J78" s="55">
        <f>_xll.EQNXTDZ($A$1,$B78,J$5,$B$1)</f>
        <v>23.19</v>
      </c>
      <c r="K78" s="55">
        <f>_xll.EQNXTDZ($A$1,$B78,K$5,$B$1)</f>
        <v>0</v>
      </c>
      <c r="L78" s="55">
        <f>_xll.EQNXTDZ($A$1,$B78,L$5,$B$1)</f>
        <v>23.27</v>
      </c>
      <c r="M78" s="55">
        <f>_xll.EQNXTDZ($A$1,$B78,M$5,$B$1)</f>
        <v>0</v>
      </c>
      <c r="N78" s="55">
        <f>_xll.EQNXTDZ($A$1,$B78,N$5,$B$1)</f>
        <v>23.1</v>
      </c>
      <c r="O78" s="55">
        <f>_xll.EQNXTDZ($A$1,$B78,O$5,$B$1)</f>
        <v>0</v>
      </c>
      <c r="P78" s="55">
        <f>_xll.EQNXTDZ($A$1,$B78,P$5,$B$1)</f>
        <v>31.81</v>
      </c>
      <c r="Q78" s="55">
        <f>_xll.EQNXTDZ($A$1,$B78,Q$5,$B$1)</f>
        <v>0</v>
      </c>
      <c r="R78" s="55">
        <f>_xll.EQNXTDZ($A$1,$B78,R$5,$B$1)</f>
        <v>25.34</v>
      </c>
      <c r="S78" s="55">
        <f>_xll.EQNXTDZ($A$1,$B78,S$5,$B$1)</f>
        <v>0</v>
      </c>
      <c r="T78" s="55">
        <f>_xll.EQNXTDZ($A$1,$B78,T$5,$B$1)</f>
        <v>25.69</v>
      </c>
      <c r="U78" s="55">
        <f>_xll.EQNXTDZ($A$1,$B78,U$5,$B$1)</f>
        <v>0</v>
      </c>
      <c r="V78" s="55">
        <f>_xll.EQNXTDZ($A$1,$B78,V$5,$B$1)</f>
        <v>25.67</v>
      </c>
      <c r="W78" s="55">
        <f>_xll.EQNXTDZ($A$1,$B78,W$5,$B$1)</f>
        <v>0</v>
      </c>
      <c r="X78" s="55">
        <f>_xll.EQNXTDZ($A$1,$B78,X$5,$B$1)</f>
        <v>18.27</v>
      </c>
      <c r="Y78" s="55">
        <f>_xll.EQNXTDZ($A$1,$B78,Y$5,$B$1)</f>
        <v>0</v>
      </c>
      <c r="Z78" s="55">
        <f>_xll.EQNXTDZ($A$1,$B78,Z$5,$B$1)</f>
        <v>23.99</v>
      </c>
      <c r="AA78" s="55">
        <f>_xll.EQNXTDZ($A$1,$B78,AA$5,$B$1)</f>
        <v>0</v>
      </c>
      <c r="AB78" s="55">
        <f>_xll.EQNXTDZ($A$1,$B78,AB$5,$B$1)</f>
        <v>28.84</v>
      </c>
      <c r="AC78" s="55">
        <f>_xll.EQNXTDZ($A$1,$B78,AC$5,$B$1)</f>
        <v>0</v>
      </c>
      <c r="AD78" s="55">
        <f>_xll.EQNXTDZ($A$1,$B78,AD$5,$B$1)</f>
        <v>29.62</v>
      </c>
      <c r="AE78" s="55">
        <f>_xll.EQNXTDZ($A$1,$B78,AE$5,$B$1)</f>
        <v>0</v>
      </c>
      <c r="AF78" s="55">
        <f>_xll.EQNXTDZ($A$1,$B78,AF$5,$B$1)</f>
        <v>24.24</v>
      </c>
      <c r="AG78" s="55">
        <f>_xll.EQNXTDZ($A$1,$B78,AG$5,$B$1)</f>
        <v>0</v>
      </c>
      <c r="AH78" s="55">
        <f>_xll.EQNXTDZ($A$1,$B78,AH$5,$B$1)</f>
        <v>12.2</v>
      </c>
      <c r="AI78" s="55">
        <f>_xll.EQNXTDZ($A$1,$B78,AI$5,$B$1)</f>
        <v>0</v>
      </c>
      <c r="AJ78" s="55">
        <f>_xll.EQNXTDZ($A$1,$B78,AJ$5,$B$1)</f>
        <v>6.76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0.37</v>
      </c>
      <c r="G79" s="55">
        <f>_xll.EQNXTDZ($A$1,$B79,G$5,$B$1)</f>
        <v>0</v>
      </c>
      <c r="H79" s="55">
        <f>_xll.EQNXTDZ($A$1,$B79,H$5,$B$1)</f>
        <v>0.37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0.37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9.44</v>
      </c>
      <c r="W79" s="55">
        <f>_xll.EQNXTDZ($A$1,$B79,W$5,$B$1)</f>
        <v>0</v>
      </c>
      <c r="X79" s="55">
        <f>_xll.EQNXTDZ($A$1,$B79,X$5,$B$1)</f>
        <v>1.19</v>
      </c>
      <c r="Y79" s="55">
        <f>_xll.EQNXTDZ($A$1,$B79,Y$5,$B$1)</f>
        <v>0</v>
      </c>
      <c r="Z79" s="55">
        <f>_xll.EQNXTDZ($A$1,$B79,Z$5,$B$1)</f>
        <v>3.35</v>
      </c>
      <c r="AA79" s="55">
        <f>_xll.EQNXTDZ($A$1,$B79,AA$5,$B$1)</f>
        <v>0</v>
      </c>
      <c r="AB79" s="55">
        <f>_xll.EQNXTDZ($A$1,$B79,AB$5,$B$1)</f>
        <v>6.55</v>
      </c>
      <c r="AC79" s="55">
        <f>_xll.EQNXTDZ($A$1,$B79,AC$5,$B$1)</f>
        <v>0</v>
      </c>
      <c r="AD79" s="55">
        <f>_xll.EQNXTDZ($A$1,$B79,AD$5,$B$1)</f>
        <v>8.99</v>
      </c>
      <c r="AE79" s="55">
        <f>_xll.EQNXTDZ($A$1,$B79,AE$5,$B$1)</f>
        <v>0</v>
      </c>
      <c r="AF79" s="55">
        <f>_xll.EQNXTDZ($A$1,$B79,AF$5,$B$1)</f>
        <v>9.8000000000000007</v>
      </c>
      <c r="AG79" s="55">
        <f>_xll.EQNXTDZ($A$1,$B79,AG$5,$B$1)</f>
        <v>0</v>
      </c>
      <c r="AH79" s="55">
        <f>_xll.EQNXTDZ($A$1,$B79,AH$5,$B$1)</f>
        <v>13.57</v>
      </c>
      <c r="AI79" s="55">
        <f>_xll.EQNXTDZ($A$1,$B79,AI$5,$B$1)</f>
        <v>0</v>
      </c>
      <c r="AJ79" s="55">
        <f>_xll.EQNXTDZ($A$1,$B79,AJ$5,$B$1)</f>
        <v>19.309999999999999</v>
      </c>
      <c r="AK79" s="55">
        <f>_xll.EQNXTDZ($A$1,$B79,AK$5,$B$1)</f>
        <v>0</v>
      </c>
      <c r="AL79" s="55">
        <f>_xll.EQNXTDZ($A$1,$B79,AL$5,$B$1)</f>
        <v>21.23</v>
      </c>
      <c r="AM79" s="55">
        <f>_xll.EQNXTDZ($A$1,$B79,AM$5,$B$1)</f>
        <v>0</v>
      </c>
      <c r="AN79" s="55">
        <f>_xll.EQNXTDZ($A$1,$B79,AN$5,$B$1)</f>
        <v>19.46</v>
      </c>
      <c r="AO79" s="55">
        <f>_xll.EQNXTDZ($A$1,$B79,AO$5,$B$1)</f>
        <v>0</v>
      </c>
      <c r="AP79" s="55">
        <f>_xll.EQNXTDZ($A$1,$B79,AP$5,$B$1)</f>
        <v>46.17</v>
      </c>
      <c r="AQ79" s="55">
        <f>_xll.EQNXTDZ($A$1,$B79,AQ$5,$B$1)</f>
        <v>0</v>
      </c>
      <c r="AR79" s="55">
        <f>_xll.EQNXTDZ($A$1,$B79,AR$5,$B$1)</f>
        <v>369.61</v>
      </c>
      <c r="AS79" s="55">
        <f>_xll.EQNXTDZ($A$1,$B79,AS$5,$B$1)</f>
        <v>0</v>
      </c>
      <c r="AT79" s="55">
        <f>_xll.EQNXTDZ($A$1,$B79,AT$5,$B$1)</f>
        <v>195.36</v>
      </c>
      <c r="AU79" s="55">
        <f>_xll.EQNXTDZ($A$1,$B79,AU$5,$B$1)</f>
        <v>0</v>
      </c>
      <c r="AV79" s="55">
        <f>_xll.EQNXTDZ($A$1,$B79,AV$5,$B$1)</f>
        <v>163.54</v>
      </c>
      <c r="AW79" s="55">
        <f>_xll.EQNXTDZ($A$1,$B79,AW$5,$B$1)</f>
        <v>0</v>
      </c>
      <c r="AX79" s="55">
        <f>_xll.EQNXTDZ($A$1,$B79,AX$5,$B$1)</f>
        <v>269.52</v>
      </c>
      <c r="AY79" s="55">
        <f>_xll.EQNXTDZ($A$1,$B79,AY$5,$B$1)</f>
        <v>0</v>
      </c>
      <c r="AZ79" s="55">
        <f>_xll.EQNXTDZ($A$1,$B79,AZ$5,$B$1)</f>
        <v>136.93</v>
      </c>
      <c r="BA79" s="55">
        <f>_xll.EQNXTDZ($A$1,$B79,BA$5,$B$1)</f>
        <v>0</v>
      </c>
      <c r="BB79" s="55">
        <f>_xll.EQNXTDZ($A$1,$B79,BB$5,$B$1)</f>
        <v>157.47999999999999</v>
      </c>
      <c r="BC79" s="55">
        <f>_xll.EQNXTDZ($A$1,$B79,BC$5,$B$1)</f>
        <v>0</v>
      </c>
      <c r="BD79" s="55">
        <f>_xll.EQNXTDZ($A$1,$B79,BD$5,$B$1)</f>
        <v>151.35</v>
      </c>
      <c r="BE79" s="55">
        <f>_xll.EQNXTDZ($A$1,$B79,BE$5,$B$1)</f>
        <v>0</v>
      </c>
      <c r="BF79" s="55">
        <f>_xll.EQNXTDZ($A$1,$B79,BF$5,$B$1)</f>
        <v>631.57000000000005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1.54</v>
      </c>
      <c r="M80" s="55">
        <f>_xll.EQNXTDZ($A$1,$B80,M$5,$B$1)</f>
        <v>0</v>
      </c>
      <c r="N80" s="55">
        <f>_xll.EQNXTDZ($A$1,$B80,N$5,$B$1)</f>
        <v>1.54</v>
      </c>
      <c r="O80" s="55">
        <f>_xll.EQNXTDZ($A$1,$B80,O$5,$B$1)</f>
        <v>0</v>
      </c>
      <c r="P80" s="55">
        <f>_xll.EQNXTDZ($A$1,$B80,P$5,$B$1)</f>
        <v>1.54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61.2</v>
      </c>
      <c r="E81" s="55">
        <f>_xll.EQNXTDZ($A$1,$B81,E$5,$B$1)</f>
        <v>0</v>
      </c>
      <c r="F81" s="55">
        <f>_xll.EQNXTDZ($A$1,$B81,F$5,$B$1)</f>
        <v>87.13</v>
      </c>
      <c r="G81" s="55">
        <f>_xll.EQNXTDZ($A$1,$B81,G$5,$B$1)</f>
        <v>0</v>
      </c>
      <c r="H81" s="55">
        <f>_xll.EQNXTDZ($A$1,$B81,H$5,$B$1)</f>
        <v>104.92</v>
      </c>
      <c r="I81" s="55">
        <f>_xll.EQNXTDZ($A$1,$B81,I$5,$B$1)</f>
        <v>0</v>
      </c>
      <c r="J81" s="55">
        <f>_xll.EQNXTDZ($A$1,$B81,J$5,$B$1)</f>
        <v>112.29</v>
      </c>
      <c r="K81" s="55">
        <f>_xll.EQNXTDZ($A$1,$B81,K$5,$B$1)</f>
        <v>0</v>
      </c>
      <c r="L81" s="55">
        <f>_xll.EQNXTDZ($A$1,$B81,L$5,$B$1)</f>
        <v>184.73</v>
      </c>
      <c r="M81" s="55">
        <f>_xll.EQNXTDZ($A$1,$B81,M$5,$B$1)</f>
        <v>0</v>
      </c>
      <c r="N81" s="55">
        <f>_xll.EQNXTDZ($A$1,$B81,N$5,$B$1)</f>
        <v>134.41999999999999</v>
      </c>
      <c r="O81" s="55">
        <f>_xll.EQNXTDZ($A$1,$B81,O$5,$B$1)</f>
        <v>0</v>
      </c>
      <c r="P81" s="55">
        <f>_xll.EQNXTDZ($A$1,$B81,P$5,$B$1)</f>
        <v>186.55</v>
      </c>
      <c r="Q81" s="55">
        <f>_xll.EQNXTDZ($A$1,$B81,Q$5,$B$1)</f>
        <v>0</v>
      </c>
      <c r="R81" s="55">
        <f>_xll.EQNXTDZ($A$1,$B81,R$5,$B$1)</f>
        <v>114.07</v>
      </c>
      <c r="S81" s="55">
        <f>_xll.EQNXTDZ($A$1,$B81,S$5,$B$1)</f>
        <v>0</v>
      </c>
      <c r="T81" s="55">
        <f>_xll.EQNXTDZ($A$1,$B81,T$5,$B$1)</f>
        <v>164.2</v>
      </c>
      <c r="U81" s="55">
        <f>_xll.EQNXTDZ($A$1,$B81,U$5,$B$1)</f>
        <v>0</v>
      </c>
      <c r="V81" s="55">
        <f>_xll.EQNXTDZ($A$1,$B81,V$5,$B$1)</f>
        <v>128.97</v>
      </c>
      <c r="W81" s="55">
        <f>_xll.EQNXTDZ($A$1,$B81,W$5,$B$1)</f>
        <v>0</v>
      </c>
      <c r="X81" s="55">
        <f>_xll.EQNXTDZ($A$1,$B81,X$5,$B$1)</f>
        <v>160.44999999999999</v>
      </c>
      <c r="Y81" s="55">
        <f>_xll.EQNXTDZ($A$1,$B81,Y$5,$B$1)</f>
        <v>0</v>
      </c>
      <c r="Z81" s="55">
        <f>_xll.EQNXTDZ($A$1,$B81,Z$5,$B$1)</f>
        <v>157.78</v>
      </c>
      <c r="AA81" s="55">
        <f>_xll.EQNXTDZ($A$1,$B81,AA$5,$B$1)</f>
        <v>0</v>
      </c>
      <c r="AB81" s="55">
        <f>_xll.EQNXTDZ($A$1,$B81,AB$5,$B$1)</f>
        <v>148.88</v>
      </c>
      <c r="AC81" s="55">
        <f>_xll.EQNXTDZ($A$1,$B81,AC$5,$B$1)</f>
        <v>0</v>
      </c>
      <c r="AD81" s="55">
        <f>_xll.EQNXTDZ($A$1,$B81,AD$5,$B$1)</f>
        <v>134.57</v>
      </c>
      <c r="AE81" s="55">
        <f>_xll.EQNXTDZ($A$1,$B81,AE$5,$B$1)</f>
        <v>0</v>
      </c>
      <c r="AF81" s="55">
        <f>_xll.EQNXTDZ($A$1,$B81,AF$5,$B$1)</f>
        <v>170.45</v>
      </c>
      <c r="AG81" s="55">
        <f>_xll.EQNXTDZ($A$1,$B81,AG$5,$B$1)</f>
        <v>0</v>
      </c>
      <c r="AH81" s="55">
        <f>_xll.EQNXTDZ($A$1,$B81,AH$5,$B$1)</f>
        <v>169.44</v>
      </c>
      <c r="AI81" s="55">
        <f>_xll.EQNXTDZ($A$1,$B81,AI$5,$B$1)</f>
        <v>0</v>
      </c>
      <c r="AJ81" s="55">
        <f>_xll.EQNXTDZ($A$1,$B81,AJ$5,$B$1)</f>
        <v>336.65</v>
      </c>
      <c r="AK81" s="55">
        <f>_xll.EQNXTDZ($A$1,$B81,AK$5,$B$1)</f>
        <v>0</v>
      </c>
      <c r="AL81" s="55">
        <f>_xll.EQNXTDZ($A$1,$B81,AL$5,$B$1)</f>
        <v>227.25</v>
      </c>
      <c r="AM81" s="55">
        <f>_xll.EQNXTDZ($A$1,$B81,AM$5,$B$1)</f>
        <v>0</v>
      </c>
      <c r="AN81" s="55">
        <f>_xll.EQNXTDZ($A$1,$B81,AN$5,$B$1)</f>
        <v>261.43</v>
      </c>
      <c r="AO81" s="55">
        <f>_xll.EQNXTDZ($A$1,$B81,AO$5,$B$1)</f>
        <v>0</v>
      </c>
      <c r="AP81" s="55">
        <f>_xll.EQNXTDZ($A$1,$B81,AP$5,$B$1)</f>
        <v>124.12</v>
      </c>
      <c r="AQ81" s="55">
        <f>_xll.EQNXTDZ($A$1,$B81,AQ$5,$B$1)</f>
        <v>0</v>
      </c>
      <c r="AR81" s="55">
        <f>_xll.EQNXTDZ($A$1,$B81,AR$5,$B$1)</f>
        <v>164.59</v>
      </c>
      <c r="AS81" s="55">
        <f>_xll.EQNXTDZ($A$1,$B81,AS$5,$B$1)</f>
        <v>0</v>
      </c>
      <c r="AT81" s="55">
        <f>_xll.EQNXTDZ($A$1,$B81,AT$5,$B$1)</f>
        <v>240.88</v>
      </c>
      <c r="AU81" s="55">
        <f>_xll.EQNXTDZ($A$1,$B81,AU$5,$B$1)</f>
        <v>0</v>
      </c>
      <c r="AV81" s="55">
        <f>_xll.EQNXTDZ($A$1,$B81,AV$5,$B$1)</f>
        <v>300.91000000000003</v>
      </c>
      <c r="AW81" s="55">
        <f>_xll.EQNXTDZ($A$1,$B81,AW$5,$B$1)</f>
        <v>0</v>
      </c>
      <c r="AX81" s="55">
        <f>_xll.EQNXTDZ($A$1,$B81,AX$5,$B$1)</f>
        <v>287.91000000000003</v>
      </c>
      <c r="AY81" s="55">
        <f>_xll.EQNXTDZ($A$1,$B81,AY$5,$B$1)</f>
        <v>0</v>
      </c>
      <c r="AZ81" s="55">
        <f>_xll.EQNXTDZ($A$1,$B81,AZ$5,$B$1)</f>
        <v>333.9</v>
      </c>
      <c r="BA81" s="55">
        <f>_xll.EQNXTDZ($A$1,$B81,BA$5,$B$1)</f>
        <v>0</v>
      </c>
      <c r="BB81" s="55">
        <f>_xll.EQNXTDZ($A$1,$B81,BB$5,$B$1)</f>
        <v>354.05</v>
      </c>
      <c r="BC81" s="55">
        <f>_xll.EQNXTDZ($A$1,$B81,BC$5,$B$1)</f>
        <v>0</v>
      </c>
      <c r="BD81" s="55">
        <f>_xll.EQNXTDZ($A$1,$B81,BD$5,$B$1)</f>
        <v>469.28</v>
      </c>
      <c r="BE81" s="55">
        <f>_xll.EQNXTDZ($A$1,$B81,BE$5,$B$1)</f>
        <v>0</v>
      </c>
      <c r="BF81" s="55">
        <f>_xll.EQNXTDZ($A$1,$B81,BF$5,$B$1)</f>
        <v>360.43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121.43</v>
      </c>
      <c r="E82" s="55">
        <f>_xll.EQNXTDZ($A$1,$B82,E$5,$B$1)</f>
        <v>0</v>
      </c>
      <c r="F82" s="55">
        <f>_xll.EQNXTDZ($A$1,$B82,F$5,$B$1)</f>
        <v>99.11</v>
      </c>
      <c r="G82" s="55">
        <f>_xll.EQNXTDZ($A$1,$B82,G$5,$B$1)</f>
        <v>0</v>
      </c>
      <c r="H82" s="55">
        <f>_xll.EQNXTDZ($A$1,$B82,H$5,$B$1)</f>
        <v>86.79</v>
      </c>
      <c r="I82" s="55">
        <f>_xll.EQNXTDZ($A$1,$B82,I$5,$B$1)</f>
        <v>0</v>
      </c>
      <c r="J82" s="55">
        <f>_xll.EQNXTDZ($A$1,$B82,J$5,$B$1)</f>
        <v>120.45</v>
      </c>
      <c r="K82" s="55">
        <f>_xll.EQNXTDZ($A$1,$B82,K$5,$B$1)</f>
        <v>0</v>
      </c>
      <c r="L82" s="55">
        <f>_xll.EQNXTDZ($A$1,$B82,L$5,$B$1)</f>
        <v>81.8</v>
      </c>
      <c r="M82" s="55">
        <f>_xll.EQNXTDZ($A$1,$B82,M$5,$B$1)</f>
        <v>0</v>
      </c>
      <c r="N82" s="55">
        <f>_xll.EQNXTDZ($A$1,$B82,N$5,$B$1)</f>
        <v>123.54</v>
      </c>
      <c r="O82" s="55">
        <f>_xll.EQNXTDZ($A$1,$B82,O$5,$B$1)</f>
        <v>0</v>
      </c>
      <c r="P82" s="55">
        <f>_xll.EQNXTDZ($A$1,$B82,P$5,$B$1)</f>
        <v>77.400000000000006</v>
      </c>
      <c r="Q82" s="55">
        <f>_xll.EQNXTDZ($A$1,$B82,Q$5,$B$1)</f>
        <v>0</v>
      </c>
      <c r="R82" s="55">
        <f>_xll.EQNXTDZ($A$1,$B82,R$5,$B$1)</f>
        <v>129.33000000000001</v>
      </c>
      <c r="S82" s="55">
        <f>_xll.EQNXTDZ($A$1,$B82,S$5,$B$1)</f>
        <v>0</v>
      </c>
      <c r="T82" s="55">
        <f>_xll.EQNXTDZ($A$1,$B82,T$5,$B$1)</f>
        <v>92.92</v>
      </c>
      <c r="U82" s="55">
        <f>_xll.EQNXTDZ($A$1,$B82,U$5,$B$1)</f>
        <v>0</v>
      </c>
      <c r="V82" s="55">
        <f>_xll.EQNXTDZ($A$1,$B82,V$5,$B$1)</f>
        <v>105.71</v>
      </c>
      <c r="W82" s="55">
        <f>_xll.EQNXTDZ($A$1,$B82,W$5,$B$1)</f>
        <v>0</v>
      </c>
      <c r="X82" s="55">
        <f>_xll.EQNXTDZ($A$1,$B82,X$5,$B$1)</f>
        <v>89.3</v>
      </c>
      <c r="Y82" s="55">
        <f>_xll.EQNXTDZ($A$1,$B82,Y$5,$B$1)</f>
        <v>0</v>
      </c>
      <c r="Z82" s="55">
        <f>_xll.EQNXTDZ($A$1,$B82,Z$5,$B$1)</f>
        <v>106.86</v>
      </c>
      <c r="AA82" s="55">
        <f>_xll.EQNXTDZ($A$1,$B82,AA$5,$B$1)</f>
        <v>0</v>
      </c>
      <c r="AB82" s="55">
        <f>_xll.EQNXTDZ($A$1,$B82,AB$5,$B$1)</f>
        <v>85.51</v>
      </c>
      <c r="AC82" s="55">
        <f>_xll.EQNXTDZ($A$1,$B82,AC$5,$B$1)</f>
        <v>0</v>
      </c>
      <c r="AD82" s="55">
        <f>_xll.EQNXTDZ($A$1,$B82,AD$5,$B$1)</f>
        <v>79.67</v>
      </c>
      <c r="AE82" s="55">
        <f>_xll.EQNXTDZ($A$1,$B82,AE$5,$B$1)</f>
        <v>0</v>
      </c>
      <c r="AF82" s="55">
        <f>_xll.EQNXTDZ($A$1,$B82,AF$5,$B$1)</f>
        <v>50.77</v>
      </c>
      <c r="AG82" s="55">
        <f>_xll.EQNXTDZ($A$1,$B82,AG$5,$B$1)</f>
        <v>0</v>
      </c>
      <c r="AH82" s="55">
        <f>_xll.EQNXTDZ($A$1,$B82,AH$5,$B$1)</f>
        <v>81.010000000000005</v>
      </c>
      <c r="AI82" s="55">
        <f>_xll.EQNXTDZ($A$1,$B82,AI$5,$B$1)</f>
        <v>0</v>
      </c>
      <c r="AJ82" s="55">
        <f>_xll.EQNXTDZ($A$1,$B82,AJ$5,$B$1)</f>
        <v>53.6</v>
      </c>
      <c r="AK82" s="55">
        <f>_xll.EQNXTDZ($A$1,$B82,AK$5,$B$1)</f>
        <v>0</v>
      </c>
      <c r="AL82" s="55">
        <f>_xll.EQNXTDZ($A$1,$B82,AL$5,$B$1)</f>
        <v>81.67</v>
      </c>
      <c r="AM82" s="55">
        <f>_xll.EQNXTDZ($A$1,$B82,AM$5,$B$1)</f>
        <v>0</v>
      </c>
      <c r="AN82" s="55">
        <f>_xll.EQNXTDZ($A$1,$B82,AN$5,$B$1)</f>
        <v>79.56</v>
      </c>
      <c r="AO82" s="55">
        <f>_xll.EQNXTDZ($A$1,$B82,AO$5,$B$1)</f>
        <v>0</v>
      </c>
      <c r="AP82" s="55">
        <f>_xll.EQNXTDZ($A$1,$B82,AP$5,$B$1)</f>
        <v>101.45</v>
      </c>
      <c r="AQ82" s="55">
        <f>_xll.EQNXTDZ($A$1,$B82,AQ$5,$B$1)</f>
        <v>0</v>
      </c>
      <c r="AR82" s="55">
        <f>_xll.EQNXTDZ($A$1,$B82,AR$5,$B$1)</f>
        <v>56.89</v>
      </c>
      <c r="AS82" s="55">
        <f>_xll.EQNXTDZ($A$1,$B82,AS$5,$B$1)</f>
        <v>0</v>
      </c>
      <c r="AT82" s="55">
        <f>_xll.EQNXTDZ($A$1,$B82,AT$5,$B$1)</f>
        <v>95.36</v>
      </c>
      <c r="AU82" s="55">
        <f>_xll.EQNXTDZ($A$1,$B82,AU$5,$B$1)</f>
        <v>0</v>
      </c>
      <c r="AV82" s="55">
        <f>_xll.EQNXTDZ($A$1,$B82,AV$5,$B$1)</f>
        <v>67.86</v>
      </c>
      <c r="AW82" s="55">
        <f>_xll.EQNXTDZ($A$1,$B82,AW$5,$B$1)</f>
        <v>0</v>
      </c>
      <c r="AX82" s="55">
        <f>_xll.EQNXTDZ($A$1,$B82,AX$5,$B$1)</f>
        <v>119.2</v>
      </c>
      <c r="AY82" s="55">
        <f>_xll.EQNXTDZ($A$1,$B82,AY$5,$B$1)</f>
        <v>0</v>
      </c>
      <c r="AZ82" s="55">
        <f>_xll.EQNXTDZ($A$1,$B82,AZ$5,$B$1)</f>
        <v>89.51</v>
      </c>
      <c r="BA82" s="55">
        <f>_xll.EQNXTDZ($A$1,$B82,BA$5,$B$1)</f>
        <v>0</v>
      </c>
      <c r="BB82" s="55">
        <f>_xll.EQNXTDZ($A$1,$B82,BB$5,$B$1)</f>
        <v>148.16</v>
      </c>
      <c r="BC82" s="55">
        <f>_xll.EQNXTDZ($A$1,$B82,BC$5,$B$1)</f>
        <v>0</v>
      </c>
      <c r="BD82" s="55">
        <f>_xll.EQNXTDZ($A$1,$B82,BD$5,$B$1)</f>
        <v>83.72</v>
      </c>
      <c r="BE82" s="55">
        <f>_xll.EQNXTDZ($A$1,$B82,BE$5,$B$1)</f>
        <v>0</v>
      </c>
      <c r="BF82" s="55">
        <f>_xll.EQNXTDZ($A$1,$B82,BF$5,$B$1)</f>
        <v>190.14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4.5199999999999996</v>
      </c>
      <c r="E83" s="55">
        <f>_xll.EQNXTDZ($A$1,$B83,E$5,$B$1)</f>
        <v>0</v>
      </c>
      <c r="F83" s="55">
        <f>_xll.EQNXTDZ($A$1,$B83,F$5,$B$1)</f>
        <v>74.02</v>
      </c>
      <c r="G83" s="55">
        <f>_xll.EQNXTDZ($A$1,$B83,G$5,$B$1)</f>
        <v>0</v>
      </c>
      <c r="H83" s="55">
        <f>_xll.EQNXTDZ($A$1,$B83,H$5,$B$1)</f>
        <v>78.63</v>
      </c>
      <c r="I83" s="55">
        <f>_xll.EQNXTDZ($A$1,$B83,I$5,$B$1)</f>
        <v>0</v>
      </c>
      <c r="J83" s="55">
        <f>_xll.EQNXTDZ($A$1,$B83,J$5,$B$1)</f>
        <v>29.96</v>
      </c>
      <c r="K83" s="55">
        <f>_xll.EQNXTDZ($A$1,$B83,K$5,$B$1)</f>
        <v>0</v>
      </c>
      <c r="L83" s="55">
        <f>_xll.EQNXTDZ($A$1,$B83,L$5,$B$1)</f>
        <v>3.76</v>
      </c>
      <c r="M83" s="55">
        <f>_xll.EQNXTDZ($A$1,$B83,M$5,$B$1)</f>
        <v>0</v>
      </c>
      <c r="N83" s="55">
        <f>_xll.EQNXTDZ($A$1,$B83,N$5,$B$1)</f>
        <v>10.34</v>
      </c>
      <c r="O83" s="55">
        <f>_xll.EQNXTDZ($A$1,$B83,O$5,$B$1)</f>
        <v>0</v>
      </c>
      <c r="P83" s="55">
        <f>_xll.EQNXTDZ($A$1,$B83,P$5,$B$1)</f>
        <v>8.1</v>
      </c>
      <c r="Q83" s="55">
        <f>_xll.EQNXTDZ($A$1,$B83,Q$5,$B$1)</f>
        <v>0</v>
      </c>
      <c r="R83" s="55">
        <f>_xll.EQNXTDZ($A$1,$B83,R$5,$B$1)</f>
        <v>10.4</v>
      </c>
      <c r="S83" s="55">
        <f>_xll.EQNXTDZ($A$1,$B83,S$5,$B$1)</f>
        <v>0</v>
      </c>
      <c r="T83" s="55">
        <f>_xll.EQNXTDZ($A$1,$B83,T$5,$B$1)</f>
        <v>3.33</v>
      </c>
      <c r="U83" s="55">
        <f>_xll.EQNXTDZ($A$1,$B83,U$5,$B$1)</f>
        <v>0</v>
      </c>
      <c r="V83" s="55">
        <f>_xll.EQNXTDZ($A$1,$B83,V$5,$B$1)</f>
        <v>20.11</v>
      </c>
      <c r="W83" s="55">
        <f>_xll.EQNXTDZ($A$1,$B83,W$5,$B$1)</f>
        <v>0</v>
      </c>
      <c r="X83" s="55">
        <f>_xll.EQNXTDZ($A$1,$B83,X$5,$B$1)</f>
        <v>23.8</v>
      </c>
      <c r="Y83" s="55">
        <f>_xll.EQNXTDZ($A$1,$B83,Y$5,$B$1)</f>
        <v>0</v>
      </c>
      <c r="Z83" s="55">
        <f>_xll.EQNXTDZ($A$1,$B83,Z$5,$B$1)</f>
        <v>143.81</v>
      </c>
      <c r="AA83" s="55">
        <f>_xll.EQNXTDZ($A$1,$B83,AA$5,$B$1)</f>
        <v>0</v>
      </c>
      <c r="AB83" s="55">
        <f>_xll.EQNXTDZ($A$1,$B83,AB$5,$B$1)</f>
        <v>183.48</v>
      </c>
      <c r="AC83" s="55">
        <f>_xll.EQNXTDZ($A$1,$B83,AC$5,$B$1)</f>
        <v>0</v>
      </c>
      <c r="AD83" s="55">
        <f>_xll.EQNXTDZ($A$1,$B83,AD$5,$B$1)</f>
        <v>311.5</v>
      </c>
      <c r="AE83" s="55">
        <f>_xll.EQNXTDZ($A$1,$B83,AE$5,$B$1)</f>
        <v>0</v>
      </c>
      <c r="AF83" s="55">
        <f>_xll.EQNXTDZ($A$1,$B83,AF$5,$B$1)</f>
        <v>259.87</v>
      </c>
      <c r="AG83" s="55">
        <f>_xll.EQNXTDZ($A$1,$B83,AG$5,$B$1)</f>
        <v>0</v>
      </c>
      <c r="AH83" s="55">
        <f>_xll.EQNXTDZ($A$1,$B83,AH$5,$B$1)</f>
        <v>326.35000000000002</v>
      </c>
      <c r="AI83" s="55">
        <f>_xll.EQNXTDZ($A$1,$B83,AI$5,$B$1)</f>
        <v>0</v>
      </c>
      <c r="AJ83" s="55">
        <f>_xll.EQNXTDZ($A$1,$B83,AJ$5,$B$1)</f>
        <v>158.38</v>
      </c>
      <c r="AK83" s="55">
        <f>_xll.EQNXTDZ($A$1,$B83,AK$5,$B$1)</f>
        <v>0</v>
      </c>
      <c r="AL83" s="55">
        <f>_xll.EQNXTDZ($A$1,$B83,AL$5,$B$1)</f>
        <v>206.96</v>
      </c>
      <c r="AM83" s="55">
        <f>_xll.EQNXTDZ($A$1,$B83,AM$5,$B$1)</f>
        <v>0</v>
      </c>
      <c r="AN83" s="55">
        <f>_xll.EQNXTDZ($A$1,$B83,AN$5,$B$1)</f>
        <v>168.45</v>
      </c>
      <c r="AO83" s="55">
        <f>_xll.EQNXTDZ($A$1,$B83,AO$5,$B$1)</f>
        <v>0</v>
      </c>
      <c r="AP83" s="55">
        <f>_xll.EQNXTDZ($A$1,$B83,AP$5,$B$1)</f>
        <v>330.55</v>
      </c>
      <c r="AQ83" s="55">
        <f>_xll.EQNXTDZ($A$1,$B83,AQ$5,$B$1)</f>
        <v>0</v>
      </c>
      <c r="AR83" s="55">
        <f>_xll.EQNXTDZ($A$1,$B83,AR$5,$B$1)</f>
        <v>178.89</v>
      </c>
      <c r="AS83" s="55">
        <f>_xll.EQNXTDZ($A$1,$B83,AS$5,$B$1)</f>
        <v>0</v>
      </c>
      <c r="AT83" s="55">
        <f>_xll.EQNXTDZ($A$1,$B83,AT$5,$B$1)</f>
        <v>497.26</v>
      </c>
      <c r="AU83" s="55">
        <f>_xll.EQNXTDZ($A$1,$B83,AU$5,$B$1)</f>
        <v>0</v>
      </c>
      <c r="AV83" s="55">
        <f>_xll.EQNXTDZ($A$1,$B83,AV$5,$B$1)</f>
        <v>590.05999999999995</v>
      </c>
      <c r="AW83" s="55">
        <f>_xll.EQNXTDZ($A$1,$B83,AW$5,$B$1)</f>
        <v>0</v>
      </c>
      <c r="AX83" s="55">
        <f>_xll.EQNXTDZ($A$1,$B83,AX$5,$B$1)</f>
        <v>608.46</v>
      </c>
      <c r="AY83" s="55">
        <f>_xll.EQNXTDZ($A$1,$B83,AY$5,$B$1)</f>
        <v>0</v>
      </c>
      <c r="AZ83" s="55">
        <f>_xll.EQNXTDZ($A$1,$B83,AZ$5,$B$1)</f>
        <v>742.05</v>
      </c>
      <c r="BA83" s="55">
        <f>_xll.EQNXTDZ($A$1,$B83,BA$5,$B$1)</f>
        <v>0</v>
      </c>
      <c r="BB83" s="55">
        <f>_xll.EQNXTDZ($A$1,$B83,BB$5,$B$1)</f>
        <v>672.93</v>
      </c>
      <c r="BC83" s="55">
        <f>_xll.EQNXTDZ($A$1,$B83,BC$5,$B$1)</f>
        <v>0</v>
      </c>
      <c r="BD83" s="55">
        <f>_xll.EQNXTDZ($A$1,$B83,BD$5,$B$1)</f>
        <v>544.51</v>
      </c>
      <c r="BE83" s="55">
        <f>_xll.EQNXTDZ($A$1,$B83,BE$5,$B$1)</f>
        <v>0</v>
      </c>
      <c r="BF83" s="55">
        <f>_xll.EQNXTDZ($A$1,$B83,BF$5,$B$1)</f>
        <v>146.07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2.76</v>
      </c>
      <c r="E84" s="55">
        <f>_xll.EQNXTDZ($A$1,$B84,E$5,$B$1)</f>
        <v>0</v>
      </c>
      <c r="F84" s="55">
        <f>_xll.EQNXTDZ($A$1,$B84,F$5,$B$1)</f>
        <v>3.7</v>
      </c>
      <c r="G84" s="55">
        <f>_xll.EQNXTDZ($A$1,$B84,G$5,$B$1)</f>
        <v>0</v>
      </c>
      <c r="H84" s="55">
        <f>_xll.EQNXTDZ($A$1,$B84,H$5,$B$1)</f>
        <v>4.3499999999999996</v>
      </c>
      <c r="I84" s="55">
        <f>_xll.EQNXTDZ($A$1,$B84,I$5,$B$1)</f>
        <v>0</v>
      </c>
      <c r="J84" s="55">
        <f>_xll.EQNXTDZ($A$1,$B84,J$5,$B$1)</f>
        <v>6.84</v>
      </c>
      <c r="K84" s="55">
        <f>_xll.EQNXTDZ($A$1,$B84,K$5,$B$1)</f>
        <v>0</v>
      </c>
      <c r="L84" s="55">
        <f>_xll.EQNXTDZ($A$1,$B84,L$5,$B$1)</f>
        <v>5.31</v>
      </c>
      <c r="M84" s="55">
        <f>_xll.EQNXTDZ($A$1,$B84,M$5,$B$1)</f>
        <v>0</v>
      </c>
      <c r="N84" s="55">
        <f>_xll.EQNXTDZ($A$1,$B84,N$5,$B$1)</f>
        <v>7.62</v>
      </c>
      <c r="O84" s="55">
        <f>_xll.EQNXTDZ($A$1,$B84,O$5,$B$1)</f>
        <v>0</v>
      </c>
      <c r="P84" s="55">
        <f>_xll.EQNXTDZ($A$1,$B84,P$5,$B$1)</f>
        <v>6.58</v>
      </c>
      <c r="Q84" s="55">
        <f>_xll.EQNXTDZ($A$1,$B84,Q$5,$B$1)</f>
        <v>0</v>
      </c>
      <c r="R84" s="55">
        <f>_xll.EQNXTDZ($A$1,$B84,R$5,$B$1)</f>
        <v>6.27</v>
      </c>
      <c r="S84" s="55">
        <f>_xll.EQNXTDZ($A$1,$B84,S$5,$B$1)</f>
        <v>0</v>
      </c>
      <c r="T84" s="55">
        <f>_xll.EQNXTDZ($A$1,$B84,T$5,$B$1)</f>
        <v>5.69</v>
      </c>
      <c r="U84" s="55">
        <f>_xll.EQNXTDZ($A$1,$B84,U$5,$B$1)</f>
        <v>0</v>
      </c>
      <c r="V84" s="55">
        <f>_xll.EQNXTDZ($A$1,$B84,V$5,$B$1)</f>
        <v>42.67</v>
      </c>
      <c r="W84" s="55">
        <f>_xll.EQNXTDZ($A$1,$B84,W$5,$B$1)</f>
        <v>0</v>
      </c>
      <c r="X84" s="55">
        <f>_xll.EQNXTDZ($A$1,$B84,X$5,$B$1)</f>
        <v>39.53</v>
      </c>
      <c r="Y84" s="55">
        <f>_xll.EQNXTDZ($A$1,$B84,Y$5,$B$1)</f>
        <v>0</v>
      </c>
      <c r="Z84" s="55">
        <f>_xll.EQNXTDZ($A$1,$B84,Z$5,$B$1)</f>
        <v>24.43</v>
      </c>
      <c r="AA84" s="55">
        <f>_xll.EQNXTDZ($A$1,$B84,AA$5,$B$1)</f>
        <v>0</v>
      </c>
      <c r="AB84" s="55">
        <f>_xll.EQNXTDZ($A$1,$B84,AB$5,$B$1)</f>
        <v>18.39</v>
      </c>
      <c r="AC84" s="55">
        <f>_xll.EQNXTDZ($A$1,$B84,AC$5,$B$1)</f>
        <v>0</v>
      </c>
      <c r="AD84" s="55">
        <f>_xll.EQNXTDZ($A$1,$B84,AD$5,$B$1)</f>
        <v>56.48</v>
      </c>
      <c r="AE84" s="55">
        <f>_xll.EQNXTDZ($A$1,$B84,AE$5,$B$1)</f>
        <v>0</v>
      </c>
      <c r="AF84" s="55">
        <f>_xll.EQNXTDZ($A$1,$B84,AF$5,$B$1)</f>
        <v>61.77</v>
      </c>
      <c r="AG84" s="55">
        <f>_xll.EQNXTDZ($A$1,$B84,AG$5,$B$1)</f>
        <v>0</v>
      </c>
      <c r="AH84" s="55">
        <f>_xll.EQNXTDZ($A$1,$B84,AH$5,$B$1)</f>
        <v>23.42</v>
      </c>
      <c r="AI84" s="55">
        <f>_xll.EQNXTDZ($A$1,$B84,AI$5,$B$1)</f>
        <v>0</v>
      </c>
      <c r="AJ84" s="55">
        <f>_xll.EQNXTDZ($A$1,$B84,AJ$5,$B$1)</f>
        <v>50.09</v>
      </c>
      <c r="AK84" s="55">
        <f>_xll.EQNXTDZ($A$1,$B84,AK$5,$B$1)</f>
        <v>0</v>
      </c>
      <c r="AL84" s="55">
        <f>_xll.EQNXTDZ($A$1,$B84,AL$5,$B$1)</f>
        <v>48.31</v>
      </c>
      <c r="AM84" s="55">
        <f>_xll.EQNXTDZ($A$1,$B84,AM$5,$B$1)</f>
        <v>0</v>
      </c>
      <c r="AN84" s="55">
        <f>_xll.EQNXTDZ($A$1,$B84,AN$5,$B$1)</f>
        <v>45.27</v>
      </c>
      <c r="AO84" s="55">
        <f>_xll.EQNXTDZ($A$1,$B84,AO$5,$B$1)</f>
        <v>0</v>
      </c>
      <c r="AP84" s="55">
        <f>_xll.EQNXTDZ($A$1,$B84,AP$5,$B$1)</f>
        <v>37.49</v>
      </c>
      <c r="AQ84" s="55">
        <f>_xll.EQNXTDZ($A$1,$B84,AQ$5,$B$1)</f>
        <v>0</v>
      </c>
      <c r="AR84" s="55">
        <f>_xll.EQNXTDZ($A$1,$B84,AR$5,$B$1)</f>
        <v>31.81</v>
      </c>
      <c r="AS84" s="55">
        <f>_xll.EQNXTDZ($A$1,$B84,AS$5,$B$1)</f>
        <v>0</v>
      </c>
      <c r="AT84" s="55">
        <f>_xll.EQNXTDZ($A$1,$B84,AT$5,$B$1)</f>
        <v>24.73</v>
      </c>
      <c r="AU84" s="55">
        <f>_xll.EQNXTDZ($A$1,$B84,AU$5,$B$1)</f>
        <v>0</v>
      </c>
      <c r="AV84" s="55">
        <f>_xll.EQNXTDZ($A$1,$B84,AV$5,$B$1)</f>
        <v>30.69</v>
      </c>
      <c r="AW84" s="55">
        <f>_xll.EQNXTDZ($A$1,$B84,AW$5,$B$1)</f>
        <v>0</v>
      </c>
      <c r="AX84" s="55">
        <f>_xll.EQNXTDZ($A$1,$B84,AX$5,$B$1)</f>
        <v>34.19</v>
      </c>
      <c r="AY84" s="55">
        <f>_xll.EQNXTDZ($A$1,$B84,AY$5,$B$1)</f>
        <v>0</v>
      </c>
      <c r="AZ84" s="55">
        <f>_xll.EQNXTDZ($A$1,$B84,AZ$5,$B$1)</f>
        <v>39.68</v>
      </c>
      <c r="BA84" s="55">
        <f>_xll.EQNXTDZ($A$1,$B84,BA$5,$B$1)</f>
        <v>0</v>
      </c>
      <c r="BB84" s="55">
        <f>_xll.EQNXTDZ($A$1,$B84,BB$5,$B$1)</f>
        <v>71.239999999999995</v>
      </c>
      <c r="BC84" s="55">
        <f>_xll.EQNXTDZ($A$1,$B84,BC$5,$B$1)</f>
        <v>0</v>
      </c>
      <c r="BD84" s="55">
        <f>_xll.EQNXTDZ($A$1,$B84,BD$5,$B$1)</f>
        <v>79.459999999999994</v>
      </c>
      <c r="BE84" s="55">
        <f>_xll.EQNXTDZ($A$1,$B84,BE$5,$B$1)</f>
        <v>0</v>
      </c>
      <c r="BF84" s="55">
        <f>_xll.EQNXTDZ($A$1,$B84,BF$5,$B$1)</f>
        <v>17.86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119.74</v>
      </c>
      <c r="E85" s="55">
        <f>_xll.EQNXTDZ($A$1,$B85,E$5,$B$1)</f>
        <v>0</v>
      </c>
      <c r="F85" s="55">
        <f>_xll.EQNXTDZ($A$1,$B85,F$5,$B$1)</f>
        <v>92.8</v>
      </c>
      <c r="G85" s="55">
        <f>_xll.EQNXTDZ($A$1,$B85,G$5,$B$1)</f>
        <v>0</v>
      </c>
      <c r="H85" s="55">
        <f>_xll.EQNXTDZ($A$1,$B85,H$5,$B$1)</f>
        <v>102.08</v>
      </c>
      <c r="I85" s="55">
        <f>_xll.EQNXTDZ($A$1,$B85,I$5,$B$1)</f>
        <v>0</v>
      </c>
      <c r="J85" s="55">
        <f>_xll.EQNXTDZ($A$1,$B85,J$5,$B$1)</f>
        <v>93.59</v>
      </c>
      <c r="K85" s="55">
        <f>_xll.EQNXTDZ($A$1,$B85,K$5,$B$1)</f>
        <v>0</v>
      </c>
      <c r="L85" s="55">
        <f>_xll.EQNXTDZ($A$1,$B85,L$5,$B$1)</f>
        <v>96.6</v>
      </c>
      <c r="M85" s="55">
        <f>_xll.EQNXTDZ($A$1,$B85,M$5,$B$1)</f>
        <v>0</v>
      </c>
      <c r="N85" s="55">
        <f>_xll.EQNXTDZ($A$1,$B85,N$5,$B$1)</f>
        <v>106.35</v>
      </c>
      <c r="O85" s="55">
        <f>_xll.EQNXTDZ($A$1,$B85,O$5,$B$1)</f>
        <v>0</v>
      </c>
      <c r="P85" s="55">
        <f>_xll.EQNXTDZ($A$1,$B85,P$5,$B$1)</f>
        <v>112.21</v>
      </c>
      <c r="Q85" s="55">
        <f>_xll.EQNXTDZ($A$1,$B85,Q$5,$B$1)</f>
        <v>0</v>
      </c>
      <c r="R85" s="55">
        <f>_xll.EQNXTDZ($A$1,$B85,R$5,$B$1)</f>
        <v>113.78</v>
      </c>
      <c r="S85" s="55">
        <f>_xll.EQNXTDZ($A$1,$B85,S$5,$B$1)</f>
        <v>0</v>
      </c>
      <c r="T85" s="55">
        <f>_xll.EQNXTDZ($A$1,$B85,T$5,$B$1)</f>
        <v>126.12</v>
      </c>
      <c r="U85" s="55">
        <f>_xll.EQNXTDZ($A$1,$B85,U$5,$B$1)</f>
        <v>0</v>
      </c>
      <c r="V85" s="55">
        <f>_xll.EQNXTDZ($A$1,$B85,V$5,$B$1)</f>
        <v>2.06</v>
      </c>
      <c r="W85" s="55">
        <f>_xll.EQNXTDZ($A$1,$B85,W$5,$B$1)</f>
        <v>0</v>
      </c>
      <c r="X85" s="55">
        <f>_xll.EQNXTDZ($A$1,$B85,X$5,$B$1)</f>
        <v>5.4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0.62</v>
      </c>
      <c r="AE85" s="55">
        <f>_xll.EQNXTDZ($A$1,$B85,AE$5,$B$1)</f>
        <v>0</v>
      </c>
      <c r="AF85" s="55">
        <f>_xll.EQNXTDZ($A$1,$B85,AF$5,$B$1)</f>
        <v>0.63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309.64999999999998</v>
      </c>
      <c r="E86" s="55">
        <f>_xll.EQNXTDZ($A$1,$B86,E$5,$B$1)</f>
        <v>0</v>
      </c>
      <c r="F86" s="55">
        <f>_xll.EQNXTDZ($A$1,$B86,F$5,$B$1)</f>
        <v>356.76</v>
      </c>
      <c r="G86" s="55">
        <f>_xll.EQNXTDZ($A$1,$B86,G$5,$B$1)</f>
        <v>0</v>
      </c>
      <c r="H86" s="55">
        <f>_xll.EQNXTDZ($A$1,$B86,H$5,$B$1)</f>
        <v>376.77</v>
      </c>
      <c r="I86" s="55">
        <f>_xll.EQNXTDZ($A$1,$B86,I$5,$B$1)</f>
        <v>0</v>
      </c>
      <c r="J86" s="55">
        <f>_xll.EQNXTDZ($A$1,$B86,J$5,$B$1)</f>
        <v>363.13</v>
      </c>
      <c r="K86" s="55">
        <f>_xll.EQNXTDZ($A$1,$B86,K$5,$B$1)</f>
        <v>0</v>
      </c>
      <c r="L86" s="55">
        <f>_xll.EQNXTDZ($A$1,$B86,L$5,$B$1)</f>
        <v>373.74</v>
      </c>
      <c r="M86" s="55">
        <f>_xll.EQNXTDZ($A$1,$B86,M$5,$B$1)</f>
        <v>0</v>
      </c>
      <c r="N86" s="55">
        <f>_xll.EQNXTDZ($A$1,$B86,N$5,$B$1)</f>
        <v>383.81</v>
      </c>
      <c r="O86" s="55">
        <f>_xll.EQNXTDZ($A$1,$B86,O$5,$B$1)</f>
        <v>0</v>
      </c>
      <c r="P86" s="55">
        <f>_xll.EQNXTDZ($A$1,$B86,P$5,$B$1)</f>
        <v>392.38</v>
      </c>
      <c r="Q86" s="55">
        <f>_xll.EQNXTDZ($A$1,$B86,Q$5,$B$1)</f>
        <v>0</v>
      </c>
      <c r="R86" s="55">
        <f>_xll.EQNXTDZ($A$1,$B86,R$5,$B$1)</f>
        <v>373.85</v>
      </c>
      <c r="S86" s="55">
        <f>_xll.EQNXTDZ($A$1,$B86,S$5,$B$1)</f>
        <v>0</v>
      </c>
      <c r="T86" s="55">
        <f>_xll.EQNXTDZ($A$1,$B86,T$5,$B$1)</f>
        <v>392.26</v>
      </c>
      <c r="U86" s="55">
        <f>_xll.EQNXTDZ($A$1,$B86,U$5,$B$1)</f>
        <v>0</v>
      </c>
      <c r="V86" s="55">
        <f>_xll.EQNXTDZ($A$1,$B86,V$5,$B$1)</f>
        <v>299.52</v>
      </c>
      <c r="W86" s="55">
        <f>_xll.EQNXTDZ($A$1,$B86,W$5,$B$1)</f>
        <v>0</v>
      </c>
      <c r="X86" s="55">
        <f>_xll.EQNXTDZ($A$1,$B86,X$5,$B$1)</f>
        <v>318.48</v>
      </c>
      <c r="Y86" s="55">
        <f>_xll.EQNXTDZ($A$1,$B86,Y$5,$B$1)</f>
        <v>0</v>
      </c>
      <c r="Z86" s="55">
        <f>_xll.EQNXTDZ($A$1,$B86,Z$5,$B$1)</f>
        <v>432.88</v>
      </c>
      <c r="AA86" s="55">
        <f>_xll.EQNXTDZ($A$1,$B86,AA$5,$B$1)</f>
        <v>0</v>
      </c>
      <c r="AB86" s="55">
        <f>_xll.EQNXTDZ($A$1,$B86,AB$5,$B$1)</f>
        <v>436.26</v>
      </c>
      <c r="AC86" s="55">
        <f>_xll.EQNXTDZ($A$1,$B86,AC$5,$B$1)</f>
        <v>0</v>
      </c>
      <c r="AD86" s="55">
        <f>_xll.EQNXTDZ($A$1,$B86,AD$5,$B$1)</f>
        <v>582.84</v>
      </c>
      <c r="AE86" s="55">
        <f>_xll.EQNXTDZ($A$1,$B86,AE$5,$B$1)</f>
        <v>0</v>
      </c>
      <c r="AF86" s="55">
        <f>_xll.EQNXTDZ($A$1,$B86,AF$5,$B$1)</f>
        <v>543.49</v>
      </c>
      <c r="AG86" s="55">
        <f>_xll.EQNXTDZ($A$1,$B86,AG$5,$B$1)</f>
        <v>0</v>
      </c>
      <c r="AH86" s="55">
        <f>_xll.EQNXTDZ($A$1,$B86,AH$5,$B$1)</f>
        <v>600.22</v>
      </c>
      <c r="AI86" s="55">
        <f>_xll.EQNXTDZ($A$1,$B86,AI$5,$B$1)</f>
        <v>0</v>
      </c>
      <c r="AJ86" s="55">
        <f>_xll.EQNXTDZ($A$1,$B86,AJ$5,$B$1)</f>
        <v>598.72</v>
      </c>
      <c r="AK86" s="55">
        <f>_xll.EQNXTDZ($A$1,$B86,AK$5,$B$1)</f>
        <v>0</v>
      </c>
      <c r="AL86" s="55">
        <f>_xll.EQNXTDZ($A$1,$B86,AL$5,$B$1)</f>
        <v>564.19000000000005</v>
      </c>
      <c r="AM86" s="55">
        <f>_xll.EQNXTDZ($A$1,$B86,AM$5,$B$1)</f>
        <v>0</v>
      </c>
      <c r="AN86" s="55">
        <f>_xll.EQNXTDZ($A$1,$B86,AN$5,$B$1)</f>
        <v>554.71</v>
      </c>
      <c r="AO86" s="55">
        <f>_xll.EQNXTDZ($A$1,$B86,AO$5,$B$1)</f>
        <v>0</v>
      </c>
      <c r="AP86" s="55">
        <f>_xll.EQNXTDZ($A$1,$B86,AP$5,$B$1)</f>
        <v>593.61</v>
      </c>
      <c r="AQ86" s="55">
        <f>_xll.EQNXTDZ($A$1,$B86,AQ$5,$B$1)</f>
        <v>0</v>
      </c>
      <c r="AR86" s="55">
        <f>_xll.EQNXTDZ($A$1,$B86,AR$5,$B$1)</f>
        <v>432.18</v>
      </c>
      <c r="AS86" s="55">
        <f>_xll.EQNXTDZ($A$1,$B86,AS$5,$B$1)</f>
        <v>0</v>
      </c>
      <c r="AT86" s="55">
        <f>_xll.EQNXTDZ($A$1,$B86,AT$5,$B$1)</f>
        <v>858.23</v>
      </c>
      <c r="AU86" s="55">
        <f>_xll.EQNXTDZ($A$1,$B86,AU$5,$B$1)</f>
        <v>0</v>
      </c>
      <c r="AV86" s="55">
        <f>_xll.EQNXTDZ($A$1,$B86,AV$5,$B$1)</f>
        <v>989.52</v>
      </c>
      <c r="AW86" s="55">
        <f>_xll.EQNXTDZ($A$1,$B86,AW$5,$B$1)</f>
        <v>0</v>
      </c>
      <c r="AX86" s="55">
        <f>_xll.EQNXTDZ($A$1,$B86,AX$5,$B$1)</f>
        <v>1049.76</v>
      </c>
      <c r="AY86" s="55">
        <f>_xll.EQNXTDZ($A$1,$B86,AY$5,$B$1)</f>
        <v>0</v>
      </c>
      <c r="AZ86" s="55">
        <f>_xll.EQNXTDZ($A$1,$B86,AZ$5,$B$1)</f>
        <v>1205.1400000000001</v>
      </c>
      <c r="BA86" s="55">
        <f>_xll.EQNXTDZ($A$1,$B86,BA$5,$B$1)</f>
        <v>0</v>
      </c>
      <c r="BB86" s="55">
        <f>_xll.EQNXTDZ($A$1,$B86,BB$5,$B$1)</f>
        <v>1246.3800000000001</v>
      </c>
      <c r="BC86" s="55">
        <f>_xll.EQNXTDZ($A$1,$B86,BC$5,$B$1)</f>
        <v>0</v>
      </c>
      <c r="BD86" s="55">
        <f>_xll.EQNXTDZ($A$1,$B86,BD$5,$B$1)</f>
        <v>1176.97</v>
      </c>
      <c r="BE86" s="55">
        <f>_xll.EQNXTDZ($A$1,$B86,BE$5,$B$1)</f>
        <v>0</v>
      </c>
      <c r="BF86" s="55">
        <f>_xll.EQNXTDZ($A$1,$B86,BF$5,$B$1)</f>
        <v>714.5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187.17</v>
      </c>
      <c r="E87" s="55">
        <f>_xll.EQNXTDZ($A$1,$B87,E$5,$B$1)</f>
        <v>0</v>
      </c>
      <c r="F87" s="55">
        <f>_xll.EQNXTDZ($A$1,$B87,F$5,$B$1)</f>
        <v>265.36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98.37</v>
      </c>
      <c r="E88" s="55">
        <f>_xll.EQNXTDZ($A$1,$B88,E$5,$B$1)</f>
        <v>0</v>
      </c>
      <c r="F88" s="55">
        <f>_xll.EQNXTDZ($A$1,$B88,F$5,$B$1)</f>
        <v>177.38</v>
      </c>
      <c r="G88" s="55">
        <f>_xll.EQNXTDZ($A$1,$B88,G$5,$B$1)</f>
        <v>0</v>
      </c>
      <c r="H88" s="55">
        <f>_xll.EQNXTDZ($A$1,$B88,H$5,$B$1)</f>
        <v>186.22</v>
      </c>
      <c r="I88" s="55">
        <f>_xll.EQNXTDZ($A$1,$B88,I$5,$B$1)</f>
        <v>0</v>
      </c>
      <c r="J88" s="55">
        <f>_xll.EQNXTDZ($A$1,$B88,J$5,$B$1)</f>
        <v>163.65</v>
      </c>
      <c r="K88" s="55">
        <f>_xll.EQNXTDZ($A$1,$B88,K$5,$B$1)</f>
        <v>0</v>
      </c>
      <c r="L88" s="55">
        <f>_xll.EQNXTDZ($A$1,$B88,L$5,$B$1)</f>
        <v>137.49</v>
      </c>
      <c r="M88" s="55">
        <f>_xll.EQNXTDZ($A$1,$B88,M$5,$B$1)</f>
        <v>0</v>
      </c>
      <c r="N88" s="55">
        <f>_xll.EQNXTDZ($A$1,$B88,N$5,$B$1)</f>
        <v>126.05</v>
      </c>
      <c r="O88" s="55">
        <f>_xll.EQNXTDZ($A$1,$B88,O$5,$B$1)</f>
        <v>0</v>
      </c>
      <c r="P88" s="55">
        <f>_xll.EQNXTDZ($A$1,$B88,P$5,$B$1)</f>
        <v>138.52000000000001</v>
      </c>
      <c r="Q88" s="55">
        <f>_xll.EQNXTDZ($A$1,$B88,Q$5,$B$1)</f>
        <v>0</v>
      </c>
      <c r="R88" s="55">
        <f>_xll.EQNXTDZ($A$1,$B88,R$5,$B$1)</f>
        <v>97.28</v>
      </c>
      <c r="S88" s="55">
        <f>_xll.EQNXTDZ($A$1,$B88,S$5,$B$1)</f>
        <v>0</v>
      </c>
      <c r="T88" s="55">
        <f>_xll.EQNXTDZ($A$1,$B88,T$5,$B$1)</f>
        <v>68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3.48</v>
      </c>
      <c r="AK88" s="55">
        <f>_xll.EQNXTDZ($A$1,$B88,AK$5,$B$1)</f>
        <v>0</v>
      </c>
      <c r="AL88" s="55">
        <f>_xll.EQNXTDZ($A$1,$B88,AL$5,$B$1)</f>
        <v>4.03</v>
      </c>
      <c r="AM88" s="55">
        <f>_xll.EQNXTDZ($A$1,$B88,AM$5,$B$1)</f>
        <v>0</v>
      </c>
      <c r="AN88" s="55">
        <f>_xll.EQNXTDZ($A$1,$B88,AN$5,$B$1)</f>
        <v>4.01</v>
      </c>
      <c r="AO88" s="55">
        <f>_xll.EQNXTDZ($A$1,$B88,AO$5,$B$1)</f>
        <v>0</v>
      </c>
      <c r="AP88" s="55">
        <f>_xll.EQNXTDZ($A$1,$B88,AP$5,$B$1)</f>
        <v>3.56</v>
      </c>
      <c r="AQ88" s="55">
        <f>_xll.EQNXTDZ($A$1,$B88,AQ$5,$B$1)</f>
        <v>0</v>
      </c>
      <c r="AR88" s="55">
        <f>_xll.EQNXTDZ($A$1,$B88,AR$5,$B$1)</f>
        <v>3.48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21</v>
      </c>
      <c r="AY88" s="55">
        <f>_xll.EQNXTDZ($A$1,$B88,AY$5,$B$1)</f>
        <v>0</v>
      </c>
      <c r="AZ88" s="55">
        <f>_xll.EQNXTDZ($A$1,$B88,AZ$5,$B$1)</f>
        <v>82.45</v>
      </c>
      <c r="BA88" s="55">
        <f>_xll.EQNXTDZ($A$1,$B88,BA$5,$B$1)</f>
        <v>0</v>
      </c>
      <c r="BB88" s="55">
        <f>_xll.EQNXTDZ($A$1,$B88,BB$5,$B$1)</f>
        <v>81.86</v>
      </c>
      <c r="BC88" s="55">
        <f>_xll.EQNXTDZ($A$1,$B88,BC$5,$B$1)</f>
        <v>0</v>
      </c>
      <c r="BD88" s="55">
        <f>_xll.EQNXTDZ($A$1,$B88,BD$5,$B$1)</f>
        <v>76.75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200.94</v>
      </c>
      <c r="I89" s="55">
        <f>_xll.EQNXTDZ($A$1,$B89,I$5,$B$1)</f>
        <v>0</v>
      </c>
      <c r="J89" s="55">
        <f>_xll.EQNXTDZ($A$1,$B89,J$5,$B$1)</f>
        <v>176.65</v>
      </c>
      <c r="K89" s="55">
        <f>_xll.EQNXTDZ($A$1,$B89,K$5,$B$1)</f>
        <v>0</v>
      </c>
      <c r="L89" s="55">
        <f>_xll.EQNXTDZ($A$1,$B89,L$5,$B$1)</f>
        <v>200.28</v>
      </c>
      <c r="M89" s="55">
        <f>_xll.EQNXTDZ($A$1,$B89,M$5,$B$1)</f>
        <v>0</v>
      </c>
      <c r="N89" s="55">
        <f>_xll.EQNXTDZ($A$1,$B89,N$5,$B$1)</f>
        <v>225.7</v>
      </c>
      <c r="O89" s="55">
        <f>_xll.EQNXTDZ($A$1,$B89,O$5,$B$1)</f>
        <v>0</v>
      </c>
      <c r="P89" s="55">
        <f>_xll.EQNXTDZ($A$1,$B89,P$5,$B$1)</f>
        <v>217.78</v>
      </c>
      <c r="Q89" s="55">
        <f>_xll.EQNXTDZ($A$1,$B89,Q$5,$B$1)</f>
        <v>0</v>
      </c>
      <c r="R89" s="55">
        <f>_xll.EQNXTDZ($A$1,$B89,R$5,$B$1)</f>
        <v>220.54</v>
      </c>
      <c r="S89" s="55">
        <f>_xll.EQNXTDZ($A$1,$B89,S$5,$B$1)</f>
        <v>0</v>
      </c>
      <c r="T89" s="55">
        <f>_xll.EQNXTDZ($A$1,$B89,T$5,$B$1)</f>
        <v>218.3</v>
      </c>
      <c r="U89" s="55">
        <f>_xll.EQNXTDZ($A$1,$B89,U$5,$B$1)</f>
        <v>0</v>
      </c>
      <c r="V89" s="55">
        <f>_xll.EQNXTDZ($A$1,$B89,V$5,$B$1)</f>
        <v>188.06</v>
      </c>
      <c r="W89" s="55">
        <f>_xll.EQNXTDZ($A$1,$B89,W$5,$B$1)</f>
        <v>0</v>
      </c>
      <c r="X89" s="55">
        <f>_xll.EQNXTDZ($A$1,$B89,X$5,$B$1)</f>
        <v>175.78</v>
      </c>
      <c r="Y89" s="55">
        <f>_xll.EQNXTDZ($A$1,$B89,Y$5,$B$1)</f>
        <v>0</v>
      </c>
      <c r="Z89" s="55">
        <f>_xll.EQNXTDZ($A$1,$B89,Z$5,$B$1)</f>
        <v>236.46</v>
      </c>
      <c r="AA89" s="55">
        <f>_xll.EQNXTDZ($A$1,$B89,AA$5,$B$1)</f>
        <v>0</v>
      </c>
      <c r="AB89" s="55">
        <f>_xll.EQNXTDZ($A$1,$B89,AB$5,$B$1)</f>
        <v>199.34</v>
      </c>
      <c r="AC89" s="55">
        <f>_xll.EQNXTDZ($A$1,$B89,AC$5,$B$1)</f>
        <v>0</v>
      </c>
      <c r="AD89" s="55">
        <f>_xll.EQNXTDZ($A$1,$B89,AD$5,$B$1)</f>
        <v>258.54000000000002</v>
      </c>
      <c r="AE89" s="55">
        <f>_xll.EQNXTDZ($A$1,$B89,AE$5,$B$1)</f>
        <v>0</v>
      </c>
      <c r="AF89" s="55">
        <f>_xll.EQNXTDZ($A$1,$B89,AF$5,$B$1)</f>
        <v>188.96</v>
      </c>
      <c r="AG89" s="55">
        <f>_xll.EQNXTDZ($A$1,$B89,AG$5,$B$1)</f>
        <v>0</v>
      </c>
      <c r="AH89" s="55">
        <f>_xll.EQNXTDZ($A$1,$B89,AH$5,$B$1)</f>
        <v>195</v>
      </c>
      <c r="AI89" s="55">
        <f>_xll.EQNXTDZ($A$1,$B89,AI$5,$B$1)</f>
        <v>0</v>
      </c>
      <c r="AJ89" s="55">
        <f>_xll.EQNXTDZ($A$1,$B89,AJ$5,$B$1)</f>
        <v>195.07</v>
      </c>
      <c r="AK89" s="55">
        <f>_xll.EQNXTDZ($A$1,$B89,AK$5,$B$1)</f>
        <v>0</v>
      </c>
      <c r="AL89" s="55">
        <f>_xll.EQNXTDZ($A$1,$B89,AL$5,$B$1)</f>
        <v>171.3</v>
      </c>
      <c r="AM89" s="55">
        <f>_xll.EQNXTDZ($A$1,$B89,AM$5,$B$1)</f>
        <v>0</v>
      </c>
      <c r="AN89" s="55">
        <f>_xll.EQNXTDZ($A$1,$B89,AN$5,$B$1)</f>
        <v>145.01</v>
      </c>
      <c r="AO89" s="55">
        <f>_xll.EQNXTDZ($A$1,$B89,AO$5,$B$1)</f>
        <v>0</v>
      </c>
      <c r="AP89" s="55">
        <f>_xll.EQNXTDZ($A$1,$B89,AP$5,$B$1)</f>
        <v>195.59</v>
      </c>
      <c r="AQ89" s="55">
        <f>_xll.EQNXTDZ($A$1,$B89,AQ$5,$B$1)</f>
        <v>0</v>
      </c>
      <c r="AR89" s="55">
        <f>_xll.EQNXTDZ($A$1,$B89,AR$5,$B$1)</f>
        <v>187.09</v>
      </c>
      <c r="AS89" s="55">
        <f>_xll.EQNXTDZ($A$1,$B89,AS$5,$B$1)</f>
        <v>0</v>
      </c>
      <c r="AT89" s="55">
        <f>_xll.EQNXTDZ($A$1,$B89,AT$5,$B$1)</f>
        <v>232.98</v>
      </c>
      <c r="AU89" s="55">
        <f>_xll.EQNXTDZ($A$1,$B89,AU$5,$B$1)</f>
        <v>0</v>
      </c>
      <c r="AV89" s="55">
        <f>_xll.EQNXTDZ($A$1,$B89,AV$5,$B$1)</f>
        <v>209.35</v>
      </c>
      <c r="AW89" s="55">
        <f>_xll.EQNXTDZ($A$1,$B89,AW$5,$B$1)</f>
        <v>0</v>
      </c>
      <c r="AX89" s="55">
        <f>_xll.EQNXTDZ($A$1,$B89,AX$5,$B$1)</f>
        <v>259.36</v>
      </c>
      <c r="AY89" s="55">
        <f>_xll.EQNXTDZ($A$1,$B89,AY$5,$B$1)</f>
        <v>0</v>
      </c>
      <c r="AZ89" s="55">
        <f>_xll.EQNXTDZ($A$1,$B89,AZ$5,$B$1)</f>
        <v>192.27</v>
      </c>
      <c r="BA89" s="55">
        <f>_xll.EQNXTDZ($A$1,$B89,BA$5,$B$1)</f>
        <v>0</v>
      </c>
      <c r="BB89" s="55">
        <f>_xll.EQNXTDZ($A$1,$B89,BB$5,$B$1)</f>
        <v>246.64</v>
      </c>
      <c r="BC89" s="55">
        <f>_xll.EQNXTDZ($A$1,$B89,BC$5,$B$1)</f>
        <v>0</v>
      </c>
      <c r="BD89" s="55">
        <f>_xll.EQNXTDZ($A$1,$B89,BD$5,$B$1)</f>
        <v>192.38</v>
      </c>
      <c r="BE89" s="55">
        <f>_xll.EQNXTDZ($A$1,$B89,BE$5,$B$1)</f>
        <v>0</v>
      </c>
      <c r="BF89" s="55">
        <f>_xll.EQNXTDZ($A$1,$B89,BF$5,$B$1)</f>
        <v>239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53.1</v>
      </c>
      <c r="I91" s="55">
        <f>_xll.EQNXTDZ($A$1,$B91,I$5,$B$1)</f>
        <v>0</v>
      </c>
      <c r="J91" s="55">
        <f>_xll.EQNXTDZ($A$1,$B91,J$5,$B$1)</f>
        <v>45.86</v>
      </c>
      <c r="K91" s="55">
        <f>_xll.EQNXTDZ($A$1,$B91,K$5,$B$1)</f>
        <v>0</v>
      </c>
      <c r="L91" s="55">
        <f>_xll.EQNXTDZ($A$1,$B91,L$5,$B$1)</f>
        <v>53.56</v>
      </c>
      <c r="M91" s="55">
        <f>_xll.EQNXTDZ($A$1,$B91,M$5,$B$1)</f>
        <v>0</v>
      </c>
      <c r="N91" s="55">
        <f>_xll.EQNXTDZ($A$1,$B91,N$5,$B$1)</f>
        <v>59.84</v>
      </c>
      <c r="O91" s="55">
        <f>_xll.EQNXTDZ($A$1,$B91,O$5,$B$1)</f>
        <v>0</v>
      </c>
      <c r="P91" s="55">
        <f>_xll.EQNXTDZ($A$1,$B91,P$5,$B$1)</f>
        <v>61.72</v>
      </c>
      <c r="Q91" s="55">
        <f>_xll.EQNXTDZ($A$1,$B91,Q$5,$B$1)</f>
        <v>0</v>
      </c>
      <c r="R91" s="55">
        <f>_xll.EQNXTDZ($A$1,$B91,R$5,$B$1)</f>
        <v>60.94</v>
      </c>
      <c r="S91" s="55">
        <f>_xll.EQNXTDZ($A$1,$B91,S$5,$B$1)</f>
        <v>0</v>
      </c>
      <c r="T91" s="55">
        <f>_xll.EQNXTDZ($A$1,$B91,T$5,$B$1)</f>
        <v>55.42</v>
      </c>
      <c r="U91" s="55">
        <f>_xll.EQNXTDZ($A$1,$B91,U$5,$B$1)</f>
        <v>0</v>
      </c>
      <c r="V91" s="55">
        <f>_xll.EQNXTDZ($A$1,$B91,V$5,$B$1)</f>
        <v>84.66</v>
      </c>
      <c r="W91" s="55">
        <f>_xll.EQNXTDZ($A$1,$B91,W$5,$B$1)</f>
        <v>0</v>
      </c>
      <c r="X91" s="55">
        <f>_xll.EQNXTDZ($A$1,$B91,X$5,$B$1)</f>
        <v>88.14</v>
      </c>
      <c r="Y91" s="55">
        <f>_xll.EQNXTDZ($A$1,$B91,Y$5,$B$1)</f>
        <v>0</v>
      </c>
      <c r="Z91" s="55">
        <f>_xll.EQNXTDZ($A$1,$B91,Z$5,$B$1)</f>
        <v>86.89</v>
      </c>
      <c r="AA91" s="55">
        <f>_xll.EQNXTDZ($A$1,$B91,AA$5,$B$1)</f>
        <v>0</v>
      </c>
      <c r="AB91" s="55">
        <f>_xll.EQNXTDZ($A$1,$B91,AB$5,$B$1)</f>
        <v>89.86</v>
      </c>
      <c r="AC91" s="55">
        <f>_xll.EQNXTDZ($A$1,$B91,AC$5,$B$1)</f>
        <v>0</v>
      </c>
      <c r="AD91" s="55">
        <f>_xll.EQNXTDZ($A$1,$B91,AD$5,$B$1)</f>
        <v>69.430000000000007</v>
      </c>
      <c r="AE91" s="55">
        <f>_xll.EQNXTDZ($A$1,$B91,AE$5,$B$1)</f>
        <v>0</v>
      </c>
      <c r="AF91" s="55">
        <f>_xll.EQNXTDZ($A$1,$B91,AF$5,$B$1)</f>
        <v>49.79</v>
      </c>
      <c r="AG91" s="55">
        <f>_xll.EQNXTDZ($A$1,$B91,AG$5,$B$1)</f>
        <v>0</v>
      </c>
      <c r="AH91" s="55">
        <f>_xll.EQNXTDZ($A$1,$B91,AH$5,$B$1)</f>
        <v>33.799999999999997</v>
      </c>
      <c r="AI91" s="55">
        <f>_xll.EQNXTDZ($A$1,$B91,AI$5,$B$1)</f>
        <v>0</v>
      </c>
      <c r="AJ91" s="55">
        <f>_xll.EQNXTDZ($A$1,$B91,AJ$5,$B$1)</f>
        <v>33.229999999999997</v>
      </c>
      <c r="AK91" s="55">
        <f>_xll.EQNXTDZ($A$1,$B91,AK$5,$B$1)</f>
        <v>0</v>
      </c>
      <c r="AL91" s="55">
        <f>_xll.EQNXTDZ($A$1,$B91,AL$5,$B$1)</f>
        <v>37.99</v>
      </c>
      <c r="AM91" s="55">
        <f>_xll.EQNXTDZ($A$1,$B91,AM$5,$B$1)</f>
        <v>0</v>
      </c>
      <c r="AN91" s="55">
        <f>_xll.EQNXTDZ($A$1,$B91,AN$5,$B$1)</f>
        <v>51.89</v>
      </c>
      <c r="AO91" s="55">
        <f>_xll.EQNXTDZ($A$1,$B91,AO$5,$B$1)</f>
        <v>0</v>
      </c>
      <c r="AP91" s="55">
        <f>_xll.EQNXTDZ($A$1,$B91,AP$5,$B$1)</f>
        <v>44.53</v>
      </c>
      <c r="AQ91" s="55">
        <f>_xll.EQNXTDZ($A$1,$B91,AQ$5,$B$1)</f>
        <v>0</v>
      </c>
      <c r="AR91" s="55">
        <f>_xll.EQNXTDZ($A$1,$B91,AR$5,$B$1)</f>
        <v>57.48</v>
      </c>
      <c r="AS91" s="55">
        <f>_xll.EQNXTDZ($A$1,$B91,AS$5,$B$1)</f>
        <v>0</v>
      </c>
      <c r="AT91" s="55">
        <f>_xll.EQNXTDZ($A$1,$B91,AT$5,$B$1)</f>
        <v>37.51</v>
      </c>
      <c r="AU91" s="55">
        <f>_xll.EQNXTDZ($A$1,$B91,AU$5,$B$1)</f>
        <v>0</v>
      </c>
      <c r="AV91" s="55">
        <f>_xll.EQNXTDZ($A$1,$B91,AV$5,$B$1)</f>
        <v>42.74</v>
      </c>
      <c r="AW91" s="55">
        <f>_xll.EQNXTDZ($A$1,$B91,AW$5,$B$1)</f>
        <v>0</v>
      </c>
      <c r="AX91" s="55">
        <f>_xll.EQNXTDZ($A$1,$B91,AX$5,$B$1)</f>
        <v>29.8</v>
      </c>
      <c r="AY91" s="55">
        <f>_xll.EQNXTDZ($A$1,$B91,AY$5,$B$1)</f>
        <v>0</v>
      </c>
      <c r="AZ91" s="55">
        <f>_xll.EQNXTDZ($A$1,$B91,AZ$5,$B$1)</f>
        <v>31.82</v>
      </c>
      <c r="BA91" s="55">
        <f>_xll.EQNXTDZ($A$1,$B91,BA$5,$B$1)</f>
        <v>0</v>
      </c>
      <c r="BB91" s="55">
        <f>_xll.EQNXTDZ($A$1,$B91,BB$5,$B$1)</f>
        <v>33.06</v>
      </c>
      <c r="BC91" s="55">
        <f>_xll.EQNXTDZ($A$1,$B91,BC$5,$B$1)</f>
        <v>0</v>
      </c>
      <c r="BD91" s="55">
        <f>_xll.EQNXTDZ($A$1,$B91,BD$5,$B$1)</f>
        <v>29.09</v>
      </c>
      <c r="BE91" s="55">
        <f>_xll.EQNXTDZ($A$1,$B91,BE$5,$B$1)</f>
        <v>0</v>
      </c>
      <c r="BF91" s="55">
        <f>_xll.EQNXTDZ($A$1,$B91,BF$5,$B$1)</f>
        <v>48.9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5.9</v>
      </c>
      <c r="E92" s="55">
        <f>_xll.EQNXTDZ($A$1,$B92,E$5,$B$1)</f>
        <v>0</v>
      </c>
      <c r="F92" s="55">
        <f>_xll.EQNXTDZ($A$1,$B92,F$5,$B$1)</f>
        <v>11.03</v>
      </c>
      <c r="G92" s="55">
        <f>_xll.EQNXTDZ($A$1,$B92,G$5,$B$1)</f>
        <v>0</v>
      </c>
      <c r="H92" s="55">
        <f>_xll.EQNXTDZ($A$1,$B92,H$5,$B$1)</f>
        <v>5.05</v>
      </c>
      <c r="I92" s="55">
        <f>_xll.EQNXTDZ($A$1,$B92,I$5,$B$1)</f>
        <v>0</v>
      </c>
      <c r="J92" s="55">
        <f>_xll.EQNXTDZ($A$1,$B92,J$5,$B$1)</f>
        <v>11.72</v>
      </c>
      <c r="K92" s="55">
        <f>_xll.EQNXTDZ($A$1,$B92,K$5,$B$1)</f>
        <v>0</v>
      </c>
      <c r="L92" s="55">
        <f>_xll.EQNXTDZ($A$1,$B92,L$5,$B$1)</f>
        <v>2.61</v>
      </c>
      <c r="M92" s="55">
        <f>_xll.EQNXTDZ($A$1,$B92,M$5,$B$1)</f>
        <v>0</v>
      </c>
      <c r="N92" s="55">
        <f>_xll.EQNXTDZ($A$1,$B92,N$5,$B$1)</f>
        <v>13.69</v>
      </c>
      <c r="O92" s="55">
        <f>_xll.EQNXTDZ($A$1,$B92,O$5,$B$1)</f>
        <v>0</v>
      </c>
      <c r="P92" s="55">
        <f>_xll.EQNXTDZ($A$1,$B92,P$5,$B$1)</f>
        <v>8.59</v>
      </c>
      <c r="Q92" s="55">
        <f>_xll.EQNXTDZ($A$1,$B92,Q$5,$B$1)</f>
        <v>0</v>
      </c>
      <c r="R92" s="55">
        <f>_xll.EQNXTDZ($A$1,$B92,R$5,$B$1)</f>
        <v>16.079999999999998</v>
      </c>
      <c r="S92" s="55">
        <f>_xll.EQNXTDZ($A$1,$B92,S$5,$B$1)</f>
        <v>0</v>
      </c>
      <c r="T92" s="55">
        <f>_xll.EQNXTDZ($A$1,$B92,T$5,$B$1)</f>
        <v>8.92</v>
      </c>
      <c r="U92" s="55">
        <f>_xll.EQNXTDZ($A$1,$B92,U$5,$B$1)</f>
        <v>0</v>
      </c>
      <c r="V92" s="55">
        <f>_xll.EQNXTDZ($A$1,$B92,V$5,$B$1)</f>
        <v>9.27</v>
      </c>
      <c r="W92" s="55">
        <f>_xll.EQNXTDZ($A$1,$B92,W$5,$B$1)</f>
        <v>0</v>
      </c>
      <c r="X92" s="55">
        <f>_xll.EQNXTDZ($A$1,$B92,X$5,$B$1)</f>
        <v>8.0399999999999991</v>
      </c>
      <c r="Y92" s="55">
        <f>_xll.EQNXTDZ($A$1,$B92,Y$5,$B$1)</f>
        <v>0</v>
      </c>
      <c r="Z92" s="55">
        <f>_xll.EQNXTDZ($A$1,$B92,Z$5,$B$1)</f>
        <v>5.95</v>
      </c>
      <c r="AA92" s="55">
        <f>_xll.EQNXTDZ($A$1,$B92,AA$5,$B$1)</f>
        <v>0</v>
      </c>
      <c r="AB92" s="55">
        <f>_xll.EQNXTDZ($A$1,$B92,AB$5,$B$1)</f>
        <v>8.58</v>
      </c>
      <c r="AC92" s="55">
        <f>_xll.EQNXTDZ($A$1,$B92,AC$5,$B$1)</f>
        <v>0</v>
      </c>
      <c r="AD92" s="55">
        <f>_xll.EQNXTDZ($A$1,$B92,AD$5,$B$1)</f>
        <v>3.69</v>
      </c>
      <c r="AE92" s="55">
        <f>_xll.EQNXTDZ($A$1,$B92,AE$5,$B$1)</f>
        <v>0</v>
      </c>
      <c r="AF92" s="55">
        <f>_xll.EQNXTDZ($A$1,$B92,AF$5,$B$1)</f>
        <v>7.26</v>
      </c>
      <c r="AG92" s="55">
        <f>_xll.EQNXTDZ($A$1,$B92,AG$5,$B$1)</f>
        <v>0</v>
      </c>
      <c r="AH92" s="55">
        <f>_xll.EQNXTDZ($A$1,$B92,AH$5,$B$1)</f>
        <v>4.59</v>
      </c>
      <c r="AI92" s="55">
        <f>_xll.EQNXTDZ($A$1,$B92,AI$5,$B$1)</f>
        <v>0</v>
      </c>
      <c r="AJ92" s="55">
        <f>_xll.EQNXTDZ($A$1,$B92,AJ$5,$B$1)</f>
        <v>8.34</v>
      </c>
      <c r="AK92" s="55">
        <f>_xll.EQNXTDZ($A$1,$B92,AK$5,$B$1)</f>
        <v>0</v>
      </c>
      <c r="AL92" s="55">
        <f>_xll.EQNXTDZ($A$1,$B92,AL$5,$B$1)</f>
        <v>4.57</v>
      </c>
      <c r="AM92" s="55">
        <f>_xll.EQNXTDZ($A$1,$B92,AM$5,$B$1)</f>
        <v>0</v>
      </c>
      <c r="AN92" s="55">
        <f>_xll.EQNXTDZ($A$1,$B92,AN$5,$B$1)</f>
        <v>7.26</v>
      </c>
      <c r="AO92" s="55">
        <f>_xll.EQNXTDZ($A$1,$B92,AO$5,$B$1)</f>
        <v>0</v>
      </c>
      <c r="AP92" s="55">
        <f>_xll.EQNXTDZ($A$1,$B92,AP$5,$B$1)</f>
        <v>2.06</v>
      </c>
      <c r="AQ92" s="55">
        <f>_xll.EQNXTDZ($A$1,$B92,AQ$5,$B$1)</f>
        <v>0</v>
      </c>
      <c r="AR92" s="55">
        <f>_xll.EQNXTDZ($A$1,$B92,AR$5,$B$1)</f>
        <v>7.75</v>
      </c>
      <c r="AS92" s="55">
        <f>_xll.EQNXTDZ($A$1,$B92,AS$5,$B$1)</f>
        <v>0</v>
      </c>
      <c r="AT92" s="55">
        <f>_xll.EQNXTDZ($A$1,$B92,AT$5,$B$1)</f>
        <v>12.85</v>
      </c>
      <c r="AU92" s="55">
        <f>_xll.EQNXTDZ($A$1,$B92,AU$5,$B$1)</f>
        <v>0</v>
      </c>
      <c r="AV92" s="55">
        <f>_xll.EQNXTDZ($A$1,$B92,AV$5,$B$1)</f>
        <v>15.87</v>
      </c>
      <c r="AW92" s="55">
        <f>_xll.EQNXTDZ($A$1,$B92,AW$5,$B$1)</f>
        <v>0</v>
      </c>
      <c r="AX92" s="55">
        <f>_xll.EQNXTDZ($A$1,$B92,AX$5,$B$1)</f>
        <v>4.3600000000000003</v>
      </c>
      <c r="AY92" s="55">
        <f>_xll.EQNXTDZ($A$1,$B92,AY$5,$B$1)</f>
        <v>0</v>
      </c>
      <c r="AZ92" s="55">
        <f>_xll.EQNXTDZ($A$1,$B92,AZ$5,$B$1)</f>
        <v>7.57</v>
      </c>
      <c r="BA92" s="55">
        <f>_xll.EQNXTDZ($A$1,$B92,BA$5,$B$1)</f>
        <v>0</v>
      </c>
      <c r="BB92" s="55">
        <f>_xll.EQNXTDZ($A$1,$B92,BB$5,$B$1)</f>
        <v>3.48</v>
      </c>
      <c r="BC92" s="55">
        <f>_xll.EQNXTDZ($A$1,$B92,BC$5,$B$1)</f>
        <v>0</v>
      </c>
      <c r="BD92" s="55">
        <f>_xll.EQNXTDZ($A$1,$B92,BD$5,$B$1)</f>
        <v>4.6900000000000004</v>
      </c>
      <c r="BE92" s="55">
        <f>_xll.EQNXTDZ($A$1,$B92,BE$5,$B$1)</f>
        <v>0</v>
      </c>
      <c r="BF92" s="55">
        <f>_xll.EQNXTDZ($A$1,$B92,BF$5,$B$1)</f>
        <v>9.06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291.44</v>
      </c>
      <c r="E93" s="55">
        <f>_xll.EQNXTDZ($A$1,$B93,E$5,$B$1)</f>
        <v>0</v>
      </c>
      <c r="F93" s="55">
        <f>_xll.EQNXTDZ($A$1,$B93,F$5,$B$1)</f>
        <v>453.77</v>
      </c>
      <c r="G93" s="55">
        <f>_xll.EQNXTDZ($A$1,$B93,G$5,$B$1)</f>
        <v>0</v>
      </c>
      <c r="H93" s="55">
        <f>_xll.EQNXTDZ($A$1,$B93,H$5,$B$1)</f>
        <v>445.31</v>
      </c>
      <c r="I93" s="55">
        <f>_xll.EQNXTDZ($A$1,$B93,I$5,$B$1)</f>
        <v>0</v>
      </c>
      <c r="J93" s="55">
        <f>_xll.EQNXTDZ($A$1,$B93,J$5,$B$1)</f>
        <v>397.88</v>
      </c>
      <c r="K93" s="55">
        <f>_xll.EQNXTDZ($A$1,$B93,K$5,$B$1)</f>
        <v>0</v>
      </c>
      <c r="L93" s="55">
        <f>_xll.EQNXTDZ($A$1,$B93,L$5,$B$1)</f>
        <v>393.94</v>
      </c>
      <c r="M93" s="55">
        <f>_xll.EQNXTDZ($A$1,$B93,M$5,$B$1)</f>
        <v>0</v>
      </c>
      <c r="N93" s="55">
        <f>_xll.EQNXTDZ($A$1,$B93,N$5,$B$1)</f>
        <v>425.28</v>
      </c>
      <c r="O93" s="55">
        <f>_xll.EQNXTDZ($A$1,$B93,O$5,$B$1)</f>
        <v>0</v>
      </c>
      <c r="P93" s="55">
        <f>_xll.EQNXTDZ($A$1,$B93,P$5,$B$1)</f>
        <v>426.61</v>
      </c>
      <c r="Q93" s="55">
        <f>_xll.EQNXTDZ($A$1,$B93,Q$5,$B$1)</f>
        <v>0</v>
      </c>
      <c r="R93" s="55">
        <f>_xll.EQNXTDZ($A$1,$B93,R$5,$B$1)</f>
        <v>394.84</v>
      </c>
      <c r="S93" s="55">
        <f>_xll.EQNXTDZ($A$1,$B93,S$5,$B$1)</f>
        <v>0</v>
      </c>
      <c r="T93" s="55">
        <f>_xll.EQNXTDZ($A$1,$B93,T$5,$B$1)</f>
        <v>350.64</v>
      </c>
      <c r="U93" s="55">
        <f>_xll.EQNXTDZ($A$1,$B93,U$5,$B$1)</f>
        <v>0</v>
      </c>
      <c r="V93" s="55">
        <f>_xll.EQNXTDZ($A$1,$B93,V$5,$B$1)</f>
        <v>281.99</v>
      </c>
      <c r="W93" s="55">
        <f>_xll.EQNXTDZ($A$1,$B93,W$5,$B$1)</f>
        <v>0</v>
      </c>
      <c r="X93" s="55">
        <f>_xll.EQNXTDZ($A$1,$B93,X$5,$B$1)</f>
        <v>271.95999999999998</v>
      </c>
      <c r="Y93" s="55">
        <f>_xll.EQNXTDZ($A$1,$B93,Y$5,$B$1)</f>
        <v>0</v>
      </c>
      <c r="Z93" s="55">
        <f>_xll.EQNXTDZ($A$1,$B93,Z$5,$B$1)</f>
        <v>329.3</v>
      </c>
      <c r="AA93" s="55">
        <f>_xll.EQNXTDZ($A$1,$B93,AA$5,$B$1)</f>
        <v>0</v>
      </c>
      <c r="AB93" s="55">
        <f>_xll.EQNXTDZ($A$1,$B93,AB$5,$B$1)</f>
        <v>297.77999999999997</v>
      </c>
      <c r="AC93" s="55">
        <f>_xll.EQNXTDZ($A$1,$B93,AC$5,$B$1)</f>
        <v>0</v>
      </c>
      <c r="AD93" s="55">
        <f>_xll.EQNXTDZ($A$1,$B93,AD$5,$B$1)</f>
        <v>331.66</v>
      </c>
      <c r="AE93" s="55">
        <f>_xll.EQNXTDZ($A$1,$B93,AE$5,$B$1)</f>
        <v>0</v>
      </c>
      <c r="AF93" s="55">
        <f>_xll.EQNXTDZ($A$1,$B93,AF$5,$B$1)</f>
        <v>246.01</v>
      </c>
      <c r="AG93" s="55">
        <f>_xll.EQNXTDZ($A$1,$B93,AG$5,$B$1)</f>
        <v>0</v>
      </c>
      <c r="AH93" s="55">
        <f>_xll.EQNXTDZ($A$1,$B93,AH$5,$B$1)</f>
        <v>233.39</v>
      </c>
      <c r="AI93" s="55">
        <f>_xll.EQNXTDZ($A$1,$B93,AI$5,$B$1)</f>
        <v>0</v>
      </c>
      <c r="AJ93" s="55">
        <f>_xll.EQNXTDZ($A$1,$B93,AJ$5,$B$1)</f>
        <v>240.12</v>
      </c>
      <c r="AK93" s="55">
        <f>_xll.EQNXTDZ($A$1,$B93,AK$5,$B$1)</f>
        <v>0</v>
      </c>
      <c r="AL93" s="55">
        <f>_xll.EQNXTDZ($A$1,$B93,AL$5,$B$1)</f>
        <v>217.89</v>
      </c>
      <c r="AM93" s="55">
        <f>_xll.EQNXTDZ($A$1,$B93,AM$5,$B$1)</f>
        <v>0</v>
      </c>
      <c r="AN93" s="55">
        <f>_xll.EQNXTDZ($A$1,$B93,AN$5,$B$1)</f>
        <v>208.17</v>
      </c>
      <c r="AO93" s="55">
        <f>_xll.EQNXTDZ($A$1,$B93,AO$5,$B$1)</f>
        <v>0</v>
      </c>
      <c r="AP93" s="55">
        <f>_xll.EQNXTDZ($A$1,$B93,AP$5,$B$1)</f>
        <v>245.74</v>
      </c>
      <c r="AQ93" s="55">
        <f>_xll.EQNXTDZ($A$1,$B93,AQ$5,$B$1)</f>
        <v>0</v>
      </c>
      <c r="AR93" s="55">
        <f>_xll.EQNXTDZ($A$1,$B93,AR$5,$B$1)</f>
        <v>255.8</v>
      </c>
      <c r="AS93" s="55">
        <f>_xll.EQNXTDZ($A$1,$B93,AS$5,$B$1)</f>
        <v>0</v>
      </c>
      <c r="AT93" s="55">
        <f>_xll.EQNXTDZ($A$1,$B93,AT$5,$B$1)</f>
        <v>283.33999999999997</v>
      </c>
      <c r="AU93" s="55">
        <f>_xll.EQNXTDZ($A$1,$B93,AU$5,$B$1)</f>
        <v>0</v>
      </c>
      <c r="AV93" s="55">
        <f>_xll.EQNXTDZ($A$1,$B93,AV$5,$B$1)</f>
        <v>267.95999999999998</v>
      </c>
      <c r="AW93" s="55">
        <f>_xll.EQNXTDZ($A$1,$B93,AW$5,$B$1)</f>
        <v>0</v>
      </c>
      <c r="AX93" s="55">
        <f>_xll.EQNXTDZ($A$1,$B93,AX$5,$B$1)</f>
        <v>314.52</v>
      </c>
      <c r="AY93" s="55">
        <f>_xll.EQNXTDZ($A$1,$B93,AY$5,$B$1)</f>
        <v>0</v>
      </c>
      <c r="AZ93" s="55">
        <f>_xll.EQNXTDZ($A$1,$B93,AZ$5,$B$1)</f>
        <v>314.11</v>
      </c>
      <c r="BA93" s="55">
        <f>_xll.EQNXTDZ($A$1,$B93,BA$5,$B$1)</f>
        <v>0</v>
      </c>
      <c r="BB93" s="55">
        <f>_xll.EQNXTDZ($A$1,$B93,BB$5,$B$1)</f>
        <v>365.04</v>
      </c>
      <c r="BC93" s="55">
        <f>_xll.EQNXTDZ($A$1,$B93,BC$5,$B$1)</f>
        <v>0</v>
      </c>
      <c r="BD93" s="55">
        <f>_xll.EQNXTDZ($A$1,$B93,BD$5,$B$1)</f>
        <v>302.91000000000003</v>
      </c>
      <c r="BE93" s="55">
        <f>_xll.EQNXTDZ($A$1,$B93,BE$5,$B$1)</f>
        <v>0</v>
      </c>
      <c r="BF93" s="55">
        <f>_xll.EQNXTDZ($A$1,$B93,BF$5,$B$1)</f>
        <v>296.95999999999998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18.21</v>
      </c>
      <c r="E94" s="55">
        <f>_xll.EQNXTDZ($A$1,$B94,E$5,$B$1)</f>
        <v>0</v>
      </c>
      <c r="F94" s="55">
        <f>_xll.EQNXTDZ($A$1,$B94,F$5,$B$1)</f>
        <v>-97.009999999999906</v>
      </c>
      <c r="G94" s="55">
        <f>_xll.EQNXTDZ($A$1,$B94,G$5,$B$1)</f>
        <v>0</v>
      </c>
      <c r="H94" s="55">
        <f>_xll.EQNXTDZ($A$1,$B94,H$5,$B$1)</f>
        <v>-68.540000000000106</v>
      </c>
      <c r="I94" s="55">
        <f>_xll.EQNXTDZ($A$1,$B94,I$5,$B$1)</f>
        <v>0</v>
      </c>
      <c r="J94" s="55">
        <f>_xll.EQNXTDZ($A$1,$B94,J$5,$B$1)</f>
        <v>-34.75</v>
      </c>
      <c r="K94" s="55">
        <f>_xll.EQNXTDZ($A$1,$B94,K$5,$B$1)</f>
        <v>0</v>
      </c>
      <c r="L94" s="55">
        <f>_xll.EQNXTDZ($A$1,$B94,L$5,$B$1)</f>
        <v>-20.2</v>
      </c>
      <c r="M94" s="55">
        <f>_xll.EQNXTDZ($A$1,$B94,M$5,$B$1)</f>
        <v>0</v>
      </c>
      <c r="N94" s="55">
        <f>_xll.EQNXTDZ($A$1,$B94,N$5,$B$1)</f>
        <v>-41.47</v>
      </c>
      <c r="O94" s="55">
        <f>_xll.EQNXTDZ($A$1,$B94,O$5,$B$1)</f>
        <v>0</v>
      </c>
      <c r="P94" s="55">
        <f>_xll.EQNXTDZ($A$1,$B94,P$5,$B$1)</f>
        <v>-34.229999999999997</v>
      </c>
      <c r="Q94" s="55">
        <f>_xll.EQNXTDZ($A$1,$B94,Q$5,$B$1)</f>
        <v>0</v>
      </c>
      <c r="R94" s="55">
        <f>_xll.EQNXTDZ($A$1,$B94,R$5,$B$1)</f>
        <v>-20.99</v>
      </c>
      <c r="S94" s="55">
        <f>_xll.EQNXTDZ($A$1,$B94,S$5,$B$1)</f>
        <v>0</v>
      </c>
      <c r="T94" s="55">
        <f>_xll.EQNXTDZ($A$1,$B94,T$5,$B$1)</f>
        <v>41.62</v>
      </c>
      <c r="U94" s="55">
        <f>_xll.EQNXTDZ($A$1,$B94,U$5,$B$1)</f>
        <v>0</v>
      </c>
      <c r="V94" s="55">
        <f>_xll.EQNXTDZ($A$1,$B94,V$5,$B$1)</f>
        <v>17.53</v>
      </c>
      <c r="W94" s="55">
        <f>_xll.EQNXTDZ($A$1,$B94,W$5,$B$1)</f>
        <v>0</v>
      </c>
      <c r="X94" s="55">
        <f>_xll.EQNXTDZ($A$1,$B94,X$5,$B$1)</f>
        <v>46.52</v>
      </c>
      <c r="Y94" s="55">
        <f>_xll.EQNXTDZ($A$1,$B94,Y$5,$B$1)</f>
        <v>0</v>
      </c>
      <c r="Z94" s="55">
        <f>_xll.EQNXTDZ($A$1,$B94,Z$5,$B$1)</f>
        <v>103.58</v>
      </c>
      <c r="AA94" s="55">
        <f>_xll.EQNXTDZ($A$1,$B94,AA$5,$B$1)</f>
        <v>0</v>
      </c>
      <c r="AB94" s="55">
        <f>_xll.EQNXTDZ($A$1,$B94,AB$5,$B$1)</f>
        <v>138.47999999999999</v>
      </c>
      <c r="AC94" s="55">
        <f>_xll.EQNXTDZ($A$1,$B94,AC$5,$B$1)</f>
        <v>0</v>
      </c>
      <c r="AD94" s="55">
        <f>_xll.EQNXTDZ($A$1,$B94,AD$5,$B$1)</f>
        <v>251.18</v>
      </c>
      <c r="AE94" s="55">
        <f>_xll.EQNXTDZ($A$1,$B94,AE$5,$B$1)</f>
        <v>0</v>
      </c>
      <c r="AF94" s="55">
        <f>_xll.EQNXTDZ($A$1,$B94,AF$5,$B$1)</f>
        <v>297.48</v>
      </c>
      <c r="AG94" s="55">
        <f>_xll.EQNXTDZ($A$1,$B94,AG$5,$B$1)</f>
        <v>0</v>
      </c>
      <c r="AH94" s="55">
        <f>_xll.EQNXTDZ($A$1,$B94,AH$5,$B$1)</f>
        <v>366.83</v>
      </c>
      <c r="AI94" s="55">
        <f>_xll.EQNXTDZ($A$1,$B94,AI$5,$B$1)</f>
        <v>0</v>
      </c>
      <c r="AJ94" s="55">
        <f>_xll.EQNXTDZ($A$1,$B94,AJ$5,$B$1)</f>
        <v>358.6</v>
      </c>
      <c r="AK94" s="55">
        <f>_xll.EQNXTDZ($A$1,$B94,AK$5,$B$1)</f>
        <v>0</v>
      </c>
      <c r="AL94" s="55">
        <f>_xll.EQNXTDZ($A$1,$B94,AL$5,$B$1)</f>
        <v>346.3</v>
      </c>
      <c r="AM94" s="55">
        <f>_xll.EQNXTDZ($A$1,$B94,AM$5,$B$1)</f>
        <v>0</v>
      </c>
      <c r="AN94" s="55">
        <f>_xll.EQNXTDZ($A$1,$B94,AN$5,$B$1)</f>
        <v>346.54</v>
      </c>
      <c r="AO94" s="55">
        <f>_xll.EQNXTDZ($A$1,$B94,AO$5,$B$1)</f>
        <v>0</v>
      </c>
      <c r="AP94" s="55">
        <f>_xll.EQNXTDZ($A$1,$B94,AP$5,$B$1)</f>
        <v>347.87</v>
      </c>
      <c r="AQ94" s="55">
        <f>_xll.EQNXTDZ($A$1,$B94,AQ$5,$B$1)</f>
        <v>0</v>
      </c>
      <c r="AR94" s="55">
        <f>_xll.EQNXTDZ($A$1,$B94,AR$5,$B$1)</f>
        <v>176.38</v>
      </c>
      <c r="AS94" s="55">
        <f>_xll.EQNXTDZ($A$1,$B94,AS$5,$B$1)</f>
        <v>0</v>
      </c>
      <c r="AT94" s="55">
        <f>_xll.EQNXTDZ($A$1,$B94,AT$5,$B$1)</f>
        <v>574.89</v>
      </c>
      <c r="AU94" s="55">
        <f>_xll.EQNXTDZ($A$1,$B94,AU$5,$B$1)</f>
        <v>0</v>
      </c>
      <c r="AV94" s="55">
        <f>_xll.EQNXTDZ($A$1,$B94,AV$5,$B$1)</f>
        <v>721.56</v>
      </c>
      <c r="AW94" s="55">
        <f>_xll.EQNXTDZ($A$1,$B94,AW$5,$B$1)</f>
        <v>0</v>
      </c>
      <c r="AX94" s="55">
        <f>_xll.EQNXTDZ($A$1,$B94,AX$5,$B$1)</f>
        <v>735.24</v>
      </c>
      <c r="AY94" s="55">
        <f>_xll.EQNXTDZ($A$1,$B94,AY$5,$B$1)</f>
        <v>0</v>
      </c>
      <c r="AZ94" s="55">
        <f>_xll.EQNXTDZ($A$1,$B94,AZ$5,$B$1)</f>
        <v>891.03</v>
      </c>
      <c r="BA94" s="55">
        <f>_xll.EQNXTDZ($A$1,$B94,BA$5,$B$1)</f>
        <v>0</v>
      </c>
      <c r="BB94" s="55">
        <f>_xll.EQNXTDZ($A$1,$B94,BB$5,$B$1)</f>
        <v>881.34</v>
      </c>
      <c r="BC94" s="55">
        <f>_xll.EQNXTDZ($A$1,$B94,BC$5,$B$1)</f>
        <v>0</v>
      </c>
      <c r="BD94" s="55">
        <f>_xll.EQNXTDZ($A$1,$B94,BD$5,$B$1)</f>
        <v>874.06</v>
      </c>
      <c r="BE94" s="55">
        <f>_xll.EQNXTDZ($A$1,$B94,BE$5,$B$1)</f>
        <v>0</v>
      </c>
      <c r="BF94" s="55">
        <f>_xll.EQNXTDZ($A$1,$B94,BF$5,$B$1)</f>
        <v>417.54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-81.510000000000005</v>
      </c>
      <c r="E96" s="55">
        <f>_xll.EQNXTDZ($A$1,$B96,E$5,$B$1)</f>
        <v>0</v>
      </c>
      <c r="F96" s="55">
        <f>_xll.EQNXTDZ($A$1,$B96,F$5,$B$1)</f>
        <v>-78.150000000000006</v>
      </c>
      <c r="G96" s="55">
        <f>_xll.EQNXTDZ($A$1,$B96,G$5,$B$1)</f>
        <v>0</v>
      </c>
      <c r="H96" s="55">
        <f>_xll.EQNXTDZ($A$1,$B96,H$5,$B$1)</f>
        <v>-84.29</v>
      </c>
      <c r="I96" s="55">
        <f>_xll.EQNXTDZ($A$1,$B96,I$5,$B$1)</f>
        <v>0</v>
      </c>
      <c r="J96" s="55">
        <f>_xll.EQNXTDZ($A$1,$B96,J$5,$B$1)</f>
        <v>-92.6</v>
      </c>
      <c r="K96" s="55">
        <f>_xll.EQNXTDZ($A$1,$B96,K$5,$B$1)</f>
        <v>0</v>
      </c>
      <c r="L96" s="55">
        <f>_xll.EQNXTDZ($A$1,$B96,L$5,$B$1)</f>
        <v>-98.47</v>
      </c>
      <c r="M96" s="55">
        <f>_xll.EQNXTDZ($A$1,$B96,M$5,$B$1)</f>
        <v>0</v>
      </c>
      <c r="N96" s="55">
        <f>_xll.EQNXTDZ($A$1,$B96,N$5,$B$1)</f>
        <v>-100.66</v>
      </c>
      <c r="O96" s="55">
        <f>_xll.EQNXTDZ($A$1,$B96,O$5,$B$1)</f>
        <v>0</v>
      </c>
      <c r="P96" s="55">
        <f>_xll.EQNXTDZ($A$1,$B96,P$5,$B$1)</f>
        <v>-106.76</v>
      </c>
      <c r="Q96" s="55">
        <f>_xll.EQNXTDZ($A$1,$B96,Q$5,$B$1)</f>
        <v>0</v>
      </c>
      <c r="R96" s="55">
        <f>_xll.EQNXTDZ($A$1,$B96,R$5,$B$1)</f>
        <v>-115.37</v>
      </c>
      <c r="S96" s="55">
        <f>_xll.EQNXTDZ($A$1,$B96,S$5,$B$1)</f>
        <v>0</v>
      </c>
      <c r="T96" s="55">
        <f>_xll.EQNXTDZ($A$1,$B96,T$5,$B$1)</f>
        <v>-129.07</v>
      </c>
      <c r="U96" s="55">
        <f>_xll.EQNXTDZ($A$1,$B96,U$5,$B$1)</f>
        <v>0</v>
      </c>
      <c r="V96" s="55">
        <f>_xll.EQNXTDZ($A$1,$B96,V$5,$B$1)</f>
        <v>-83.07</v>
      </c>
      <c r="W96" s="55">
        <f>_xll.EQNXTDZ($A$1,$B96,W$5,$B$1)</f>
        <v>0</v>
      </c>
      <c r="X96" s="55">
        <f>_xll.EQNXTDZ($A$1,$B96,X$5,$B$1)</f>
        <v>-88.5</v>
      </c>
      <c r="Y96" s="55">
        <f>_xll.EQNXTDZ($A$1,$B96,Y$5,$B$1)</f>
        <v>0</v>
      </c>
      <c r="Z96" s="55">
        <f>_xll.EQNXTDZ($A$1,$B96,Z$5,$B$1)</f>
        <v>-97.48</v>
      </c>
      <c r="AA96" s="55">
        <f>_xll.EQNXTDZ($A$1,$B96,AA$5,$B$1)</f>
        <v>0</v>
      </c>
      <c r="AB96" s="55">
        <f>_xll.EQNXTDZ($A$1,$B96,AB$5,$B$1)</f>
        <v>-108.11</v>
      </c>
      <c r="AC96" s="55">
        <f>_xll.EQNXTDZ($A$1,$B96,AC$5,$B$1)</f>
        <v>0</v>
      </c>
      <c r="AD96" s="55">
        <f>_xll.EQNXTDZ($A$1,$B96,AD$5,$B$1)</f>
        <v>-121.6</v>
      </c>
      <c r="AE96" s="55">
        <f>_xll.EQNXTDZ($A$1,$B96,AE$5,$B$1)</f>
        <v>0</v>
      </c>
      <c r="AF96" s="55">
        <f>_xll.EQNXTDZ($A$1,$B96,AF$5,$B$1)</f>
        <v>-138.26</v>
      </c>
      <c r="AG96" s="55">
        <f>_xll.EQNXTDZ($A$1,$B96,AG$5,$B$1)</f>
        <v>0</v>
      </c>
      <c r="AH96" s="55">
        <f>_xll.EQNXTDZ($A$1,$B96,AH$5,$B$1)</f>
        <v>-149.22999999999999</v>
      </c>
      <c r="AI96" s="55">
        <f>_xll.EQNXTDZ($A$1,$B96,AI$5,$B$1)</f>
        <v>0</v>
      </c>
      <c r="AJ96" s="55">
        <f>_xll.EQNXTDZ($A$1,$B96,AJ$5,$B$1)</f>
        <v>-154.81</v>
      </c>
      <c r="AK96" s="55">
        <f>_xll.EQNXTDZ($A$1,$B96,AK$5,$B$1)</f>
        <v>0</v>
      </c>
      <c r="AL96" s="55">
        <f>_xll.EQNXTDZ($A$1,$B96,AL$5,$B$1)</f>
        <v>-119.88</v>
      </c>
      <c r="AM96" s="55">
        <f>_xll.EQNXTDZ($A$1,$B96,AM$5,$B$1)</f>
        <v>0</v>
      </c>
      <c r="AN96" s="55">
        <f>_xll.EQNXTDZ($A$1,$B96,AN$5,$B$1)</f>
        <v>-124.58</v>
      </c>
      <c r="AO96" s="55">
        <f>_xll.EQNXTDZ($A$1,$B96,AO$5,$B$1)</f>
        <v>0</v>
      </c>
      <c r="AP96" s="55">
        <f>_xll.EQNXTDZ($A$1,$B96,AP$5,$B$1)</f>
        <v>-123.98</v>
      </c>
      <c r="AQ96" s="55">
        <f>_xll.EQNXTDZ($A$1,$B96,AQ$5,$B$1)</f>
        <v>0</v>
      </c>
      <c r="AR96" s="55">
        <f>_xll.EQNXTDZ($A$1,$B96,AR$5,$B$1)</f>
        <v>-124.13</v>
      </c>
      <c r="AS96" s="55">
        <f>_xll.EQNXTDZ($A$1,$B96,AS$5,$B$1)</f>
        <v>0</v>
      </c>
      <c r="AT96" s="55">
        <f>_xll.EQNXTDZ($A$1,$B96,AT$5,$B$1)</f>
        <v>-121.56</v>
      </c>
      <c r="AU96" s="55">
        <f>_xll.EQNXTDZ($A$1,$B96,AU$5,$B$1)</f>
        <v>0</v>
      </c>
      <c r="AV96" s="55">
        <f>_xll.EQNXTDZ($A$1,$B96,AV$5,$B$1)</f>
        <v>-124.54</v>
      </c>
      <c r="AW96" s="55">
        <f>_xll.EQNXTDZ($A$1,$B96,AW$5,$B$1)</f>
        <v>0</v>
      </c>
      <c r="AX96" s="55">
        <f>_xll.EQNXTDZ($A$1,$B96,AX$5,$B$1)</f>
        <v>-127.66</v>
      </c>
      <c r="AY96" s="55">
        <f>_xll.EQNXTDZ($A$1,$B96,AY$5,$B$1)</f>
        <v>0</v>
      </c>
      <c r="AZ96" s="55">
        <f>_xll.EQNXTDZ($A$1,$B96,AZ$5,$B$1)</f>
        <v>-133.12</v>
      </c>
      <c r="BA96" s="55">
        <f>_xll.EQNXTDZ($A$1,$B96,BA$5,$B$1)</f>
        <v>0</v>
      </c>
      <c r="BB96" s="55">
        <f>_xll.EQNXTDZ($A$1,$B96,BB$5,$B$1)</f>
        <v>-129.77000000000001</v>
      </c>
      <c r="BC96" s="55">
        <f>_xll.EQNXTDZ($A$1,$B96,BC$5,$B$1)</f>
        <v>0</v>
      </c>
      <c r="BD96" s="55">
        <f>_xll.EQNXTDZ($A$1,$B96,BD$5,$B$1)</f>
        <v>-129.25</v>
      </c>
      <c r="BE96" s="55">
        <f>_xll.EQNXTDZ($A$1,$B96,BE$5,$B$1)</f>
        <v>0</v>
      </c>
      <c r="BF96" s="55">
        <f>_xll.EQNXTDZ($A$1,$B96,BF$5,$B$1)</f>
        <v>-124.68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411.02</v>
      </c>
      <c r="E97" s="55">
        <f>_xll.EQNXTDZ($A$1,$B97,E$5,$B$1)</f>
        <v>0</v>
      </c>
      <c r="F97" s="55">
        <f>_xll.EQNXTDZ($A$1,$B97,F$5,$B$1)</f>
        <v>586.13</v>
      </c>
      <c r="G97" s="55">
        <f>_xll.EQNXTDZ($A$1,$B97,G$5,$B$1)</f>
        <v>0</v>
      </c>
      <c r="H97" s="55">
        <f>_xll.EQNXTDZ($A$1,$B97,H$5,$B$1)</f>
        <v>588.80999999999995</v>
      </c>
      <c r="I97" s="55">
        <f>_xll.EQNXTDZ($A$1,$B97,I$5,$B$1)</f>
        <v>0</v>
      </c>
      <c r="J97" s="55">
        <f>_xll.EQNXTDZ($A$1,$B97,J$5,$B$1)</f>
        <v>603.07000000000005</v>
      </c>
      <c r="K97" s="55">
        <f>_xll.EQNXTDZ($A$1,$B97,K$5,$B$1)</f>
        <v>0</v>
      </c>
      <c r="L97" s="55">
        <f>_xll.EQNXTDZ($A$1,$B97,L$5,$B$1)</f>
        <v>601.11</v>
      </c>
      <c r="M97" s="55">
        <f>_xll.EQNXTDZ($A$1,$B97,M$5,$B$1)</f>
        <v>0</v>
      </c>
      <c r="N97" s="55">
        <f>_xll.EQNXTDZ($A$1,$B97,N$5,$B$1)</f>
        <v>596.88</v>
      </c>
      <c r="O97" s="55">
        <f>_xll.EQNXTDZ($A$1,$B97,O$5,$B$1)</f>
        <v>0</v>
      </c>
      <c r="P97" s="55">
        <f>_xll.EQNXTDZ($A$1,$B97,P$5,$B$1)</f>
        <v>591.35</v>
      </c>
      <c r="Q97" s="55">
        <f>_xll.EQNXTDZ($A$1,$B97,Q$5,$B$1)</f>
        <v>0</v>
      </c>
      <c r="R97" s="55">
        <f>_xll.EQNXTDZ($A$1,$B97,R$5,$B$1)</f>
        <v>624.58000000000004</v>
      </c>
      <c r="S97" s="55">
        <f>_xll.EQNXTDZ($A$1,$B97,S$5,$B$1)</f>
        <v>0</v>
      </c>
      <c r="T97" s="55">
        <f>_xll.EQNXTDZ($A$1,$B97,T$5,$B$1)</f>
        <v>655.91</v>
      </c>
      <c r="U97" s="55">
        <f>_xll.EQNXTDZ($A$1,$B97,U$5,$B$1)</f>
        <v>0</v>
      </c>
      <c r="V97" s="55">
        <f>_xll.EQNXTDZ($A$1,$B97,V$5,$B$1)</f>
        <v>753.35</v>
      </c>
      <c r="W97" s="55">
        <f>_xll.EQNXTDZ($A$1,$B97,W$5,$B$1)</f>
        <v>0</v>
      </c>
      <c r="X97" s="55">
        <f>_xll.EQNXTDZ($A$1,$B97,X$5,$B$1)</f>
        <v>769.89</v>
      </c>
      <c r="Y97" s="55">
        <f>_xll.EQNXTDZ($A$1,$B97,Y$5,$B$1)</f>
        <v>0</v>
      </c>
      <c r="Z97" s="55">
        <f>_xll.EQNXTDZ($A$1,$B97,Z$5,$B$1)</f>
        <v>854.21</v>
      </c>
      <c r="AA97" s="55">
        <f>_xll.EQNXTDZ($A$1,$B97,AA$5,$B$1)</f>
        <v>0</v>
      </c>
      <c r="AB97" s="55">
        <f>_xll.EQNXTDZ($A$1,$B97,AB$5,$B$1)</f>
        <v>877.08</v>
      </c>
      <c r="AC97" s="55">
        <f>_xll.EQNXTDZ($A$1,$B97,AC$5,$B$1)</f>
        <v>0</v>
      </c>
      <c r="AD97" s="55">
        <f>_xll.EQNXTDZ($A$1,$B97,AD$5,$B$1)</f>
        <v>982.89</v>
      </c>
      <c r="AE97" s="55">
        <f>_xll.EQNXTDZ($A$1,$B97,AE$5,$B$1)</f>
        <v>0</v>
      </c>
      <c r="AF97" s="55">
        <f>_xll.EQNXTDZ($A$1,$B97,AF$5,$B$1)</f>
        <v>1020.82</v>
      </c>
      <c r="AG97" s="55">
        <f>_xll.EQNXTDZ($A$1,$B97,AG$5,$B$1)</f>
        <v>0</v>
      </c>
      <c r="AH97" s="55">
        <f>_xll.EQNXTDZ($A$1,$B97,AH$5,$B$1)</f>
        <v>1065.45</v>
      </c>
      <c r="AI97" s="55">
        <f>_xll.EQNXTDZ($A$1,$B97,AI$5,$B$1)</f>
        <v>0</v>
      </c>
      <c r="AJ97" s="55">
        <f>_xll.EQNXTDZ($A$1,$B97,AJ$5,$B$1)</f>
        <v>1086.79</v>
      </c>
      <c r="AK97" s="55">
        <f>_xll.EQNXTDZ($A$1,$B97,AK$5,$B$1)</f>
        <v>0</v>
      </c>
      <c r="AL97" s="55">
        <f>_xll.EQNXTDZ($A$1,$B97,AL$5,$B$1)</f>
        <v>1179.74</v>
      </c>
      <c r="AM97" s="55">
        <f>_xll.EQNXTDZ($A$1,$B97,AM$5,$B$1)</f>
        <v>0</v>
      </c>
      <c r="AN97" s="55">
        <f>_xll.EQNXTDZ($A$1,$B97,AN$5,$B$1)</f>
        <v>1246.99</v>
      </c>
      <c r="AO97" s="55">
        <f>_xll.EQNXTDZ($A$1,$B97,AO$5,$B$1)</f>
        <v>0</v>
      </c>
      <c r="AP97" s="55">
        <f>_xll.EQNXTDZ($A$1,$B97,AP$5,$B$1)</f>
        <v>1289.95</v>
      </c>
      <c r="AQ97" s="55">
        <f>_xll.EQNXTDZ($A$1,$B97,AQ$5,$B$1)</f>
        <v>0</v>
      </c>
      <c r="AR97" s="55">
        <f>_xll.EQNXTDZ($A$1,$B97,AR$5,$B$1)</f>
        <v>1439.38</v>
      </c>
      <c r="AS97" s="55">
        <f>_xll.EQNXTDZ($A$1,$B97,AS$5,$B$1)</f>
        <v>0</v>
      </c>
      <c r="AT97" s="55">
        <f>_xll.EQNXTDZ($A$1,$B97,AT$5,$B$1)</f>
        <v>1673.93</v>
      </c>
      <c r="AU97" s="55">
        <f>_xll.EQNXTDZ($A$1,$B97,AU$5,$B$1)</f>
        <v>0</v>
      </c>
      <c r="AV97" s="55">
        <f>_xll.EQNXTDZ($A$1,$B97,AV$5,$B$1)</f>
        <v>1809.7</v>
      </c>
      <c r="AW97" s="55">
        <f>_xll.EQNXTDZ($A$1,$B97,AW$5,$B$1)</f>
        <v>0</v>
      </c>
      <c r="AX97" s="55">
        <f>_xll.EQNXTDZ($A$1,$B97,AX$5,$B$1)</f>
        <v>1949.23</v>
      </c>
      <c r="AY97" s="55">
        <f>_xll.EQNXTDZ($A$1,$B97,AY$5,$B$1)</f>
        <v>0</v>
      </c>
      <c r="AZ97" s="55">
        <f>_xll.EQNXTDZ($A$1,$B97,AZ$5,$B$1)</f>
        <v>2001.6</v>
      </c>
      <c r="BA97" s="55">
        <f>_xll.EQNXTDZ($A$1,$B97,BA$5,$B$1)</f>
        <v>0</v>
      </c>
      <c r="BB97" s="55">
        <f>_xll.EQNXTDZ($A$1,$B97,BB$5,$B$1)</f>
        <v>2026.96</v>
      </c>
      <c r="BC97" s="55">
        <f>_xll.EQNXTDZ($A$1,$B97,BC$5,$B$1)</f>
        <v>0</v>
      </c>
      <c r="BD97" s="55">
        <f>_xll.EQNXTDZ($A$1,$B97,BD$5,$B$1)</f>
        <v>2055</v>
      </c>
      <c r="BE97" s="55">
        <f>_xll.EQNXTDZ($A$1,$B97,BE$5,$B$1)</f>
        <v>0</v>
      </c>
      <c r="BF97" s="55">
        <f>_xll.EQNXTDZ($A$1,$B97,BF$5,$B$1)</f>
        <v>2080.19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102450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Seshasayee Paper and Boards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262.14069999999998</v>
      </c>
      <c r="D6" s="100">
        <f>_xll.EQNXTDZ($A$1,$B6,D$1,$B$1)</f>
        <v>362.20060000000001</v>
      </c>
      <c r="E6" s="100">
        <f>_xll.EQNXTDZ($A$1,$B6,E$1,$B$1)</f>
        <v>391.24689999999998</v>
      </c>
      <c r="F6" s="100">
        <f>_xll.EQNXTDZ($A$1,$B6,F$1,$B$1)</f>
        <v>418.00389999999999</v>
      </c>
      <c r="G6" s="100">
        <f>_xll.EQNXTDZ($A$1,$B6,G$1,$B$1)</f>
        <v>432.1232</v>
      </c>
      <c r="H6" s="100">
        <f>_xll.EQNXTDZ($A$1,$B6,H$1,$B$1)</f>
        <v>469.24810000000002</v>
      </c>
      <c r="I6" s="100">
        <f>_xll.EQNXTDZ($A$1,$B6,I$1,$B$1)</f>
        <v>503.89510000000001</v>
      </c>
      <c r="J6" s="100">
        <f>_xll.EQNXTDZ($A$1,$B6,J$1,$B$1)</f>
        <v>547.23009999999999</v>
      </c>
      <c r="K6" s="100">
        <f>_xll.EQNXTDZ($A$1,$B6,K$1,$B$1)</f>
        <v>561.15940000000001</v>
      </c>
      <c r="L6" s="100">
        <f>_xll.EQNXTDZ($A$1,$B6,L$1,$B$1)</f>
        <v>528.97230000000002</v>
      </c>
      <c r="M6" s="100">
        <f>_xll.EQNXTDZ($A$1,$B6,M$1,$B$1)</f>
        <v>595.14480000000003</v>
      </c>
      <c r="N6" s="100">
        <f>_xll.EQNXTDZ($A$1,$B6,N$1,$B$1)</f>
        <v>639.11779999999999</v>
      </c>
      <c r="O6" s="100">
        <f>_xll.EQNXTDZ($A$1,$B6,O$1,$B$1)</f>
        <v>880.77940000000001</v>
      </c>
      <c r="P6" s="100">
        <f>_xll.EQNXTDZ($A$1,$B6,P$1,$B$1)</f>
        <v>1064.2192</v>
      </c>
      <c r="Q6" s="100">
        <f>_xll.EQNXTDZ($A$1,$B6,Q$1,$B$1)</f>
        <v>1068.521</v>
      </c>
      <c r="R6" s="100">
        <f>_xll.EQNXTDZ($A$1,$B6,R$1,$B$1)</f>
        <v>1077.2476999999999</v>
      </c>
      <c r="S6" s="100">
        <f>_xll.EQNXTDZ($A$1,$B6,S$1,$B$1)</f>
        <v>1167.05</v>
      </c>
      <c r="T6" s="100">
        <f>_xll.EQNXTDZ($A$1,$B6,T$1,$B$1)</f>
        <v>1169.07</v>
      </c>
      <c r="U6" s="100">
        <f>_xll.EQNXTDZ($A$1,$B6,U$1,$B$1)</f>
        <v>1382.32</v>
      </c>
      <c r="V6" s="100">
        <f>_xll.EQNXTDZ($A$1,$B6,V$1,$B$1)</f>
        <v>1243.8399999999999</v>
      </c>
      <c r="W6" s="100">
        <f>_xll.EQNXTDZ($A$1,$B6,W$1,$B$1)</f>
        <v>821.73</v>
      </c>
      <c r="X6" s="100">
        <f>_xll.EQNXTDZ($A$1,$B6,X$1,$B$1)</f>
        <v>1419.19</v>
      </c>
      <c r="Y6" s="100">
        <f>_xll.EQNXTDZ($A$1,$B6,Y$1,$B$1)</f>
        <v>2193.0300000000002</v>
      </c>
      <c r="Z6" s="100">
        <f>_xll.EQNXTDZ($A$1,$B6,Z$1,$B$1)</f>
        <v>1906.87</v>
      </c>
      <c r="AA6" s="100">
        <f>_xll.EQNXTDZ($A$1,$B6,AA$1,$B$1)</f>
        <v>1862.07</v>
      </c>
      <c r="AB6" s="100">
        <f>_xll.EQNXTDZ($A$1,$B6,AB$1,$B$1)</f>
        <v>1821.95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50.9</v>
      </c>
      <c r="U8" s="100">
        <f>_xll.EQNXTDZ($A$1,$B8,U$1,$B$1)</f>
        <v>56.81</v>
      </c>
      <c r="V8" s="100">
        <f>_xll.EQNXTDZ($A$1,$B8,V$1,$B$1)</f>
        <v>59.59</v>
      </c>
      <c r="W8" s="100">
        <f>_xll.EQNXTDZ($A$1,$B8,W$1,$B$1)</f>
        <v>39.67</v>
      </c>
      <c r="X8" s="100">
        <f>_xll.EQNXTDZ($A$1,$B8,X$1,$B$1)</f>
        <v>63.99</v>
      </c>
      <c r="Y8" s="100">
        <f>_xll.EQNXTDZ($A$1,$B8,Y$1,$B$1)</f>
        <v>110.23</v>
      </c>
      <c r="Z8" s="100">
        <f>_xll.EQNXTDZ($A$1,$B8,Z$1,$B$1)</f>
        <v>105.04</v>
      </c>
      <c r="AA8" s="100">
        <f>_xll.EQNXTDZ($A$1,$B8,AA$1,$B$1)</f>
        <v>107.69</v>
      </c>
      <c r="AB8" s="100">
        <f>_xll.EQNXTDZ($A$1,$B8,AB$1,$B$1)</f>
        <v>111.5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32.3812</v>
      </c>
      <c r="D9" s="100">
        <f>_xll.EQNXTDZ($A$1,$B9,D$1,$B$1)</f>
        <v>34.633499999999998</v>
      </c>
      <c r="E9" s="100">
        <f>_xll.EQNXTDZ($A$1,$B9,E$1,$B$1)</f>
        <v>38.694200000000002</v>
      </c>
      <c r="F9" s="100">
        <f>_xll.EQNXTDZ($A$1,$B9,F$1,$B$1)</f>
        <v>43.8491</v>
      </c>
      <c r="G9" s="100">
        <f>_xll.EQNXTDZ($A$1,$B9,G$1,$B$1)</f>
        <v>46.562800000000003</v>
      </c>
      <c r="H9" s="100">
        <f>_xll.EQNXTDZ($A$1,$B9,H$1,$B$1)</f>
        <v>50.083300000000001</v>
      </c>
      <c r="I9" s="100">
        <f>_xll.EQNXTDZ($A$1,$B9,I$1,$B$1)</f>
        <v>46.2973</v>
      </c>
      <c r="J9" s="100">
        <f>_xll.EQNXTDZ($A$1,$B9,J$1,$B$1)</f>
        <v>52.189700000000002</v>
      </c>
      <c r="K9" s="100">
        <f>_xll.EQNXTDZ($A$1,$B9,K$1,$B$1)</f>
        <v>32.0471</v>
      </c>
      <c r="L9" s="100">
        <f>_xll.EQNXTDZ($A$1,$B9,L$1,$B$1)</f>
        <v>19.714700000000001</v>
      </c>
      <c r="M9" s="100">
        <f>_xll.EQNXTDZ($A$1,$B9,M$1,$B$1)</f>
        <v>21.6661</v>
      </c>
      <c r="N9" s="100">
        <f>_xll.EQNXTDZ($A$1,$B9,N$1,$B$1)</f>
        <v>27.7</v>
      </c>
      <c r="O9" s="100">
        <f>_xll.EQNXTDZ($A$1,$B9,O$1,$B$1)</f>
        <v>47.222000000000001</v>
      </c>
      <c r="P9" s="100">
        <f>_xll.EQNXTDZ($A$1,$B9,P$1,$B$1)</f>
        <v>53.368699999999997</v>
      </c>
      <c r="Q9" s="100">
        <f>_xll.EQNXTDZ($A$1,$B9,Q$1,$B$1)</f>
        <v>54.082500000000003</v>
      </c>
      <c r="R9" s="100">
        <f>_xll.EQNXTDZ($A$1,$B9,R$1,$B$1)</f>
        <v>51.621499999999997</v>
      </c>
      <c r="S9" s="100">
        <f>_xll.EQNXTDZ($A$1,$B9,S$1,$B$1)</f>
        <v>59.08</v>
      </c>
      <c r="T9" s="100">
        <f>_xll.EQNXTDZ($A$1,$B9,T$1,$B$1)</f>
        <v>13.14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229.7595</v>
      </c>
      <c r="D10" s="100">
        <f>_xll.EQNXTDZ($A$1,$B10,D$1,$B$1)</f>
        <v>327.56709999999998</v>
      </c>
      <c r="E10" s="100">
        <f>_xll.EQNXTDZ($A$1,$B10,E$1,$B$1)</f>
        <v>352.55270000000002</v>
      </c>
      <c r="F10" s="100">
        <f>_xll.EQNXTDZ($A$1,$B10,F$1,$B$1)</f>
        <v>374.15480000000002</v>
      </c>
      <c r="G10" s="100">
        <f>_xll.EQNXTDZ($A$1,$B10,G$1,$B$1)</f>
        <v>385.56040000000002</v>
      </c>
      <c r="H10" s="100">
        <f>_xll.EQNXTDZ($A$1,$B10,H$1,$B$1)</f>
        <v>419.16480000000001</v>
      </c>
      <c r="I10" s="100">
        <f>_xll.EQNXTDZ($A$1,$B10,I$1,$B$1)</f>
        <v>457.59780000000001</v>
      </c>
      <c r="J10" s="100">
        <f>_xll.EQNXTDZ($A$1,$B10,J$1,$B$1)</f>
        <v>495.04039999999998</v>
      </c>
      <c r="K10" s="100">
        <f>_xll.EQNXTDZ($A$1,$B10,K$1,$B$1)</f>
        <v>529.1123</v>
      </c>
      <c r="L10" s="100">
        <f>_xll.EQNXTDZ($A$1,$B10,L$1,$B$1)</f>
        <v>509.25760000000002</v>
      </c>
      <c r="M10" s="100">
        <f>_xll.EQNXTDZ($A$1,$B10,M$1,$B$1)</f>
        <v>573.4787</v>
      </c>
      <c r="N10" s="100">
        <f>_xll.EQNXTDZ($A$1,$B10,N$1,$B$1)</f>
        <v>611.41780000000006</v>
      </c>
      <c r="O10" s="100">
        <f>_xll.EQNXTDZ($A$1,$B10,O$1,$B$1)</f>
        <v>833.55740000000003</v>
      </c>
      <c r="P10" s="100">
        <f>_xll.EQNXTDZ($A$1,$B10,P$1,$B$1)</f>
        <v>1010.8505</v>
      </c>
      <c r="Q10" s="100">
        <f>_xll.EQNXTDZ($A$1,$B10,Q$1,$B$1)</f>
        <v>1014.4385</v>
      </c>
      <c r="R10" s="100">
        <f>_xll.EQNXTDZ($A$1,$B10,R$1,$B$1)</f>
        <v>1025.6261999999999</v>
      </c>
      <c r="S10" s="100">
        <f>_xll.EQNXTDZ($A$1,$B10,S$1,$B$1)</f>
        <v>1107.97</v>
      </c>
      <c r="T10" s="100">
        <f>_xll.EQNXTDZ($A$1,$B10,T$1,$B$1)</f>
        <v>1105.03</v>
      </c>
      <c r="U10" s="100">
        <f>_xll.EQNXTDZ($A$1,$B10,U$1,$B$1)</f>
        <v>1325.51</v>
      </c>
      <c r="V10" s="100">
        <f>_xll.EQNXTDZ($A$1,$B10,V$1,$B$1)</f>
        <v>1184.25</v>
      </c>
      <c r="W10" s="100">
        <f>_xll.EQNXTDZ($A$1,$B10,W$1,$B$1)</f>
        <v>782.06</v>
      </c>
      <c r="X10" s="100">
        <f>_xll.EQNXTDZ($A$1,$B10,X$1,$B$1)</f>
        <v>1355.2</v>
      </c>
      <c r="Y10" s="100">
        <f>_xll.EQNXTDZ($A$1,$B10,Y$1,$B$1)</f>
        <v>2082.8000000000002</v>
      </c>
      <c r="Z10" s="100">
        <f>_xll.EQNXTDZ($A$1,$B10,Z$1,$B$1)</f>
        <v>1801.83</v>
      </c>
      <c r="AA10" s="100">
        <f>_xll.EQNXTDZ($A$1,$B10,AA$1,$B$1)</f>
        <v>1754.38</v>
      </c>
      <c r="AB10" s="100">
        <f>_xll.EQNXTDZ($A$1,$B10,AB$1,$B$1)</f>
        <v>1710.45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-22.7743</v>
      </c>
      <c r="D11" s="100">
        <f>_xll.EQNXTDZ($A$1,$B11,D$1,$B$1)</f>
        <v>23.396999999999998</v>
      </c>
      <c r="E11" s="100">
        <f>_xll.EQNXTDZ($A$1,$B11,E$1,$B$1)</f>
        <v>0.29580000000000001</v>
      </c>
      <c r="F11" s="100">
        <f>_xll.EQNXTDZ($A$1,$B11,F$1,$B$1)</f>
        <v>-0.6784</v>
      </c>
      <c r="G11" s="100">
        <f>_xll.EQNXTDZ($A$1,$B11,G$1,$B$1)</f>
        <v>0.34360000000000002</v>
      </c>
      <c r="H11" s="100">
        <f>_xll.EQNXTDZ($A$1,$B11,H$1,$B$1)</f>
        <v>-0.13869999999999999</v>
      </c>
      <c r="I11" s="100">
        <f>_xll.EQNXTDZ($A$1,$B11,I$1,$B$1)</f>
        <v>-2.2063000000000001</v>
      </c>
      <c r="J11" s="100">
        <f>_xll.EQNXTDZ($A$1,$B11,J$1,$B$1)</f>
        <v>-1.4578</v>
      </c>
      <c r="K11" s="100">
        <f>_xll.EQNXTDZ($A$1,$B11,K$1,$B$1)</f>
        <v>3.0891999999999999</v>
      </c>
      <c r="L11" s="100">
        <f>_xll.EQNXTDZ($A$1,$B11,L$1,$B$1)</f>
        <v>0.1055</v>
      </c>
      <c r="M11" s="100">
        <f>_xll.EQNXTDZ($A$1,$B11,M$1,$B$1)</f>
        <v>-1.8244</v>
      </c>
      <c r="N11" s="100">
        <f>_xll.EQNXTDZ($A$1,$B11,N$1,$B$1)</f>
        <v>-11.210900000000001</v>
      </c>
      <c r="O11" s="100">
        <f>_xll.EQNXTDZ($A$1,$B11,O$1,$B$1)</f>
        <v>3.9457</v>
      </c>
      <c r="P11" s="100">
        <f>_xll.EQNXTDZ($A$1,$B11,P$1,$B$1)</f>
        <v>1.3162</v>
      </c>
      <c r="Q11" s="100">
        <f>_xll.EQNXTDZ($A$1,$B11,Q$1,$B$1)</f>
        <v>-2.3466</v>
      </c>
      <c r="R11" s="100">
        <f>_xll.EQNXTDZ($A$1,$B11,R$1,$B$1)</f>
        <v>3.7079</v>
      </c>
      <c r="S11" s="100">
        <f>_xll.EQNXTDZ($A$1,$B11,S$1,$B$1)</f>
        <v>-2.2400000000000002</v>
      </c>
      <c r="T11" s="100">
        <f>_xll.EQNXTDZ($A$1,$B11,T$1,$B$1)</f>
        <v>1.99</v>
      </c>
      <c r="U11" s="100">
        <f>_xll.EQNXTDZ($A$1,$B11,U$1,$B$1)</f>
        <v>0.52</v>
      </c>
      <c r="V11" s="100">
        <f>_xll.EQNXTDZ($A$1,$B11,V$1,$B$1)</f>
        <v>-53.05</v>
      </c>
      <c r="W11" s="100">
        <f>_xll.EQNXTDZ($A$1,$B11,W$1,$B$1)</f>
        <v>-97.4</v>
      </c>
      <c r="X11" s="100">
        <f>_xll.EQNXTDZ($A$1,$B11,X$1,$B$1)</f>
        <v>138.78</v>
      </c>
      <c r="Y11" s="100">
        <f>_xll.EQNXTDZ($A$1,$B11,Y$1,$B$1)</f>
        <v>13.75</v>
      </c>
      <c r="Z11" s="100">
        <f>_xll.EQNXTDZ($A$1,$B11,Z$1,$B$1)</f>
        <v>-95.28</v>
      </c>
      <c r="AA11" s="100">
        <f>_xll.EQNXTDZ($A$1,$B11,AA$1,$B$1)</f>
        <v>-56.81</v>
      </c>
      <c r="AB11" s="100">
        <f>_xll.EQNXTDZ($A$1,$B11,AB$1,$B$1)</f>
        <v>6.63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80.073999999999998</v>
      </c>
      <c r="D12" s="100">
        <f>_xll.EQNXTDZ($A$1,$B12,D$1,$B$1)</f>
        <v>96.043899999999994</v>
      </c>
      <c r="E12" s="100">
        <f>_xll.EQNXTDZ($A$1,$B12,E$1,$B$1)</f>
        <v>108.3409</v>
      </c>
      <c r="F12" s="100">
        <f>_xll.EQNXTDZ($A$1,$B12,F$1,$B$1)</f>
        <v>125.43470000000001</v>
      </c>
      <c r="G12" s="100">
        <f>_xll.EQNXTDZ($A$1,$B12,G$1,$B$1)</f>
        <v>149.8631</v>
      </c>
      <c r="H12" s="100">
        <f>_xll.EQNXTDZ($A$1,$B12,H$1,$B$1)</f>
        <v>160.47470000000001</v>
      </c>
      <c r="I12" s="100">
        <f>_xll.EQNXTDZ($A$1,$B12,I$1,$B$1)</f>
        <v>176.6593</v>
      </c>
      <c r="J12" s="100">
        <f>_xll.EQNXTDZ($A$1,$B12,J$1,$B$1)</f>
        <v>180.14830000000001</v>
      </c>
      <c r="K12" s="100">
        <f>_xll.EQNXTDZ($A$1,$B12,K$1,$B$1)</f>
        <v>171.49610000000001</v>
      </c>
      <c r="L12" s="100">
        <f>_xll.EQNXTDZ($A$1,$B12,L$1,$B$1)</f>
        <v>121.4325</v>
      </c>
      <c r="M12" s="100">
        <f>_xll.EQNXTDZ($A$1,$B12,M$1,$B$1)</f>
        <v>153.6679</v>
      </c>
      <c r="N12" s="100">
        <f>_xll.EQNXTDZ($A$1,$B12,N$1,$B$1)</f>
        <v>184.9248</v>
      </c>
      <c r="O12" s="100">
        <f>_xll.EQNXTDZ($A$1,$B12,O$1,$B$1)</f>
        <v>280.1952</v>
      </c>
      <c r="P12" s="100">
        <f>_xll.EQNXTDZ($A$1,$B12,P$1,$B$1)</f>
        <v>397.33030000000002</v>
      </c>
      <c r="Q12" s="100">
        <f>_xll.EQNXTDZ($A$1,$B12,Q$1,$B$1)</f>
        <v>426.78640000000001</v>
      </c>
      <c r="R12" s="100">
        <f>_xll.EQNXTDZ($A$1,$B12,R$1,$B$1)</f>
        <v>423.88279999999997</v>
      </c>
      <c r="S12" s="100">
        <f>_xll.EQNXTDZ($A$1,$B12,S$1,$B$1)</f>
        <v>411.43</v>
      </c>
      <c r="T12" s="100">
        <f>_xll.EQNXTDZ($A$1,$B12,T$1,$B$1)</f>
        <v>390.51</v>
      </c>
      <c r="U12" s="100">
        <f>_xll.EQNXTDZ($A$1,$B12,U$1,$B$1)</f>
        <v>446.4</v>
      </c>
      <c r="V12" s="100">
        <f>_xll.EQNXTDZ($A$1,$B12,V$1,$B$1)</f>
        <v>384.29</v>
      </c>
      <c r="W12" s="100">
        <f>_xll.EQNXTDZ($A$1,$B12,W$1,$B$1)</f>
        <v>298.45</v>
      </c>
      <c r="X12" s="100">
        <f>_xll.EQNXTDZ($A$1,$B12,X$1,$B$1)</f>
        <v>381.89</v>
      </c>
      <c r="Y12" s="100">
        <f>_xll.EQNXTDZ($A$1,$B12,Y$1,$B$1)</f>
        <v>621.42999999999995</v>
      </c>
      <c r="Z12" s="100">
        <f>_xll.EQNXTDZ($A$1,$B12,Z$1,$B$1)</f>
        <v>712.26</v>
      </c>
      <c r="AA12" s="100">
        <f>_xll.EQNXTDZ($A$1,$B12,AA$1,$B$1)</f>
        <v>838.11</v>
      </c>
      <c r="AB12" s="100">
        <f>_xll.EQNXTDZ($A$1,$B12,AB$1,$B$1)</f>
        <v>794.66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62.259599999999999</v>
      </c>
      <c r="D13" s="100">
        <f>_xll.EQNXTDZ($A$1,$B13,D$1,$B$1)</f>
        <v>69.593299999999999</v>
      </c>
      <c r="E13" s="100">
        <f>_xll.EQNXTDZ($A$1,$B13,E$1,$B$1)</f>
        <v>66.4953</v>
      </c>
      <c r="F13" s="100">
        <f>_xll.EQNXTDZ($A$1,$B13,F$1,$B$1)</f>
        <v>69.209500000000006</v>
      </c>
      <c r="G13" s="100">
        <f>_xll.EQNXTDZ($A$1,$B13,G$1,$B$1)</f>
        <v>77.414100000000005</v>
      </c>
      <c r="H13" s="100">
        <f>_xll.EQNXTDZ($A$1,$B13,H$1,$B$1)</f>
        <v>67.166200000000003</v>
      </c>
      <c r="I13" s="100">
        <f>_xll.EQNXTDZ($A$1,$B13,I$1,$B$1)</f>
        <v>64.677099999999996</v>
      </c>
      <c r="J13" s="100">
        <f>_xll.EQNXTDZ($A$1,$B13,J$1,$B$1)</f>
        <v>63.030099999999997</v>
      </c>
      <c r="K13" s="100">
        <f>_xll.EQNXTDZ($A$1,$B13,K$1,$B$1)</f>
        <v>94.786600000000007</v>
      </c>
      <c r="L13" s="100">
        <f>_xll.EQNXTDZ($A$1,$B13,L$1,$B$1)</f>
        <v>79.300600000000003</v>
      </c>
      <c r="M13" s="100">
        <f>_xll.EQNXTDZ($A$1,$B13,M$1,$B$1)</f>
        <v>90.143299999999996</v>
      </c>
      <c r="N13" s="100">
        <f>_xll.EQNXTDZ($A$1,$B13,N$1,$B$1)</f>
        <v>105.6284</v>
      </c>
      <c r="O13" s="100">
        <f>_xll.EQNXTDZ($A$1,$B13,O$1,$B$1)</f>
        <v>139.4751</v>
      </c>
      <c r="P13" s="100">
        <f>_xll.EQNXTDZ($A$1,$B13,P$1,$B$1)</f>
        <v>145.30699999999999</v>
      </c>
      <c r="Q13" s="100">
        <f>_xll.EQNXTDZ($A$1,$B13,Q$1,$B$1)</f>
        <v>144.34460000000001</v>
      </c>
      <c r="R13" s="100">
        <f>_xll.EQNXTDZ($A$1,$B13,R$1,$B$1)</f>
        <v>129.99860000000001</v>
      </c>
      <c r="S13" s="100">
        <f>_xll.EQNXTDZ($A$1,$B13,S$1,$B$1)</f>
        <v>116.64</v>
      </c>
      <c r="T13" s="100">
        <f>_xll.EQNXTDZ($A$1,$B13,T$1,$B$1)</f>
        <v>139.96</v>
      </c>
      <c r="U13" s="100">
        <f>_xll.EQNXTDZ($A$1,$B13,U$1,$B$1)</f>
        <v>155.63999999999999</v>
      </c>
      <c r="V13" s="100">
        <f>_xll.EQNXTDZ($A$1,$B13,V$1,$B$1)</f>
        <v>138.80000000000001</v>
      </c>
      <c r="W13" s="100">
        <f>_xll.EQNXTDZ($A$1,$B13,W$1,$B$1)</f>
        <v>104.05</v>
      </c>
      <c r="X13" s="100">
        <f>_xll.EQNXTDZ($A$1,$B13,X$1,$B$1)</f>
        <v>184.77</v>
      </c>
      <c r="Y13" s="100">
        <f>_xll.EQNXTDZ($A$1,$B13,Y$1,$B$1)</f>
        <v>281.18</v>
      </c>
      <c r="Z13" s="100">
        <f>_xll.EQNXTDZ($A$1,$B13,Z$1,$B$1)</f>
        <v>257.08999999999997</v>
      </c>
      <c r="AA13" s="100">
        <f>_xll.EQNXTDZ($A$1,$B13,AA$1,$B$1)</f>
        <v>242.48</v>
      </c>
      <c r="AB13" s="100">
        <f>_xll.EQNXTDZ($A$1,$B13,AB$1,$B$1)</f>
        <v>203.03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23.027200000000001</v>
      </c>
      <c r="D14" s="100">
        <f>_xll.EQNXTDZ($A$1,$B14,D$1,$B$1)</f>
        <v>24.042999999999999</v>
      </c>
      <c r="E14" s="100">
        <f>_xll.EQNXTDZ($A$1,$B14,E$1,$B$1)</f>
        <v>24.8901</v>
      </c>
      <c r="F14" s="100">
        <f>_xll.EQNXTDZ($A$1,$B14,F$1,$B$1)</f>
        <v>25.0871</v>
      </c>
      <c r="G14" s="100">
        <f>_xll.EQNXTDZ($A$1,$B14,G$1,$B$1)</f>
        <v>27.746200000000002</v>
      </c>
      <c r="H14" s="100">
        <f>_xll.EQNXTDZ($A$1,$B14,H$1,$B$1)</f>
        <v>29.661200000000001</v>
      </c>
      <c r="I14" s="100">
        <f>_xll.EQNXTDZ($A$1,$B14,I$1,$B$1)</f>
        <v>27.435099999999998</v>
      </c>
      <c r="J14" s="100">
        <f>_xll.EQNXTDZ($A$1,$B14,J$1,$B$1)</f>
        <v>32.459899999999998</v>
      </c>
      <c r="K14" s="100">
        <f>_xll.EQNXTDZ($A$1,$B14,K$1,$B$1)</f>
        <v>30.7544</v>
      </c>
      <c r="L14" s="100">
        <f>_xll.EQNXTDZ($A$1,$B14,L$1,$B$1)</f>
        <v>32.7684</v>
      </c>
      <c r="M14" s="100">
        <f>_xll.EQNXTDZ($A$1,$B14,M$1,$B$1)</f>
        <v>50.925699999999999</v>
      </c>
      <c r="N14" s="100">
        <f>_xll.EQNXTDZ($A$1,$B14,N$1,$B$1)</f>
        <v>46.200299999999999</v>
      </c>
      <c r="O14" s="100">
        <f>_xll.EQNXTDZ($A$1,$B14,O$1,$B$1)</f>
        <v>54.055799999999998</v>
      </c>
      <c r="P14" s="100">
        <f>_xll.EQNXTDZ($A$1,$B14,P$1,$B$1)</f>
        <v>56.054499999999997</v>
      </c>
      <c r="Q14" s="100">
        <f>_xll.EQNXTDZ($A$1,$B14,Q$1,$B$1)</f>
        <v>64.128399999999999</v>
      </c>
      <c r="R14" s="100">
        <f>_xll.EQNXTDZ($A$1,$B14,R$1,$B$1)</f>
        <v>79.564999999999998</v>
      </c>
      <c r="S14" s="100">
        <f>_xll.EQNXTDZ($A$1,$B14,S$1,$B$1)</f>
        <v>69.72</v>
      </c>
      <c r="T14" s="100">
        <f>_xll.EQNXTDZ($A$1,$B14,T$1,$B$1)</f>
        <v>68.36</v>
      </c>
      <c r="U14" s="100">
        <f>_xll.EQNXTDZ($A$1,$B14,U$1,$B$1)</f>
        <v>69.28</v>
      </c>
      <c r="V14" s="100">
        <f>_xll.EQNXTDZ($A$1,$B14,V$1,$B$1)</f>
        <v>82.32</v>
      </c>
      <c r="W14" s="100">
        <f>_xll.EQNXTDZ($A$1,$B14,W$1,$B$1)</f>
        <v>81.34</v>
      </c>
      <c r="X14" s="100">
        <f>_xll.EQNXTDZ($A$1,$B14,X$1,$B$1)</f>
        <v>84.59</v>
      </c>
      <c r="Y14" s="100">
        <f>_xll.EQNXTDZ($A$1,$B14,Y$1,$B$1)</f>
        <v>97.9</v>
      </c>
      <c r="Z14" s="100">
        <f>_xll.EQNXTDZ($A$1,$B14,Z$1,$B$1)</f>
        <v>92.88</v>
      </c>
      <c r="AA14" s="100">
        <f>_xll.EQNXTDZ($A$1,$B14,AA$1,$B$1)</f>
        <v>113.32</v>
      </c>
      <c r="AB14" s="100">
        <f>_xll.EQNXTDZ($A$1,$B14,AB$1,$B$1)</f>
        <v>103.57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40.595799999999997</v>
      </c>
      <c r="D15" s="100">
        <f>_xll.EQNXTDZ($A$1,$B15,D$1,$B$1)</f>
        <v>47.480699999999999</v>
      </c>
      <c r="E15" s="100">
        <f>_xll.EQNXTDZ($A$1,$B15,E$1,$B$1)</f>
        <v>53.4114</v>
      </c>
      <c r="F15" s="100">
        <f>_xll.EQNXTDZ($A$1,$B15,F$1,$B$1)</f>
        <v>56.8386</v>
      </c>
      <c r="G15" s="100">
        <f>_xll.EQNXTDZ($A$1,$B15,G$1,$B$1)</f>
        <v>55.276400000000002</v>
      </c>
      <c r="H15" s="100">
        <f>_xll.EQNXTDZ($A$1,$B15,H$1,$B$1)</f>
        <v>62.856000000000002</v>
      </c>
      <c r="I15" s="100">
        <f>_xll.EQNXTDZ($A$1,$B15,I$1,$B$1)</f>
        <v>75.484099999999998</v>
      </c>
      <c r="J15" s="100">
        <f>_xll.EQNXTDZ($A$1,$B15,J$1,$B$1)</f>
        <v>89.527500000000003</v>
      </c>
      <c r="K15" s="100">
        <f>_xll.EQNXTDZ($A$1,$B15,K$1,$B$1)</f>
        <v>102.26519999999999</v>
      </c>
      <c r="L15" s="100">
        <f>_xll.EQNXTDZ($A$1,$B15,L$1,$B$1)</f>
        <v>114.1568</v>
      </c>
      <c r="M15" s="100">
        <f>_xll.EQNXTDZ($A$1,$B15,M$1,$B$1)</f>
        <v>123.5933</v>
      </c>
      <c r="N15" s="100">
        <f>_xll.EQNXTDZ($A$1,$B15,N$1,$B$1)</f>
        <v>142.51079999999999</v>
      </c>
      <c r="O15" s="100">
        <f>_xll.EQNXTDZ($A$1,$B15,O$1,$B$1)</f>
        <v>181.60480000000001</v>
      </c>
      <c r="P15" s="100">
        <f>_xll.EQNXTDZ($A$1,$B15,P$1,$B$1)</f>
        <v>210.4271</v>
      </c>
      <c r="Q15" s="100">
        <f>_xll.EQNXTDZ($A$1,$B15,Q$1,$B$1)</f>
        <v>207.08099999999999</v>
      </c>
      <c r="R15" s="100">
        <f>_xll.EQNXTDZ($A$1,$B15,R$1,$B$1)</f>
        <v>200.60159999999999</v>
      </c>
      <c r="S15" s="100">
        <f>_xll.EQNXTDZ($A$1,$B15,S$1,$B$1)</f>
        <v>223.77</v>
      </c>
      <c r="T15" s="100">
        <f>_xll.EQNXTDZ($A$1,$B15,T$1,$B$1)</f>
        <v>242.15</v>
      </c>
      <c r="U15" s="100">
        <f>_xll.EQNXTDZ($A$1,$B15,U$1,$B$1)</f>
        <v>293.52</v>
      </c>
      <c r="V15" s="100">
        <f>_xll.EQNXTDZ($A$1,$B15,V$1,$B$1)</f>
        <v>292.81</v>
      </c>
      <c r="W15" s="100">
        <f>_xll.EQNXTDZ($A$1,$B15,W$1,$B$1)</f>
        <v>219.57</v>
      </c>
      <c r="X15" s="100">
        <f>_xll.EQNXTDZ($A$1,$B15,X$1,$B$1)</f>
        <v>295.79000000000002</v>
      </c>
      <c r="Y15" s="100">
        <f>_xll.EQNXTDZ($A$1,$B15,Y$1,$B$1)</f>
        <v>414.44</v>
      </c>
      <c r="Z15" s="100">
        <f>_xll.EQNXTDZ($A$1,$B15,Z$1,$B$1)</f>
        <v>402.88</v>
      </c>
      <c r="AA15" s="100">
        <f>_xll.EQNXTDZ($A$1,$B15,AA$1,$B$1)</f>
        <v>394.52</v>
      </c>
      <c r="AB15" s="100">
        <f>_xll.EQNXTDZ($A$1,$B15,AB$1,$B$1)</f>
        <v>387.39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19.544</v>
      </c>
      <c r="D17" s="100">
        <f>_xll.EQNXTDZ($A$1,$B17,D$1,$B$1)</f>
        <v>23.577300000000001</v>
      </c>
      <c r="E17" s="100">
        <f>_xll.EQNXTDZ($A$1,$B17,E$1,$B$1)</f>
        <v>25.645700000000001</v>
      </c>
      <c r="F17" s="100">
        <f>_xll.EQNXTDZ($A$1,$B17,F$1,$B$1)</f>
        <v>31.965</v>
      </c>
      <c r="G17" s="100">
        <f>_xll.EQNXTDZ($A$1,$B17,G$1,$B$1)</f>
        <v>33.607999999999997</v>
      </c>
      <c r="H17" s="100">
        <f>_xll.EQNXTDZ($A$1,$B17,H$1,$B$1)</f>
        <v>39.064100000000003</v>
      </c>
      <c r="I17" s="100">
        <f>_xll.EQNXTDZ($A$1,$B17,I$1,$B$1)</f>
        <v>39.183300000000003</v>
      </c>
      <c r="J17" s="100">
        <f>_xll.EQNXTDZ($A$1,$B17,J$1,$B$1)</f>
        <v>33.162199999999999</v>
      </c>
      <c r="K17" s="100">
        <f>_xll.EQNXTDZ($A$1,$B17,K$1,$B$1)</f>
        <v>31.708200000000001</v>
      </c>
      <c r="L17" s="100">
        <f>_xll.EQNXTDZ($A$1,$B17,L$1,$B$1)</f>
        <v>31.2742</v>
      </c>
      <c r="M17" s="100">
        <f>_xll.EQNXTDZ($A$1,$B17,M$1,$B$1)</f>
        <v>11.455</v>
      </c>
      <c r="N17" s="100">
        <f>_xll.EQNXTDZ($A$1,$B17,N$1,$B$1)</f>
        <v>10.8652</v>
      </c>
      <c r="O17" s="100">
        <f>_xll.EQNXTDZ($A$1,$B17,O$1,$B$1)</f>
        <v>17.857500000000002</v>
      </c>
      <c r="P17" s="100">
        <f>_xll.EQNXTDZ($A$1,$B17,P$1,$B$1)</f>
        <v>16.298100000000002</v>
      </c>
      <c r="Q17" s="100">
        <f>_xll.EQNXTDZ($A$1,$B17,Q$1,$B$1)</f>
        <v>17.311499999999999</v>
      </c>
      <c r="R17" s="100">
        <f>_xll.EQNXTDZ($A$1,$B17,R$1,$B$1)</f>
        <v>17.8475</v>
      </c>
      <c r="S17" s="100">
        <f>_xll.EQNXTDZ($A$1,$B17,S$1,$B$1)</f>
        <v>8.7899999999999991</v>
      </c>
      <c r="T17" s="100">
        <f>_xll.EQNXTDZ($A$1,$B17,T$1,$B$1)</f>
        <v>7.31</v>
      </c>
      <c r="U17" s="100">
        <f>_xll.EQNXTDZ($A$1,$B17,U$1,$B$1)</f>
        <v>8.75</v>
      </c>
      <c r="V17" s="100">
        <f>_xll.EQNXTDZ($A$1,$B17,V$1,$B$1)</f>
        <v>6.38</v>
      </c>
      <c r="W17" s="100">
        <f>_xll.EQNXTDZ($A$1,$B17,W$1,$B$1)</f>
        <v>8.56</v>
      </c>
      <c r="X17" s="100">
        <f>_xll.EQNXTDZ($A$1,$B17,X$1,$B$1)</f>
        <v>9.2100000000000009</v>
      </c>
      <c r="Y17" s="100">
        <f>_xll.EQNXTDZ($A$1,$B17,Y$1,$B$1)</f>
        <v>8.9600000000000009</v>
      </c>
      <c r="Z17" s="100">
        <f>_xll.EQNXTDZ($A$1,$B17,Z$1,$B$1)</f>
        <v>9.68</v>
      </c>
      <c r="AA17" s="100">
        <f>_xll.EQNXTDZ($A$1,$B17,AA$1,$B$1)</f>
        <v>10.15</v>
      </c>
      <c r="AB17" s="100">
        <f>_xll.EQNXTDZ($A$1,$B17,AB$1,$B$1)</f>
        <v>15.08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3.3458999999999999</v>
      </c>
      <c r="D18" s="100">
        <f>_xll.EQNXTDZ($A$1,$B18,D$1,$B$1)</f>
        <v>3.4695999999999998</v>
      </c>
      <c r="E18" s="100">
        <f>_xll.EQNXTDZ($A$1,$B18,E$1,$B$1)</f>
        <v>4.1288999999999998</v>
      </c>
      <c r="F18" s="100">
        <f>_xll.EQNXTDZ($A$1,$B18,F$1,$B$1)</f>
        <v>10.270300000000001</v>
      </c>
      <c r="G18" s="100">
        <f>_xll.EQNXTDZ($A$1,$B18,G$1,$B$1)</f>
        <v>10.0297</v>
      </c>
      <c r="H18" s="100">
        <f>_xll.EQNXTDZ($A$1,$B18,H$1,$B$1)</f>
        <v>11.057399999999999</v>
      </c>
      <c r="I18" s="100">
        <f>_xll.EQNXTDZ($A$1,$B18,I$1,$B$1)</f>
        <v>12.4848</v>
      </c>
      <c r="J18" s="100">
        <f>_xll.EQNXTDZ($A$1,$B18,J$1,$B$1)</f>
        <v>14.438000000000001</v>
      </c>
      <c r="K18" s="100">
        <f>_xll.EQNXTDZ($A$1,$B18,K$1,$B$1)</f>
        <v>15.545299999999999</v>
      </c>
      <c r="L18" s="100">
        <f>_xll.EQNXTDZ($A$1,$B18,L$1,$B$1)</f>
        <v>13.7639</v>
      </c>
      <c r="M18" s="100">
        <f>_xll.EQNXTDZ($A$1,$B18,M$1,$B$1)</f>
        <v>31.7074</v>
      </c>
      <c r="N18" s="100">
        <f>_xll.EQNXTDZ($A$1,$B18,N$1,$B$1)</f>
        <v>31.236000000000001</v>
      </c>
      <c r="O18" s="100">
        <f>_xll.EQNXTDZ($A$1,$B18,O$1,$B$1)</f>
        <v>47.846400000000003</v>
      </c>
      <c r="P18" s="100">
        <f>_xll.EQNXTDZ($A$1,$B18,P$1,$B$1)</f>
        <v>53.564799999999998</v>
      </c>
      <c r="Q18" s="100">
        <f>_xll.EQNXTDZ($A$1,$B18,Q$1,$B$1)</f>
        <v>61.466999999999999</v>
      </c>
      <c r="R18" s="100">
        <f>_xll.EQNXTDZ($A$1,$B18,R$1,$B$1)</f>
        <v>57.036200000000001</v>
      </c>
      <c r="S18" s="100">
        <f>_xll.EQNXTDZ($A$1,$B18,S$1,$B$1)</f>
        <v>38.93</v>
      </c>
      <c r="T18" s="100">
        <f>_xll.EQNXTDZ($A$1,$B18,T$1,$B$1)</f>
        <v>25.77</v>
      </c>
      <c r="U18" s="100">
        <f>_xll.EQNXTDZ($A$1,$B18,U$1,$B$1)</f>
        <v>32.14</v>
      </c>
      <c r="V18" s="100">
        <f>_xll.EQNXTDZ($A$1,$B18,V$1,$B$1)</f>
        <v>35.42</v>
      </c>
      <c r="W18" s="100">
        <f>_xll.EQNXTDZ($A$1,$B18,W$1,$B$1)</f>
        <v>36.380000000000003</v>
      </c>
      <c r="X18" s="100">
        <f>_xll.EQNXTDZ($A$1,$B18,X$1,$B$1)</f>
        <v>68.45</v>
      </c>
      <c r="Y18" s="100">
        <f>_xll.EQNXTDZ($A$1,$B18,Y$1,$B$1)</f>
        <v>80.459999999999994</v>
      </c>
      <c r="Z18" s="100">
        <f>_xll.EQNXTDZ($A$1,$B18,Z$1,$B$1)</f>
        <v>52.59</v>
      </c>
      <c r="AA18" s="100">
        <f>_xll.EQNXTDZ($A$1,$B18,AA$1,$B$1)</f>
        <v>60.16</v>
      </c>
      <c r="AB18" s="100">
        <f>_xll.EQNXTDZ($A$1,$B18,AB$1,$B$1)</f>
        <v>63.15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1.4725999999999999</v>
      </c>
      <c r="D19" s="100">
        <f>_xll.EQNXTDZ($A$1,$B19,D$1,$B$1)</f>
        <v>2.0962000000000001</v>
      </c>
      <c r="E19" s="100">
        <f>_xll.EQNXTDZ($A$1,$B19,E$1,$B$1)</f>
        <v>2.9550000000000001</v>
      </c>
      <c r="F19" s="100">
        <f>_xll.EQNXTDZ($A$1,$B19,F$1,$B$1)</f>
        <v>1.2654000000000001</v>
      </c>
      <c r="G19" s="100">
        <f>_xll.EQNXTDZ($A$1,$B19,G$1,$B$1)</f>
        <v>2.2134</v>
      </c>
      <c r="H19" s="100">
        <f>_xll.EQNXTDZ($A$1,$B19,H$1,$B$1)</f>
        <v>1.9685999999999999</v>
      </c>
      <c r="I19" s="100">
        <f>_xll.EQNXTDZ($A$1,$B19,I$1,$B$1)</f>
        <v>2.0586000000000002</v>
      </c>
      <c r="J19" s="100">
        <f>_xll.EQNXTDZ($A$1,$B19,J$1,$B$1)</f>
        <v>2.2014</v>
      </c>
      <c r="K19" s="100">
        <f>_xll.EQNXTDZ($A$1,$B19,K$1,$B$1)</f>
        <v>13.101100000000001</v>
      </c>
      <c r="L19" s="100">
        <f>_xll.EQNXTDZ($A$1,$B19,L$1,$B$1)</f>
        <v>3.4676</v>
      </c>
      <c r="M19" s="100">
        <f>_xll.EQNXTDZ($A$1,$B19,M$1,$B$1)</f>
        <v>3.3988999999999998</v>
      </c>
      <c r="N19" s="100">
        <f>_xll.EQNXTDZ($A$1,$B19,N$1,$B$1)</f>
        <v>2.3563999999999998</v>
      </c>
      <c r="O19" s="100">
        <f>_xll.EQNXTDZ($A$1,$B19,O$1,$B$1)</f>
        <v>3.6168</v>
      </c>
      <c r="P19" s="100">
        <f>_xll.EQNXTDZ($A$1,$B19,P$1,$B$1)</f>
        <v>6.9077000000000002</v>
      </c>
      <c r="Q19" s="100">
        <f>_xll.EQNXTDZ($A$1,$B19,Q$1,$B$1)</f>
        <v>6.1715999999999998</v>
      </c>
      <c r="R19" s="100">
        <f>_xll.EQNXTDZ($A$1,$B19,R$1,$B$1)</f>
        <v>5.7473999999999998</v>
      </c>
      <c r="S19" s="100">
        <f>_xll.EQNXTDZ($A$1,$B19,S$1,$B$1)</f>
        <v>26.99</v>
      </c>
      <c r="T19" s="100">
        <f>_xll.EQNXTDZ($A$1,$B19,T$1,$B$1)</f>
        <v>21.65</v>
      </c>
      <c r="U19" s="100">
        <f>_xll.EQNXTDZ($A$1,$B19,U$1,$B$1)</f>
        <v>23.41</v>
      </c>
      <c r="V19" s="100">
        <f>_xll.EQNXTDZ($A$1,$B19,V$1,$B$1)</f>
        <v>30.34</v>
      </c>
      <c r="W19" s="100">
        <f>_xll.EQNXTDZ($A$1,$B19,W$1,$B$1)</f>
        <v>23.56</v>
      </c>
      <c r="X19" s="100">
        <f>_xll.EQNXTDZ($A$1,$B19,X$1,$B$1)</f>
        <v>26.01</v>
      </c>
      <c r="Y19" s="100">
        <f>_xll.EQNXTDZ($A$1,$B19,Y$1,$B$1)</f>
        <v>30.55</v>
      </c>
      <c r="Z19" s="100">
        <f>_xll.EQNXTDZ($A$1,$B19,Z$1,$B$1)</f>
        <v>29.81</v>
      </c>
      <c r="AA19" s="100">
        <f>_xll.EQNXTDZ($A$1,$B19,AA$1,$B$1)</f>
        <v>41.04</v>
      </c>
      <c r="AB19" s="100">
        <f>_xll.EQNXTDZ($A$1,$B19,AB$1,$B$1)</f>
        <v>41.02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207.54480000000001</v>
      </c>
      <c r="D21" s="100">
        <f>_xll.EQNXTDZ($A$1,$B21,D$1,$B$1)</f>
        <v>289.70100000000002</v>
      </c>
      <c r="E21" s="100">
        <f>_xll.EQNXTDZ($A$1,$B21,E$1,$B$1)</f>
        <v>286.16309999999999</v>
      </c>
      <c r="F21" s="100">
        <f>_xll.EQNXTDZ($A$1,$B21,F$1,$B$1)</f>
        <v>319.3922</v>
      </c>
      <c r="G21" s="100">
        <f>_xll.EQNXTDZ($A$1,$B21,G$1,$B$1)</f>
        <v>356.49450000000002</v>
      </c>
      <c r="H21" s="100">
        <f>_xll.EQNXTDZ($A$1,$B21,H$1,$B$1)</f>
        <v>372.10950000000003</v>
      </c>
      <c r="I21" s="100">
        <f>_xll.EQNXTDZ($A$1,$B21,I$1,$B$1)</f>
        <v>395.77600000000001</v>
      </c>
      <c r="J21" s="100">
        <f>_xll.EQNXTDZ($A$1,$B21,J$1,$B$1)</f>
        <v>413.50959999999998</v>
      </c>
      <c r="K21" s="100">
        <f>_xll.EQNXTDZ($A$1,$B21,K$1,$B$1)</f>
        <v>462.74610000000001</v>
      </c>
      <c r="L21" s="100">
        <f>_xll.EQNXTDZ($A$1,$B21,L$1,$B$1)</f>
        <v>396.26949999999999</v>
      </c>
      <c r="M21" s="100">
        <f>_xll.EQNXTDZ($A$1,$B21,M$1,$B$1)</f>
        <v>463.06709999999998</v>
      </c>
      <c r="N21" s="100">
        <f>_xll.EQNXTDZ($A$1,$B21,N$1,$B$1)</f>
        <v>512.51099999999997</v>
      </c>
      <c r="O21" s="100">
        <f>_xll.EQNXTDZ($A$1,$B21,O$1,$B$1)</f>
        <v>728.59730000000002</v>
      </c>
      <c r="P21" s="100">
        <f>_xll.EQNXTDZ($A$1,$B21,P$1,$B$1)</f>
        <v>887.20569999999998</v>
      </c>
      <c r="Q21" s="100">
        <f>_xll.EQNXTDZ($A$1,$B21,Q$1,$B$1)</f>
        <v>924.94389999999999</v>
      </c>
      <c r="R21" s="100">
        <f>_xll.EQNXTDZ($A$1,$B21,R$1,$B$1)</f>
        <v>918.38699999999994</v>
      </c>
      <c r="S21" s="100">
        <f>_xll.EQNXTDZ($A$1,$B21,S$1,$B$1)</f>
        <v>894.03</v>
      </c>
      <c r="T21" s="100">
        <f>_xll.EQNXTDZ($A$1,$B21,T$1,$B$1)</f>
        <v>897.7</v>
      </c>
      <c r="U21" s="100">
        <f>_xll.EQNXTDZ($A$1,$B21,U$1,$B$1)</f>
        <v>1029.6600000000001</v>
      </c>
      <c r="V21" s="100">
        <f>_xll.EQNXTDZ($A$1,$B21,V$1,$B$1)</f>
        <v>917.31</v>
      </c>
      <c r="W21" s="100">
        <f>_xll.EQNXTDZ($A$1,$B21,W$1,$B$1)</f>
        <v>674.51</v>
      </c>
      <c r="X21" s="100">
        <f>_xll.EQNXTDZ($A$1,$B21,X$1,$B$1)</f>
        <v>1189.49</v>
      </c>
      <c r="Y21" s="100">
        <f>_xll.EQNXTDZ($A$1,$B21,Y$1,$B$1)</f>
        <v>1548.67</v>
      </c>
      <c r="Z21" s="100">
        <f>_xll.EQNXTDZ($A$1,$B21,Z$1,$B$1)</f>
        <v>1461.91</v>
      </c>
      <c r="AA21" s="100">
        <f>_xll.EQNXTDZ($A$1,$B21,AA$1,$B$1)</f>
        <v>1642.97</v>
      </c>
      <c r="AB21" s="100">
        <f>_xll.EQNXTDZ($A$1,$B21,AB$1,$B$1)</f>
        <v>1614.53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22.214700000000001</v>
      </c>
      <c r="D22" s="100">
        <f>_xll.EQNXTDZ($A$1,$B22,D$1,$B$1)</f>
        <v>37.866100000000003</v>
      </c>
      <c r="E22" s="100">
        <f>_xll.EQNXTDZ($A$1,$B22,E$1,$B$1)</f>
        <v>66.389600000000002</v>
      </c>
      <c r="F22" s="100">
        <f>_xll.EQNXTDZ($A$1,$B22,F$1,$B$1)</f>
        <v>54.762599999999999</v>
      </c>
      <c r="G22" s="100">
        <f>_xll.EQNXTDZ($A$1,$B22,G$1,$B$1)</f>
        <v>29.065899999999999</v>
      </c>
      <c r="H22" s="100">
        <f>_xll.EQNXTDZ($A$1,$B22,H$1,$B$1)</f>
        <v>47.055300000000102</v>
      </c>
      <c r="I22" s="100">
        <f>_xll.EQNXTDZ($A$1,$B22,I$1,$B$1)</f>
        <v>61.821800000000003</v>
      </c>
      <c r="J22" s="100">
        <f>_xll.EQNXTDZ($A$1,$B22,J$1,$B$1)</f>
        <v>81.530799999999999</v>
      </c>
      <c r="K22" s="100">
        <f>_xll.EQNXTDZ($A$1,$B22,K$1,$B$1)</f>
        <v>66.366200000000006</v>
      </c>
      <c r="L22" s="100">
        <f>_xll.EQNXTDZ($A$1,$B22,L$1,$B$1)</f>
        <v>112.9881</v>
      </c>
      <c r="M22" s="100">
        <f>_xll.EQNXTDZ($A$1,$B22,M$1,$B$1)</f>
        <v>110.41160000000001</v>
      </c>
      <c r="N22" s="100">
        <f>_xll.EQNXTDZ($A$1,$B22,N$1,$B$1)</f>
        <v>98.906800000000004</v>
      </c>
      <c r="O22" s="100">
        <f>_xll.EQNXTDZ($A$1,$B22,O$1,$B$1)</f>
        <v>104.9601</v>
      </c>
      <c r="P22" s="100">
        <f>_xll.EQNXTDZ($A$1,$B22,P$1,$B$1)</f>
        <v>123.6448</v>
      </c>
      <c r="Q22" s="100">
        <f>_xll.EQNXTDZ($A$1,$B22,Q$1,$B$1)</f>
        <v>89.494600000000105</v>
      </c>
      <c r="R22" s="100">
        <f>_xll.EQNXTDZ($A$1,$B22,R$1,$B$1)</f>
        <v>107.2392</v>
      </c>
      <c r="S22" s="100">
        <f>_xll.EQNXTDZ($A$1,$B22,S$1,$B$1)</f>
        <v>213.94</v>
      </c>
      <c r="T22" s="100">
        <f>_xll.EQNXTDZ($A$1,$B22,T$1,$B$1)</f>
        <v>207.33</v>
      </c>
      <c r="U22" s="100">
        <f>_xll.EQNXTDZ($A$1,$B22,U$1,$B$1)</f>
        <v>295.85000000000002</v>
      </c>
      <c r="V22" s="100">
        <f>_xll.EQNXTDZ($A$1,$B22,V$1,$B$1)</f>
        <v>266.94</v>
      </c>
      <c r="W22" s="100">
        <f>_xll.EQNXTDZ($A$1,$B22,W$1,$B$1)</f>
        <v>107.55</v>
      </c>
      <c r="X22" s="100">
        <f>_xll.EQNXTDZ($A$1,$B22,X$1,$B$1)</f>
        <v>165.71</v>
      </c>
      <c r="Y22" s="100">
        <f>_xll.EQNXTDZ($A$1,$B22,Y$1,$B$1)</f>
        <v>534.13</v>
      </c>
      <c r="Z22" s="100">
        <f>_xll.EQNXTDZ($A$1,$B22,Z$1,$B$1)</f>
        <v>339.92</v>
      </c>
      <c r="AA22" s="100">
        <f>_xll.EQNXTDZ($A$1,$B22,AA$1,$B$1)</f>
        <v>111.41</v>
      </c>
      <c r="AB22" s="100">
        <f>_xll.EQNXTDZ($A$1,$B22,AB$1,$B$1)</f>
        <v>95.920000000000101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24.985199999999999</v>
      </c>
      <c r="D23" s="100">
        <f>_xll.EQNXTDZ($A$1,$B23,D$1,$B$1)</f>
        <v>7.9970999999999997</v>
      </c>
      <c r="E23" s="100">
        <f>_xll.EQNXTDZ($A$1,$B23,E$1,$B$1)</f>
        <v>5.0853000000000002</v>
      </c>
      <c r="F23" s="100">
        <f>_xll.EQNXTDZ($A$1,$B23,F$1,$B$1)</f>
        <v>4.9341999999999997</v>
      </c>
      <c r="G23" s="100">
        <f>_xll.EQNXTDZ($A$1,$B23,G$1,$B$1)</f>
        <v>5.2396000000000003</v>
      </c>
      <c r="H23" s="100">
        <f>_xll.EQNXTDZ($A$1,$B23,H$1,$B$1)</f>
        <v>7.0887000000000002</v>
      </c>
      <c r="I23" s="100">
        <f>_xll.EQNXTDZ($A$1,$B23,I$1,$B$1)</f>
        <v>7.1772</v>
      </c>
      <c r="J23" s="100">
        <f>_xll.EQNXTDZ($A$1,$B23,J$1,$B$1)</f>
        <v>8.9787999999999997</v>
      </c>
      <c r="K23" s="100">
        <f>_xll.EQNXTDZ($A$1,$B23,K$1,$B$1)</f>
        <v>9.9189000000000007</v>
      </c>
      <c r="L23" s="100">
        <f>_xll.EQNXTDZ($A$1,$B23,L$1,$B$1)</f>
        <v>8.7299000000000007</v>
      </c>
      <c r="M23" s="100">
        <f>_xll.EQNXTDZ($A$1,$B23,M$1,$B$1)</f>
        <v>6.3846999999999996</v>
      </c>
      <c r="N23" s="100">
        <f>_xll.EQNXTDZ($A$1,$B23,N$1,$B$1)</f>
        <v>4.6276999999999999</v>
      </c>
      <c r="O23" s="100">
        <f>_xll.EQNXTDZ($A$1,$B23,O$1,$B$1)</f>
        <v>5.1116999999999999</v>
      </c>
      <c r="P23" s="100">
        <f>_xll.EQNXTDZ($A$1,$B23,P$1,$B$1)</f>
        <v>5.2774999999999999</v>
      </c>
      <c r="Q23" s="100">
        <f>_xll.EQNXTDZ($A$1,$B23,Q$1,$B$1)</f>
        <v>5.8502999999999998</v>
      </c>
      <c r="R23" s="100">
        <f>_xll.EQNXTDZ($A$1,$B23,R$1,$B$1)</f>
        <v>4.2868000000000004</v>
      </c>
      <c r="S23" s="100">
        <f>_xll.EQNXTDZ($A$1,$B23,S$1,$B$1)</f>
        <v>7.89</v>
      </c>
      <c r="T23" s="100">
        <f>_xll.EQNXTDZ($A$1,$B23,T$1,$B$1)</f>
        <v>8.86</v>
      </c>
      <c r="U23" s="100">
        <f>_xll.EQNXTDZ($A$1,$B23,U$1,$B$1)</f>
        <v>22.88</v>
      </c>
      <c r="V23" s="100">
        <f>_xll.EQNXTDZ($A$1,$B23,V$1,$B$1)</f>
        <v>22.32</v>
      </c>
      <c r="W23" s="100">
        <f>_xll.EQNXTDZ($A$1,$B23,W$1,$B$1)</f>
        <v>18.440000000000001</v>
      </c>
      <c r="X23" s="100">
        <f>_xll.EQNXTDZ($A$1,$B23,X$1,$B$1)</f>
        <v>15.53</v>
      </c>
      <c r="Y23" s="100">
        <f>_xll.EQNXTDZ($A$1,$B23,Y$1,$B$1)</f>
        <v>29.29</v>
      </c>
      <c r="Z23" s="100">
        <f>_xll.EQNXTDZ($A$1,$B23,Z$1,$B$1)</f>
        <v>50.03</v>
      </c>
      <c r="AA23" s="100">
        <f>_xll.EQNXTDZ($A$1,$B23,AA$1,$B$1)</f>
        <v>68.599999999999994</v>
      </c>
      <c r="AB23" s="100">
        <f>_xll.EQNXTDZ($A$1,$B23,AB$1,$B$1)</f>
        <v>48.75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47.1999</v>
      </c>
      <c r="D24" s="100">
        <f>_xll.EQNXTDZ($A$1,$B24,D$1,$B$1)</f>
        <v>45.863199999999999</v>
      </c>
      <c r="E24" s="100">
        <f>_xll.EQNXTDZ($A$1,$B24,E$1,$B$1)</f>
        <v>71.474900000000005</v>
      </c>
      <c r="F24" s="100">
        <f>_xll.EQNXTDZ($A$1,$B24,F$1,$B$1)</f>
        <v>59.696800000000003</v>
      </c>
      <c r="G24" s="100">
        <f>_xll.EQNXTDZ($A$1,$B24,G$1,$B$1)</f>
        <v>34.305500000000002</v>
      </c>
      <c r="H24" s="100">
        <f>_xll.EQNXTDZ($A$1,$B24,H$1,$B$1)</f>
        <v>54.143999999999998</v>
      </c>
      <c r="I24" s="100">
        <f>_xll.EQNXTDZ($A$1,$B24,I$1,$B$1)</f>
        <v>68.998999999999995</v>
      </c>
      <c r="J24" s="100">
        <f>_xll.EQNXTDZ($A$1,$B24,J$1,$B$1)</f>
        <v>90.509600000000006</v>
      </c>
      <c r="K24" s="100">
        <f>_xll.EQNXTDZ($A$1,$B24,K$1,$B$1)</f>
        <v>76.2851</v>
      </c>
      <c r="L24" s="100">
        <f>_xll.EQNXTDZ($A$1,$B24,L$1,$B$1)</f>
        <v>121.718</v>
      </c>
      <c r="M24" s="100">
        <f>_xll.EQNXTDZ($A$1,$B24,M$1,$B$1)</f>
        <v>116.7963</v>
      </c>
      <c r="N24" s="100">
        <f>_xll.EQNXTDZ($A$1,$B24,N$1,$B$1)</f>
        <v>103.53449999999999</v>
      </c>
      <c r="O24" s="100">
        <f>_xll.EQNXTDZ($A$1,$B24,O$1,$B$1)</f>
        <v>110.0718</v>
      </c>
      <c r="P24" s="100">
        <f>_xll.EQNXTDZ($A$1,$B24,P$1,$B$1)</f>
        <v>128.92230000000001</v>
      </c>
      <c r="Q24" s="100">
        <f>_xll.EQNXTDZ($A$1,$B24,Q$1,$B$1)</f>
        <v>95.344899999999996</v>
      </c>
      <c r="R24" s="100">
        <f>_xll.EQNXTDZ($A$1,$B24,R$1,$B$1)</f>
        <v>111.526</v>
      </c>
      <c r="S24" s="100">
        <f>_xll.EQNXTDZ($A$1,$B24,S$1,$B$1)</f>
        <v>221.83</v>
      </c>
      <c r="T24" s="100">
        <f>_xll.EQNXTDZ($A$1,$B24,T$1,$B$1)</f>
        <v>216.19</v>
      </c>
      <c r="U24" s="100">
        <f>_xll.EQNXTDZ($A$1,$B24,U$1,$B$1)</f>
        <v>318.73</v>
      </c>
      <c r="V24" s="100">
        <f>_xll.EQNXTDZ($A$1,$B24,V$1,$B$1)</f>
        <v>289.26</v>
      </c>
      <c r="W24" s="100">
        <f>_xll.EQNXTDZ($A$1,$B24,W$1,$B$1)</f>
        <v>125.99</v>
      </c>
      <c r="X24" s="100">
        <f>_xll.EQNXTDZ($A$1,$B24,X$1,$B$1)</f>
        <v>181.24</v>
      </c>
      <c r="Y24" s="100">
        <f>_xll.EQNXTDZ($A$1,$B24,Y$1,$B$1)</f>
        <v>563.41999999999996</v>
      </c>
      <c r="Z24" s="100">
        <f>_xll.EQNXTDZ($A$1,$B24,Z$1,$B$1)</f>
        <v>389.95</v>
      </c>
      <c r="AA24" s="100">
        <f>_xll.EQNXTDZ($A$1,$B24,AA$1,$B$1)</f>
        <v>180.01</v>
      </c>
      <c r="AB24" s="100">
        <f>_xll.EQNXTDZ($A$1,$B24,AB$1,$B$1)</f>
        <v>144.66999999999999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30.353999999999999</v>
      </c>
      <c r="D25" s="100">
        <f>_xll.EQNXTDZ($A$1,$B25,D$1,$B$1)</f>
        <v>30.4739</v>
      </c>
      <c r="E25" s="100">
        <f>_xll.EQNXTDZ($A$1,$B25,E$1,$B$1)</f>
        <v>28.096299999999999</v>
      </c>
      <c r="F25" s="100">
        <f>_xll.EQNXTDZ($A$1,$B25,F$1,$B$1)</f>
        <v>17.064499999999999</v>
      </c>
      <c r="G25" s="100">
        <f>_xll.EQNXTDZ($A$1,$B25,G$1,$B$1)</f>
        <v>11.421799999999999</v>
      </c>
      <c r="H25" s="100">
        <f>_xll.EQNXTDZ($A$1,$B25,H$1,$B$1)</f>
        <v>12.392799999999999</v>
      </c>
      <c r="I25" s="100">
        <f>_xll.EQNXTDZ($A$1,$B25,I$1,$B$1)</f>
        <v>10.4686</v>
      </c>
      <c r="J25" s="100">
        <f>_xll.EQNXTDZ($A$1,$B25,J$1,$B$1)</f>
        <v>12.5839</v>
      </c>
      <c r="K25" s="100">
        <f>_xll.EQNXTDZ($A$1,$B25,K$1,$B$1)</f>
        <v>26.089200000000002</v>
      </c>
      <c r="L25" s="100">
        <f>_xll.EQNXTDZ($A$1,$B25,L$1,$B$1)</f>
        <v>28.395900000000001</v>
      </c>
      <c r="M25" s="100">
        <f>_xll.EQNXTDZ($A$1,$B25,M$1,$B$1)</f>
        <v>22.029800000000002</v>
      </c>
      <c r="N25" s="100">
        <f>_xll.EQNXTDZ($A$1,$B25,N$1,$B$1)</f>
        <v>24.3231</v>
      </c>
      <c r="O25" s="100">
        <f>_xll.EQNXTDZ($A$1,$B25,O$1,$B$1)</f>
        <v>44.462899999999998</v>
      </c>
      <c r="P25" s="100">
        <f>_xll.EQNXTDZ($A$1,$B25,P$1,$B$1)</f>
        <v>38.708199999999998</v>
      </c>
      <c r="Q25" s="100">
        <f>_xll.EQNXTDZ($A$1,$B25,Q$1,$B$1)</f>
        <v>37.279400000000003</v>
      </c>
      <c r="R25" s="100">
        <f>_xll.EQNXTDZ($A$1,$B25,R$1,$B$1)</f>
        <v>32.364699999999999</v>
      </c>
      <c r="S25" s="100">
        <f>_xll.EQNXTDZ($A$1,$B25,S$1,$B$1)</f>
        <v>23.22</v>
      </c>
      <c r="T25" s="100">
        <f>_xll.EQNXTDZ($A$1,$B25,T$1,$B$1)</f>
        <v>14.3</v>
      </c>
      <c r="U25" s="100">
        <f>_xll.EQNXTDZ($A$1,$B25,U$1,$B$1)</f>
        <v>13.81</v>
      </c>
      <c r="V25" s="100">
        <f>_xll.EQNXTDZ($A$1,$B25,V$1,$B$1)</f>
        <v>6.89</v>
      </c>
      <c r="W25" s="100">
        <f>_xll.EQNXTDZ($A$1,$B25,W$1,$B$1)</f>
        <v>2.91</v>
      </c>
      <c r="X25" s="100">
        <f>_xll.EQNXTDZ($A$1,$B25,X$1,$B$1)</f>
        <v>2.87</v>
      </c>
      <c r="Y25" s="100">
        <f>_xll.EQNXTDZ($A$1,$B25,Y$1,$B$1)</f>
        <v>3.19</v>
      </c>
      <c r="Z25" s="100">
        <f>_xll.EQNXTDZ($A$1,$B25,Z$1,$B$1)</f>
        <v>2.14</v>
      </c>
      <c r="AA25" s="100">
        <f>_xll.EQNXTDZ($A$1,$B25,AA$1,$B$1)</f>
        <v>8.43</v>
      </c>
      <c r="AB25" s="100">
        <f>_xll.EQNXTDZ($A$1,$B25,AB$1,$B$1)</f>
        <v>8.76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16.8459</v>
      </c>
      <c r="D26" s="100">
        <f>_xll.EQNXTDZ($A$1,$B26,D$1,$B$1)</f>
        <v>15.3893</v>
      </c>
      <c r="E26" s="100">
        <f>_xll.EQNXTDZ($A$1,$B26,E$1,$B$1)</f>
        <v>43.378599999999999</v>
      </c>
      <c r="F26" s="100">
        <f>_xll.EQNXTDZ($A$1,$B26,F$1,$B$1)</f>
        <v>42.632300000000001</v>
      </c>
      <c r="G26" s="100">
        <f>_xll.EQNXTDZ($A$1,$B26,G$1,$B$1)</f>
        <v>22.883700000000001</v>
      </c>
      <c r="H26" s="100">
        <f>_xll.EQNXTDZ($A$1,$B26,H$1,$B$1)</f>
        <v>41.751199999999997</v>
      </c>
      <c r="I26" s="100">
        <f>_xll.EQNXTDZ($A$1,$B26,I$1,$B$1)</f>
        <v>58.5304</v>
      </c>
      <c r="J26" s="100">
        <f>_xll.EQNXTDZ($A$1,$B26,J$1,$B$1)</f>
        <v>77.925700000000006</v>
      </c>
      <c r="K26" s="100">
        <f>_xll.EQNXTDZ($A$1,$B26,K$1,$B$1)</f>
        <v>50.195900000000002</v>
      </c>
      <c r="L26" s="100">
        <f>_xll.EQNXTDZ($A$1,$B26,L$1,$B$1)</f>
        <v>93.322100000000006</v>
      </c>
      <c r="M26" s="100">
        <f>_xll.EQNXTDZ($A$1,$B26,M$1,$B$1)</f>
        <v>94.766499999999994</v>
      </c>
      <c r="N26" s="100">
        <f>_xll.EQNXTDZ($A$1,$B26,N$1,$B$1)</f>
        <v>79.211399999999998</v>
      </c>
      <c r="O26" s="100">
        <f>_xll.EQNXTDZ($A$1,$B26,O$1,$B$1)</f>
        <v>65.608900000000006</v>
      </c>
      <c r="P26" s="100">
        <f>_xll.EQNXTDZ($A$1,$B26,P$1,$B$1)</f>
        <v>90.214100000000002</v>
      </c>
      <c r="Q26" s="100">
        <f>_xll.EQNXTDZ($A$1,$B26,Q$1,$B$1)</f>
        <v>58.0655</v>
      </c>
      <c r="R26" s="100">
        <f>_xll.EQNXTDZ($A$1,$B26,R$1,$B$1)</f>
        <v>79.161299999999997</v>
      </c>
      <c r="S26" s="100">
        <f>_xll.EQNXTDZ($A$1,$B26,S$1,$B$1)</f>
        <v>198.61</v>
      </c>
      <c r="T26" s="100">
        <f>_xll.EQNXTDZ($A$1,$B26,T$1,$B$1)</f>
        <v>201.89</v>
      </c>
      <c r="U26" s="100">
        <f>_xll.EQNXTDZ($A$1,$B26,U$1,$B$1)</f>
        <v>304.92</v>
      </c>
      <c r="V26" s="100">
        <f>_xll.EQNXTDZ($A$1,$B26,V$1,$B$1)</f>
        <v>282.37</v>
      </c>
      <c r="W26" s="100">
        <f>_xll.EQNXTDZ($A$1,$B26,W$1,$B$1)</f>
        <v>123.08</v>
      </c>
      <c r="X26" s="100">
        <f>_xll.EQNXTDZ($A$1,$B26,X$1,$B$1)</f>
        <v>178.37</v>
      </c>
      <c r="Y26" s="100">
        <f>_xll.EQNXTDZ($A$1,$B26,Y$1,$B$1)</f>
        <v>560.23</v>
      </c>
      <c r="Z26" s="100">
        <f>_xll.EQNXTDZ($A$1,$B26,Z$1,$B$1)</f>
        <v>387.81</v>
      </c>
      <c r="AA26" s="100">
        <f>_xll.EQNXTDZ($A$1,$B26,AA$1,$B$1)</f>
        <v>171.58</v>
      </c>
      <c r="AB26" s="100">
        <f>_xll.EQNXTDZ($A$1,$B26,AB$1,$B$1)</f>
        <v>135.91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13.8019</v>
      </c>
      <c r="D27" s="100">
        <f>_xll.EQNXTDZ($A$1,$B27,D$1,$B$1)</f>
        <v>10.6677</v>
      </c>
      <c r="E27" s="100">
        <f>_xll.EQNXTDZ($A$1,$B27,E$1,$B$1)</f>
        <v>10.9565</v>
      </c>
      <c r="F27" s="100">
        <f>_xll.EQNXTDZ($A$1,$B27,F$1,$B$1)</f>
        <v>11.1106</v>
      </c>
      <c r="G27" s="100">
        <f>_xll.EQNXTDZ($A$1,$B27,G$1,$B$1)</f>
        <v>11.279299999999999</v>
      </c>
      <c r="H27" s="100">
        <f>_xll.EQNXTDZ($A$1,$B27,H$1,$B$1)</f>
        <v>14.523199999999999</v>
      </c>
      <c r="I27" s="100">
        <f>_xll.EQNXTDZ($A$1,$B27,I$1,$B$1)</f>
        <v>14.8337</v>
      </c>
      <c r="J27" s="100">
        <f>_xll.EQNXTDZ($A$1,$B27,J$1,$B$1)</f>
        <v>17.415400000000002</v>
      </c>
      <c r="K27" s="100">
        <f>_xll.EQNXTDZ($A$1,$B27,K$1,$B$1)</f>
        <v>26.288599999999999</v>
      </c>
      <c r="L27" s="100">
        <f>_xll.EQNXTDZ($A$1,$B27,L$1,$B$1)</f>
        <v>33.612499999999997</v>
      </c>
      <c r="M27" s="100">
        <f>_xll.EQNXTDZ($A$1,$B27,M$1,$B$1)</f>
        <v>33.994199999999999</v>
      </c>
      <c r="N27" s="100">
        <f>_xll.EQNXTDZ($A$1,$B27,N$1,$B$1)</f>
        <v>34.256</v>
      </c>
      <c r="O27" s="100">
        <f>_xll.EQNXTDZ($A$1,$B27,O$1,$B$1)</f>
        <v>49.146999999999998</v>
      </c>
      <c r="P27" s="100">
        <f>_xll.EQNXTDZ($A$1,$B27,P$1,$B$1)</f>
        <v>48.974899999999998</v>
      </c>
      <c r="Q27" s="100">
        <f>_xll.EQNXTDZ($A$1,$B27,Q$1,$B$1)</f>
        <v>29.3507</v>
      </c>
      <c r="R27" s="100">
        <f>_xll.EQNXTDZ($A$1,$B27,R$1,$B$1)</f>
        <v>28.810199999999998</v>
      </c>
      <c r="S27" s="100">
        <f>_xll.EQNXTDZ($A$1,$B27,S$1,$B$1)</f>
        <v>30.68</v>
      </c>
      <c r="T27" s="100">
        <f>_xll.EQNXTDZ($A$1,$B27,T$1,$B$1)</f>
        <v>31.99</v>
      </c>
      <c r="U27" s="100">
        <f>_xll.EQNXTDZ($A$1,$B27,U$1,$B$1)</f>
        <v>33.82</v>
      </c>
      <c r="V27" s="100">
        <f>_xll.EQNXTDZ($A$1,$B27,V$1,$B$1)</f>
        <v>35.03</v>
      </c>
      <c r="W27" s="100">
        <f>_xll.EQNXTDZ($A$1,$B27,W$1,$B$1)</f>
        <v>37.64</v>
      </c>
      <c r="X27" s="100">
        <f>_xll.EQNXTDZ($A$1,$B27,X$1,$B$1)</f>
        <v>40.869999999999997</v>
      </c>
      <c r="Y27" s="100">
        <f>_xll.EQNXTDZ($A$1,$B27,Y$1,$B$1)</f>
        <v>45.29</v>
      </c>
      <c r="Z27" s="100">
        <f>_xll.EQNXTDZ($A$1,$B27,Z$1,$B$1)</f>
        <v>43.85</v>
      </c>
      <c r="AA27" s="100">
        <f>_xll.EQNXTDZ($A$1,$B27,AA$1,$B$1)</f>
        <v>45.28</v>
      </c>
      <c r="AB27" s="100">
        <f>_xll.EQNXTDZ($A$1,$B27,AB$1,$B$1)</f>
        <v>45.01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10.55</v>
      </c>
      <c r="Z28" s="100">
        <f>_xll.EQNXTDZ($A$1,$B28,Z$1,$B$1)</f>
        <v>12.89</v>
      </c>
      <c r="AA28" s="100">
        <f>_xll.EQNXTDZ($A$1,$B28,AA$1,$B$1)</f>
        <v>6.19</v>
      </c>
      <c r="AB28" s="100">
        <f>_xll.EQNXTDZ($A$1,$B28,AB$1,$B$1)</f>
        <v>15.53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-4.5987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-3.2153999999999998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4.84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0.2</v>
      </c>
      <c r="D30" s="100">
        <f>_xll.EQNXTDZ($A$1,$B30,D$1,$B$1)</f>
        <v>2.0299999999999998</v>
      </c>
      <c r="E30" s="100">
        <f>_xll.EQNXTDZ($A$1,$B30,E$1,$B$1)</f>
        <v>10.94</v>
      </c>
      <c r="F30" s="100">
        <f>_xll.EQNXTDZ($A$1,$B30,F$1,$B$1)</f>
        <v>11.86</v>
      </c>
      <c r="G30" s="100">
        <f>_xll.EQNXTDZ($A$1,$B30,G$1,$B$1)</f>
        <v>5.0199999999999996</v>
      </c>
      <c r="H30" s="100">
        <f>_xll.EQNXTDZ($A$1,$B30,H$1,$B$1)</f>
        <v>9.3149999999999995</v>
      </c>
      <c r="I30" s="100">
        <f>_xll.EQNXTDZ($A$1,$B30,I$1,$B$1)</f>
        <v>2.2949999999999999</v>
      </c>
      <c r="J30" s="100">
        <f>_xll.EQNXTDZ($A$1,$B30,J$1,$B$1)</f>
        <v>14.72</v>
      </c>
      <c r="K30" s="100">
        <f>_xll.EQNXTDZ($A$1,$B30,K$1,$B$1)</f>
        <v>8.8800000000000008</v>
      </c>
      <c r="L30" s="100">
        <f>_xll.EQNXTDZ($A$1,$B30,L$1,$B$1)</f>
        <v>19.78</v>
      </c>
      <c r="M30" s="100">
        <f>_xll.EQNXTDZ($A$1,$B30,M$1,$B$1)</f>
        <v>-4.2300000000000004</v>
      </c>
      <c r="N30" s="100">
        <f>_xll.EQNXTDZ($A$1,$B30,N$1,$B$1)</f>
        <v>10.86</v>
      </c>
      <c r="O30" s="100">
        <f>_xll.EQNXTDZ($A$1,$B30,O$1,$B$1)</f>
        <v>-4.0427999999999997</v>
      </c>
      <c r="P30" s="100">
        <f>_xll.EQNXTDZ($A$1,$B30,P$1,$B$1)</f>
        <v>14.4489</v>
      </c>
      <c r="Q30" s="100">
        <f>_xll.EQNXTDZ($A$1,$B30,Q$1,$B$1)</f>
        <v>8.1098999999999997</v>
      </c>
      <c r="R30" s="100">
        <f>_xll.EQNXTDZ($A$1,$B30,R$1,$B$1)</f>
        <v>14.7516</v>
      </c>
      <c r="S30" s="100">
        <f>_xll.EQNXTDZ($A$1,$B30,S$1,$B$1)</f>
        <v>40.020000000000003</v>
      </c>
      <c r="T30" s="100">
        <f>_xll.EQNXTDZ($A$1,$B30,T$1,$B$1)</f>
        <v>52.37</v>
      </c>
      <c r="U30" s="100">
        <f>_xll.EQNXTDZ($A$1,$B30,U$1,$B$1)</f>
        <v>81.36</v>
      </c>
      <c r="V30" s="100">
        <f>_xll.EQNXTDZ($A$1,$B30,V$1,$B$1)</f>
        <v>74.27</v>
      </c>
      <c r="W30" s="100">
        <f>_xll.EQNXTDZ($A$1,$B30,W$1,$B$1)</f>
        <v>-13.86</v>
      </c>
      <c r="X30" s="100">
        <f>_xll.EQNXTDZ($A$1,$B30,X$1,$B$1)</f>
        <v>35.5</v>
      </c>
      <c r="Y30" s="100">
        <f>_xll.EQNXTDZ($A$1,$B30,Y$1,$B$1)</f>
        <v>129.65</v>
      </c>
      <c r="Z30" s="100">
        <f>_xll.EQNXTDZ($A$1,$B30,Z$1,$B$1)</f>
        <v>86.08</v>
      </c>
      <c r="AA30" s="100">
        <f>_xll.EQNXTDZ($A$1,$B30,AA$1,$B$1)</f>
        <v>23.32</v>
      </c>
      <c r="AB30" s="100">
        <f>_xll.EQNXTDZ($A$1,$B30,AB$1,$B$1)</f>
        <v>23.9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-0.89739999999999998</v>
      </c>
      <c r="R33" s="100">
        <f>_xll.EQNXTDZ($A$1,$B33,R$1,$B$1)</f>
        <v>0.44540000000000002</v>
      </c>
      <c r="S33" s="100">
        <f>_xll.EQNXTDZ($A$1,$B33,S$1,$B$1)</f>
        <v>4.68</v>
      </c>
      <c r="T33" s="100">
        <f>_xll.EQNXTDZ($A$1,$B33,T$1,$B$1)</f>
        <v>0.92</v>
      </c>
      <c r="U33" s="100">
        <f>_xll.EQNXTDZ($A$1,$B33,U$1,$B$1)</f>
        <v>2.3199999999999998</v>
      </c>
      <c r="V33" s="100">
        <f>_xll.EQNXTDZ($A$1,$B33,V$1,$B$1)</f>
        <v>8.51</v>
      </c>
      <c r="W33" s="100">
        <f>_xll.EQNXTDZ($A$1,$B33,W$1,$B$1)</f>
        <v>7.07</v>
      </c>
      <c r="X33" s="100">
        <f>_xll.EQNXTDZ($A$1,$B33,X$1,$B$1)</f>
        <v>8.02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2.8439999999999999</v>
      </c>
      <c r="D35" s="100">
        <f>_xll.EQNXTDZ($A$1,$B35,D$1,$B$1)</f>
        <v>2.6916000000000002</v>
      </c>
      <c r="E35" s="100">
        <f>_xll.EQNXTDZ($A$1,$B35,E$1,$B$1)</f>
        <v>16.883400000000002</v>
      </c>
      <c r="F35" s="100">
        <f>_xll.EQNXTDZ($A$1,$B35,F$1,$B$1)</f>
        <v>19.6617</v>
      </c>
      <c r="G35" s="100">
        <f>_xll.EQNXTDZ($A$1,$B35,G$1,$B$1)</f>
        <v>6.5843999999999996</v>
      </c>
      <c r="H35" s="100">
        <f>_xll.EQNXTDZ($A$1,$B35,H$1,$B$1)</f>
        <v>17.913</v>
      </c>
      <c r="I35" s="100">
        <f>_xll.EQNXTDZ($A$1,$B35,I$1,$B$1)</f>
        <v>41.401699999999998</v>
      </c>
      <c r="J35" s="100">
        <f>_xll.EQNXTDZ($A$1,$B35,J$1,$B$1)</f>
        <v>45.790300000000002</v>
      </c>
      <c r="K35" s="100">
        <f>_xll.EQNXTDZ($A$1,$B35,K$1,$B$1)</f>
        <v>15.0273</v>
      </c>
      <c r="L35" s="100">
        <f>_xll.EQNXTDZ($A$1,$B35,L$1,$B$1)</f>
        <v>39.929600000000001</v>
      </c>
      <c r="M35" s="100">
        <f>_xll.EQNXTDZ($A$1,$B35,M$1,$B$1)</f>
        <v>65.002300000000005</v>
      </c>
      <c r="N35" s="100">
        <f>_xll.EQNXTDZ($A$1,$B35,N$1,$B$1)</f>
        <v>34.095399999999998</v>
      </c>
      <c r="O35" s="100">
        <f>_xll.EQNXTDZ($A$1,$B35,O$1,$B$1)</f>
        <v>20.5047</v>
      </c>
      <c r="P35" s="100">
        <f>_xll.EQNXTDZ($A$1,$B35,P$1,$B$1)</f>
        <v>26.790299999999998</v>
      </c>
      <c r="Q35" s="100">
        <f>_xll.EQNXTDZ($A$1,$B35,Q$1,$B$1)</f>
        <v>16.492100000000001</v>
      </c>
      <c r="R35" s="100">
        <f>_xll.EQNXTDZ($A$1,$B35,R$1,$B$1)</f>
        <v>36.044899999999998</v>
      </c>
      <c r="S35" s="100">
        <f>_xll.EQNXTDZ($A$1,$B35,S$1,$B$1)</f>
        <v>132.59</v>
      </c>
      <c r="T35" s="100">
        <f>_xll.EQNXTDZ($A$1,$B35,T$1,$B$1)</f>
        <v>123.29</v>
      </c>
      <c r="U35" s="100">
        <f>_xll.EQNXTDZ($A$1,$B35,U$1,$B$1)</f>
        <v>192.06</v>
      </c>
      <c r="V35" s="100">
        <f>_xll.EQNXTDZ($A$1,$B35,V$1,$B$1)</f>
        <v>181.58</v>
      </c>
      <c r="W35" s="100">
        <f>_xll.EQNXTDZ($A$1,$B35,W$1,$B$1)</f>
        <v>106.37</v>
      </c>
      <c r="X35" s="100">
        <f>_xll.EQNXTDZ($A$1,$B35,X$1,$B$1)</f>
        <v>110.02</v>
      </c>
      <c r="Y35" s="100">
        <f>_xll.EQNXTDZ($A$1,$B35,Y$1,$B$1)</f>
        <v>395.84</v>
      </c>
      <c r="Z35" s="100">
        <f>_xll.EQNXTDZ($A$1,$B35,Z$1,$B$1)</f>
        <v>270.77</v>
      </c>
      <c r="AA35" s="100">
        <f>_xll.EQNXTDZ($A$1,$B35,AA$1,$B$1)</f>
        <v>109.17</v>
      </c>
      <c r="AB35" s="100">
        <f>_xll.EQNXTDZ($A$1,$B35,AB$1,$B$1)</f>
        <v>82.53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11.25</v>
      </c>
      <c r="D41" s="55">
        <f>_xll.EQNXTDZ($A$1,$B41,D$1,$B$1)</f>
        <v>11.25</v>
      </c>
      <c r="E41" s="55">
        <f>_xll.EQNXTDZ($A$1,$B41,E$1,$B$1)</f>
        <v>11.25</v>
      </c>
      <c r="F41" s="55">
        <f>_xll.EQNXTDZ($A$1,$B41,F$1,$B$1)</f>
        <v>11.25</v>
      </c>
      <c r="G41" s="55">
        <f>_xll.EQNXTDZ($A$1,$B41,G$1,$B$1)</f>
        <v>11.25</v>
      </c>
      <c r="H41" s="55">
        <f>_xll.EQNXTDZ($A$1,$B41,H$1,$B$1)</f>
        <v>11.25</v>
      </c>
      <c r="I41" s="55">
        <f>_xll.EQNXTDZ($A$1,$B41,I$1,$B$1)</f>
        <v>11.25</v>
      </c>
      <c r="J41" s="55">
        <f>_xll.EQNXTDZ($A$1,$B41,J$1,$B$1)</f>
        <v>11.25</v>
      </c>
      <c r="K41" s="55">
        <f>_xll.EQNXTDZ($A$1,$B41,K$1,$B$1)</f>
        <v>11.25</v>
      </c>
      <c r="L41" s="55">
        <f>_xll.EQNXTDZ($A$1,$B41,L$1,$B$1)</f>
        <v>11.25</v>
      </c>
      <c r="M41" s="55">
        <f>_xll.EQNXTDZ($A$1,$B41,M$1,$B$1)</f>
        <v>11.25</v>
      </c>
      <c r="N41" s="55">
        <f>_xll.EQNXTDZ($A$1,$B41,N$1,$B$1)</f>
        <v>11.25</v>
      </c>
      <c r="O41" s="55">
        <f>_xll.EQNXTDZ($A$1,$B41,O$1,$B$1)</f>
        <v>11.25</v>
      </c>
      <c r="P41" s="55">
        <f>_xll.EQNXTDZ($A$1,$B41,P$1,$B$1)</f>
        <v>12.6136</v>
      </c>
      <c r="Q41" s="55">
        <f>_xll.EQNXTDZ($A$1,$B41,Q$1,$B$1)</f>
        <v>12.6136</v>
      </c>
      <c r="R41" s="55">
        <f>_xll.EQNXTDZ($A$1,$B41,R$1,$B$1)</f>
        <v>12.6136</v>
      </c>
      <c r="S41" s="55">
        <f>_xll.EQNXTDZ($A$1,$B41,S$1,$B$1)</f>
        <v>12.61</v>
      </c>
      <c r="T41" s="55">
        <f>_xll.EQNXTDZ($A$1,$B41,T$1,$B$1)</f>
        <v>12.61</v>
      </c>
      <c r="U41" s="55">
        <f>_xll.EQNXTDZ($A$1,$B41,U$1,$B$1)</f>
        <v>12.61</v>
      </c>
      <c r="V41" s="55">
        <f>_xll.EQNXTDZ($A$1,$B41,V$1,$B$1)</f>
        <v>12.04</v>
      </c>
      <c r="W41" s="55">
        <f>_xll.EQNXTDZ($A$1,$B41,W$1,$B$1)</f>
        <v>12.04</v>
      </c>
      <c r="X41" s="55">
        <f>_xll.EQNXTDZ($A$1,$B41,X$1,$B$1)</f>
        <v>12.04</v>
      </c>
      <c r="Y41" s="55">
        <f>_xll.EQNXTDZ($A$1,$B41,Y$1,$B$1)</f>
        <v>12.04</v>
      </c>
      <c r="Z41" s="55">
        <f>_xll.EQNXTDZ($A$1,$B41,Z$1,$B$1)</f>
        <v>12.04</v>
      </c>
      <c r="AA41" s="55">
        <f>_xll.EQNXTDZ($A$1,$B41,AA$1,$B$1)</f>
        <v>12.04</v>
      </c>
      <c r="AB41" s="55">
        <f>_xll.EQNXTDZ($A$1,$B41,AB$1,$B$1)</f>
        <v>12.04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1.3635999999999999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62.854199999999999</v>
      </c>
      <c r="D43" s="55">
        <f>_xll.EQNXTDZ($A$1,$B43,D$1,$B$1)</f>
        <v>42.080800000000004</v>
      </c>
      <c r="E43" s="55">
        <f>_xll.EQNXTDZ($A$1,$B43,E$1,$B$1)</f>
        <v>56.679699999999997</v>
      </c>
      <c r="F43" s="55">
        <f>_xll.EQNXTDZ($A$1,$B43,F$1,$B$1)</f>
        <v>74.057000000000002</v>
      </c>
      <c r="G43" s="55">
        <f>_xll.EQNXTDZ($A$1,$B43,G$1,$B$1)</f>
        <v>78.332400000000007</v>
      </c>
      <c r="H43" s="55">
        <f>_xll.EQNXTDZ($A$1,$B43,H$1,$B$1)</f>
        <v>93.038399999999996</v>
      </c>
      <c r="I43" s="55">
        <f>_xll.EQNXTDZ($A$1,$B43,I$1,$B$1)</f>
        <v>129.83340000000001</v>
      </c>
      <c r="J43" s="55">
        <f>_xll.EQNXTDZ($A$1,$B43,J$1,$B$1)</f>
        <v>170.85890000000001</v>
      </c>
      <c r="K43" s="55">
        <f>_xll.EQNXTDZ($A$1,$B43,K$1,$B$1)</f>
        <v>181.27950000000001</v>
      </c>
      <c r="L43" s="55">
        <f>_xll.EQNXTDZ($A$1,$B43,L$1,$B$1)</f>
        <v>213.33799999999999</v>
      </c>
      <c r="M43" s="55">
        <f>_xll.EQNXTDZ($A$1,$B43,M$1,$B$1)</f>
        <v>271.80279999999999</v>
      </c>
      <c r="N43" s="55">
        <f>_xll.EQNXTDZ($A$1,$B43,N$1,$B$1)</f>
        <v>299.36070000000001</v>
      </c>
      <c r="O43" s="55">
        <f>_xll.EQNXTDZ($A$1,$B43,O$1,$B$1)</f>
        <v>350.64109999999999</v>
      </c>
      <c r="P43" s="55">
        <f>_xll.EQNXTDZ($A$1,$B43,P$1,$B$1)</f>
        <v>371.51530000000002</v>
      </c>
      <c r="Q43" s="55">
        <f>_xll.EQNXTDZ($A$1,$B43,Q$1,$B$1)</f>
        <v>401.29849999999999</v>
      </c>
      <c r="R43" s="55">
        <f>_xll.EQNXTDZ($A$1,$B43,R$1,$B$1)</f>
        <v>429.7527</v>
      </c>
      <c r="S43" s="55">
        <f>_xll.EQNXTDZ($A$1,$B43,S$1,$B$1)</f>
        <v>592.34</v>
      </c>
      <c r="T43" s="55">
        <f>_xll.EQNXTDZ($A$1,$B43,T$1,$B$1)</f>
        <v>712.86</v>
      </c>
      <c r="U43" s="55">
        <f>_xll.EQNXTDZ($A$1,$B43,U$1,$B$1)</f>
        <v>880.59</v>
      </c>
      <c r="V43" s="55">
        <f>_xll.EQNXTDZ($A$1,$B43,V$1,$B$1)</f>
        <v>1007.21</v>
      </c>
      <c r="W43" s="55">
        <f>_xll.EQNXTDZ($A$1,$B43,W$1,$B$1)</f>
        <v>1130.69</v>
      </c>
      <c r="X43" s="55">
        <f>_xll.EQNXTDZ($A$1,$B43,X$1,$B$1)</f>
        <v>1243.22</v>
      </c>
      <c r="Y43" s="55">
        <f>_xll.EQNXTDZ($A$1,$B43,Y$1,$B$1)</f>
        <v>1623.32</v>
      </c>
      <c r="Z43" s="55">
        <f>_xll.EQNXTDZ($A$1,$B43,Z$1,$B$1)</f>
        <v>1899.27</v>
      </c>
      <c r="AA43" s="55">
        <f>_xll.EQNXTDZ($A$1,$B43,AA$1,$B$1)</f>
        <v>1976.36</v>
      </c>
      <c r="AB43" s="55">
        <f>_xll.EQNXTDZ($A$1,$B43,AB$1,$B$1)</f>
        <v>2029.93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74.104200000000006</v>
      </c>
      <c r="D44" s="55">
        <f>_xll.EQNXTDZ($A$1,$B44,D$1,$B$1)</f>
        <v>53.330800000000004</v>
      </c>
      <c r="E44" s="55">
        <f>_xll.EQNXTDZ($A$1,$B44,E$1,$B$1)</f>
        <v>67.929699999999997</v>
      </c>
      <c r="F44" s="55">
        <f>_xll.EQNXTDZ($A$1,$B44,F$1,$B$1)</f>
        <v>85.307000000000002</v>
      </c>
      <c r="G44" s="55">
        <f>_xll.EQNXTDZ($A$1,$B44,G$1,$B$1)</f>
        <v>89.582400000000007</v>
      </c>
      <c r="H44" s="55">
        <f>_xll.EQNXTDZ($A$1,$B44,H$1,$B$1)</f>
        <v>104.2884</v>
      </c>
      <c r="I44" s="55">
        <f>_xll.EQNXTDZ($A$1,$B44,I$1,$B$1)</f>
        <v>141.08340000000001</v>
      </c>
      <c r="J44" s="55">
        <f>_xll.EQNXTDZ($A$1,$B44,J$1,$B$1)</f>
        <v>182.10890000000001</v>
      </c>
      <c r="K44" s="55">
        <f>_xll.EQNXTDZ($A$1,$B44,K$1,$B$1)</f>
        <v>192.52950000000001</v>
      </c>
      <c r="L44" s="55">
        <f>_xll.EQNXTDZ($A$1,$B44,L$1,$B$1)</f>
        <v>224.58799999999999</v>
      </c>
      <c r="M44" s="55">
        <f>_xll.EQNXTDZ($A$1,$B44,M$1,$B$1)</f>
        <v>283.05279999999999</v>
      </c>
      <c r="N44" s="55">
        <f>_xll.EQNXTDZ($A$1,$B44,N$1,$B$1)</f>
        <v>310.61070000000001</v>
      </c>
      <c r="O44" s="55">
        <f>_xll.EQNXTDZ($A$1,$B44,O$1,$B$1)</f>
        <v>363.25470000000001</v>
      </c>
      <c r="P44" s="55">
        <f>_xll.EQNXTDZ($A$1,$B44,P$1,$B$1)</f>
        <v>384.12889999999999</v>
      </c>
      <c r="Q44" s="55">
        <f>_xll.EQNXTDZ($A$1,$B44,Q$1,$B$1)</f>
        <v>413.91210000000001</v>
      </c>
      <c r="R44" s="55">
        <f>_xll.EQNXTDZ($A$1,$B44,R$1,$B$1)</f>
        <v>442.36630000000002</v>
      </c>
      <c r="S44" s="55">
        <f>_xll.EQNXTDZ($A$1,$B44,S$1,$B$1)</f>
        <v>604.95000000000005</v>
      </c>
      <c r="T44" s="55">
        <f>_xll.EQNXTDZ($A$1,$B44,T$1,$B$1)</f>
        <v>725.47</v>
      </c>
      <c r="U44" s="55">
        <f>_xll.EQNXTDZ($A$1,$B44,U$1,$B$1)</f>
        <v>893.2</v>
      </c>
      <c r="V44" s="55">
        <f>_xll.EQNXTDZ($A$1,$B44,V$1,$B$1)</f>
        <v>1019.25</v>
      </c>
      <c r="W44" s="55">
        <f>_xll.EQNXTDZ($A$1,$B44,W$1,$B$1)</f>
        <v>1142.73</v>
      </c>
      <c r="X44" s="55">
        <f>_xll.EQNXTDZ($A$1,$B44,X$1,$B$1)</f>
        <v>1255.26</v>
      </c>
      <c r="Y44" s="55">
        <f>_xll.EQNXTDZ($A$1,$B44,Y$1,$B$1)</f>
        <v>1635.36</v>
      </c>
      <c r="Z44" s="55">
        <f>_xll.EQNXTDZ($A$1,$B44,Z$1,$B$1)</f>
        <v>1911.31</v>
      </c>
      <c r="AA44" s="55">
        <f>_xll.EQNXTDZ($A$1,$B44,AA$1,$B$1)</f>
        <v>1988.4</v>
      </c>
      <c r="AB44" s="55">
        <f>_xll.EQNXTDZ($A$1,$B44,AB$1,$B$1)</f>
        <v>2041.97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174.50470000000001</v>
      </c>
      <c r="D47" s="55">
        <f>_xll.EQNXTDZ($A$1,$B47,D$1,$B$1)</f>
        <v>175.12</v>
      </c>
      <c r="E47" s="55">
        <f>_xll.EQNXTDZ($A$1,$B47,E$1,$B$1)</f>
        <v>150.0667</v>
      </c>
      <c r="F47" s="55">
        <f>_xll.EQNXTDZ($A$1,$B47,F$1,$B$1)</f>
        <v>104.7525</v>
      </c>
      <c r="G47" s="55">
        <f>_xll.EQNXTDZ($A$1,$B47,G$1,$B$1)</f>
        <v>134.04310000000001</v>
      </c>
      <c r="H47" s="55">
        <f>_xll.EQNXTDZ($A$1,$B47,H$1,$B$1)</f>
        <v>104.69</v>
      </c>
      <c r="I47" s="55">
        <f>_xll.EQNXTDZ($A$1,$B47,I$1,$B$1)</f>
        <v>217.88040000000001</v>
      </c>
      <c r="J47" s="55">
        <f>_xll.EQNXTDZ($A$1,$B47,J$1,$B$1)</f>
        <v>311.10070000000002</v>
      </c>
      <c r="K47" s="55">
        <f>_xll.EQNXTDZ($A$1,$B47,K$1,$B$1)</f>
        <v>336.97710000000001</v>
      </c>
      <c r="L47" s="55">
        <f>_xll.EQNXTDZ($A$1,$B47,L$1,$B$1)</f>
        <v>288.82749999999999</v>
      </c>
      <c r="M47" s="55">
        <f>_xll.EQNXTDZ($A$1,$B47,M$1,$B$1)</f>
        <v>97.499799999999993</v>
      </c>
      <c r="N47" s="55">
        <f>_xll.EQNXTDZ($A$1,$B47,N$1,$B$1)</f>
        <v>45.000799999999998</v>
      </c>
      <c r="O47" s="55">
        <f>_xll.EQNXTDZ($A$1,$B47,O$1,$B$1)</f>
        <v>152.97999999999999</v>
      </c>
      <c r="P47" s="55">
        <f>_xll.EQNXTDZ($A$1,$B47,P$1,$B$1)</f>
        <v>158.625</v>
      </c>
      <c r="Q47" s="55">
        <f>_xll.EQNXTDZ($A$1,$B47,Q$1,$B$1)</f>
        <v>130.33000000000001</v>
      </c>
      <c r="R47" s="55">
        <f>_xll.EQNXTDZ($A$1,$B47,R$1,$B$1)</f>
        <v>135.69499999999999</v>
      </c>
      <c r="S47" s="55">
        <f>_xll.EQNXTDZ($A$1,$B47,S$1,$B$1)</f>
        <v>103.9</v>
      </c>
      <c r="T47" s="55">
        <f>_xll.EQNXTDZ($A$1,$B47,T$1,$B$1)</f>
        <v>81.17</v>
      </c>
      <c r="U47" s="55">
        <f>_xll.EQNXTDZ($A$1,$B47,U$1,$B$1)</f>
        <v>42.61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6.5461</v>
      </c>
      <c r="G48" s="55">
        <f>_xll.EQNXTDZ($A$1,$B48,G$1,$B$1)</f>
        <v>13.1602</v>
      </c>
      <c r="H48" s="55">
        <f>_xll.EQNXTDZ($A$1,$B48,H$1,$B$1)</f>
        <v>20.397400000000001</v>
      </c>
      <c r="I48" s="55">
        <f>_xll.EQNXTDZ($A$1,$B48,I$1,$B$1)</f>
        <v>25.904299999999999</v>
      </c>
      <c r="J48" s="55">
        <f>_xll.EQNXTDZ($A$1,$B48,J$1,$B$1)</f>
        <v>29.659700000000001</v>
      </c>
      <c r="K48" s="55">
        <f>_xll.EQNXTDZ($A$1,$B48,K$1,$B$1)</f>
        <v>33.4452</v>
      </c>
      <c r="L48" s="55">
        <f>_xll.EQNXTDZ($A$1,$B48,L$1,$B$1)</f>
        <v>36.571399999999997</v>
      </c>
      <c r="M48" s="55">
        <f>_xll.EQNXTDZ($A$1,$B48,M$1,$B$1)</f>
        <v>40.049700000000001</v>
      </c>
      <c r="N48" s="55">
        <f>_xll.EQNXTDZ($A$1,$B48,N$1,$B$1)</f>
        <v>44.055599999999998</v>
      </c>
      <c r="O48" s="55">
        <f>_xll.EQNXTDZ($A$1,$B48,O$1,$B$1)</f>
        <v>41.703200000000002</v>
      </c>
      <c r="P48" s="55">
        <f>_xll.EQNXTDZ($A$1,$B48,P$1,$B$1)</f>
        <v>34.481200000000001</v>
      </c>
      <c r="Q48" s="55">
        <f>_xll.EQNXTDZ($A$1,$B48,Q$1,$B$1)</f>
        <v>27.244800000000001</v>
      </c>
      <c r="R48" s="55">
        <f>_xll.EQNXTDZ($A$1,$B48,R$1,$B$1)</f>
        <v>21.745799999999999</v>
      </c>
      <c r="S48" s="55">
        <f>_xll.EQNXTDZ($A$1,$B48,S$1,$B$1)</f>
        <v>12.94</v>
      </c>
      <c r="T48" s="55">
        <f>_xll.EQNXTDZ($A$1,$B48,T$1,$B$1)</f>
        <v>10.63</v>
      </c>
      <c r="U48" s="55">
        <f>_xll.EQNXTDZ($A$1,$B48,U$1,$B$1)</f>
        <v>8.8699999999999992</v>
      </c>
      <c r="V48" s="55">
        <f>_xll.EQNXTDZ($A$1,$B48,V$1,$B$1)</f>
        <v>6.63</v>
      </c>
      <c r="W48" s="55">
        <f>_xll.EQNXTDZ($A$1,$B48,W$1,$B$1)</f>
        <v>3.49</v>
      </c>
      <c r="X48" s="55">
        <f>_xll.EQNXTDZ($A$1,$B48,X$1,$B$1)</f>
        <v>0.54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1.9271</v>
      </c>
      <c r="D49" s="55">
        <f>_xll.EQNXTDZ($A$1,$B49,D$1,$B$1)</f>
        <v>24.805</v>
      </c>
      <c r="E49" s="55">
        <f>_xll.EQNXTDZ($A$1,$B49,E$1,$B$1)</f>
        <v>32.734999999999999</v>
      </c>
      <c r="F49" s="55">
        <f>_xll.EQNXTDZ($A$1,$B49,F$1,$B$1)</f>
        <v>42.295000000000002</v>
      </c>
      <c r="G49" s="55">
        <f>_xll.EQNXTDZ($A$1,$B49,G$1,$B$1)</f>
        <v>46.414999999999999</v>
      </c>
      <c r="H49" s="55">
        <f>_xll.EQNXTDZ($A$1,$B49,H$1,$B$1)</f>
        <v>54.594999999999999</v>
      </c>
      <c r="I49" s="55">
        <f>_xll.EQNXTDZ($A$1,$B49,I$1,$B$1)</f>
        <v>50.984999999999999</v>
      </c>
      <c r="J49" s="55">
        <f>_xll.EQNXTDZ($A$1,$B49,J$1,$B$1)</f>
        <v>58.884999999999998</v>
      </c>
      <c r="K49" s="55">
        <f>_xll.EQNXTDZ($A$1,$B49,K$1,$B$1)</f>
        <v>67.465000000000003</v>
      </c>
      <c r="L49" s="55">
        <f>_xll.EQNXTDZ($A$1,$B49,L$1,$B$1)</f>
        <v>87.245000000000005</v>
      </c>
      <c r="M49" s="55">
        <f>_xll.EQNXTDZ($A$1,$B49,M$1,$B$1)</f>
        <v>83.015000000000001</v>
      </c>
      <c r="N49" s="55">
        <f>_xll.EQNXTDZ($A$1,$B49,N$1,$B$1)</f>
        <v>82.194999999999993</v>
      </c>
      <c r="O49" s="55">
        <f>_xll.EQNXTDZ($A$1,$B49,O$1,$B$1)</f>
        <v>78.151300000000006</v>
      </c>
      <c r="P49" s="55">
        <f>_xll.EQNXTDZ($A$1,$B49,P$1,$B$1)</f>
        <v>92.600200000000001</v>
      </c>
      <c r="Q49" s="55">
        <f>_xll.EQNXTDZ($A$1,$B49,Q$1,$B$1)</f>
        <v>100.6656</v>
      </c>
      <c r="R49" s="55">
        <f>_xll.EQNXTDZ($A$1,$B49,R$1,$B$1)</f>
        <v>115.37</v>
      </c>
      <c r="S49" s="55">
        <f>_xll.EQNXTDZ($A$1,$B49,S$1,$B$1)</f>
        <v>83.07</v>
      </c>
      <c r="T49" s="55">
        <f>_xll.EQNXTDZ($A$1,$B49,T$1,$B$1)</f>
        <v>97.48</v>
      </c>
      <c r="U49" s="55">
        <f>_xll.EQNXTDZ($A$1,$B49,U$1,$B$1)</f>
        <v>121.6</v>
      </c>
      <c r="V49" s="55">
        <f>_xll.EQNXTDZ($A$1,$B49,V$1,$B$1)</f>
        <v>149.22999999999999</v>
      </c>
      <c r="W49" s="55">
        <f>_xll.EQNXTDZ($A$1,$B49,W$1,$B$1)</f>
        <v>119.88</v>
      </c>
      <c r="X49" s="55">
        <f>_xll.EQNXTDZ($A$1,$B49,X$1,$B$1)</f>
        <v>123.98</v>
      </c>
      <c r="Y49" s="55">
        <f>_xll.EQNXTDZ($A$1,$B49,Y$1,$B$1)</f>
        <v>121.56</v>
      </c>
      <c r="Z49" s="55">
        <f>_xll.EQNXTDZ($A$1,$B49,Z$1,$B$1)</f>
        <v>127.66</v>
      </c>
      <c r="AA49" s="55">
        <f>_xll.EQNXTDZ($A$1,$B49,AA$1,$B$1)</f>
        <v>129.77000000000001</v>
      </c>
      <c r="AB49" s="55">
        <f>_xll.EQNXTDZ($A$1,$B49,AB$1,$B$1)</f>
        <v>124.68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10.091100000000001</v>
      </c>
      <c r="N50" s="55">
        <f>_xll.EQNXTDZ($A$1,$B50,N$1,$B$1)</f>
        <v>10.069100000000001</v>
      </c>
      <c r="O50" s="55">
        <f>_xll.EQNXTDZ($A$1,$B50,O$1,$B$1)</f>
        <v>13.4222</v>
      </c>
      <c r="P50" s="55">
        <f>_xll.EQNXTDZ($A$1,$B50,P$1,$B$1)</f>
        <v>14.64</v>
      </c>
      <c r="Q50" s="55">
        <f>_xll.EQNXTDZ($A$1,$B50,Q$1,$B$1)</f>
        <v>15.519500000000001</v>
      </c>
      <c r="R50" s="55">
        <f>_xll.EQNXTDZ($A$1,$B50,R$1,$B$1)</f>
        <v>14.7905</v>
      </c>
      <c r="S50" s="55">
        <f>_xll.EQNXTDZ($A$1,$B50,S$1,$B$1)</f>
        <v>20.78</v>
      </c>
      <c r="T50" s="55">
        <f>_xll.EQNXTDZ($A$1,$B50,T$1,$B$1)</f>
        <v>20.39</v>
      </c>
      <c r="U50" s="55">
        <f>_xll.EQNXTDZ($A$1,$B50,U$1,$B$1)</f>
        <v>20.29</v>
      </c>
      <c r="V50" s="55">
        <f>_xll.EQNXTDZ($A$1,$B50,V$1,$B$1)</f>
        <v>19.399999999999999</v>
      </c>
      <c r="W50" s="55">
        <f>_xll.EQNXTDZ($A$1,$B50,W$1,$B$1)</f>
        <v>16.88</v>
      </c>
      <c r="X50" s="55">
        <f>_xll.EQNXTDZ($A$1,$B50,X$1,$B$1)</f>
        <v>15.55</v>
      </c>
      <c r="Y50" s="55">
        <f>_xll.EQNXTDZ($A$1,$B50,Y$1,$B$1)</f>
        <v>16.690000000000001</v>
      </c>
      <c r="Z50" s="55">
        <f>_xll.EQNXTDZ($A$1,$B50,Z$1,$B$1)</f>
        <v>17.600000000000001</v>
      </c>
      <c r="AA50" s="55">
        <f>_xll.EQNXTDZ($A$1,$B50,AA$1,$B$1)</f>
        <v>16.88</v>
      </c>
      <c r="AB50" s="55">
        <f>_xll.EQNXTDZ($A$1,$B50,AB$1,$B$1)</f>
        <v>15.67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9.9334000000000007</v>
      </c>
      <c r="N52" s="55">
        <f>_xll.EQNXTDZ($A$1,$B52,N$1,$B$1)</f>
        <v>9.0863999999999994</v>
      </c>
      <c r="O52" s="55">
        <f>_xll.EQNXTDZ($A$1,$B52,O$1,$B$1)</f>
        <v>14.771800000000001</v>
      </c>
      <c r="P52" s="55">
        <f>_xll.EQNXTDZ($A$1,$B52,P$1,$B$1)</f>
        <v>11.197800000000001</v>
      </c>
      <c r="Q52" s="55">
        <f>_xll.EQNXTDZ($A$1,$B52,Q$1,$B$1)</f>
        <v>9.8653999999999993</v>
      </c>
      <c r="R52" s="55">
        <f>_xll.EQNXTDZ($A$1,$B52,R$1,$B$1)</f>
        <v>9.9905000000000008</v>
      </c>
      <c r="S52" s="55">
        <f>_xll.EQNXTDZ($A$1,$B52,S$1,$B$1)</f>
        <v>10.78</v>
      </c>
      <c r="T52" s="55">
        <f>_xll.EQNXTDZ($A$1,$B52,T$1,$B$1)</f>
        <v>16.55</v>
      </c>
      <c r="U52" s="55">
        <f>_xll.EQNXTDZ($A$1,$B52,U$1,$B$1)</f>
        <v>17.920000000000002</v>
      </c>
      <c r="V52" s="55">
        <f>_xll.EQNXTDZ($A$1,$B52,V$1,$B$1)</f>
        <v>20.170000000000002</v>
      </c>
      <c r="W52" s="55">
        <f>_xll.EQNXTDZ($A$1,$B52,W$1,$B$1)</f>
        <v>16.64</v>
      </c>
      <c r="X52" s="55">
        <f>_xll.EQNXTDZ($A$1,$B52,X$1,$B$1)</f>
        <v>18.600000000000001</v>
      </c>
      <c r="Y52" s="55">
        <f>_xll.EQNXTDZ($A$1,$B52,Y$1,$B$1)</f>
        <v>21.88</v>
      </c>
      <c r="Z52" s="55">
        <f>_xll.EQNXTDZ($A$1,$B52,Z$1,$B$1)</f>
        <v>20.32</v>
      </c>
      <c r="AA52" s="55">
        <f>_xll.EQNXTDZ($A$1,$B52,AA$1,$B$1)</f>
        <v>21.68</v>
      </c>
      <c r="AB52" s="55">
        <f>_xll.EQNXTDZ($A$1,$B52,AB$1,$B$1)</f>
        <v>22.55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176.43180000000001</v>
      </c>
      <c r="D53" s="55">
        <f>_xll.EQNXTDZ($A$1,$B53,D$1,$B$1)</f>
        <v>199.92500000000001</v>
      </c>
      <c r="E53" s="55">
        <f>_xll.EQNXTDZ($A$1,$B53,E$1,$B$1)</f>
        <v>182.80170000000001</v>
      </c>
      <c r="F53" s="55">
        <f>_xll.EQNXTDZ($A$1,$B53,F$1,$B$1)</f>
        <v>153.59360000000001</v>
      </c>
      <c r="G53" s="55">
        <f>_xll.EQNXTDZ($A$1,$B53,G$1,$B$1)</f>
        <v>193.6183</v>
      </c>
      <c r="H53" s="55">
        <f>_xll.EQNXTDZ($A$1,$B53,H$1,$B$1)</f>
        <v>179.6824</v>
      </c>
      <c r="I53" s="55">
        <f>_xll.EQNXTDZ($A$1,$B53,I$1,$B$1)</f>
        <v>294.7697</v>
      </c>
      <c r="J53" s="55">
        <f>_xll.EQNXTDZ($A$1,$B53,J$1,$B$1)</f>
        <v>399.6454</v>
      </c>
      <c r="K53" s="55">
        <f>_xll.EQNXTDZ($A$1,$B53,K$1,$B$1)</f>
        <v>437.88729999999998</v>
      </c>
      <c r="L53" s="55">
        <f>_xll.EQNXTDZ($A$1,$B53,L$1,$B$1)</f>
        <v>412.64389999999997</v>
      </c>
      <c r="M53" s="55">
        <f>_xll.EQNXTDZ($A$1,$B53,M$1,$B$1)</f>
        <v>240.589</v>
      </c>
      <c r="N53" s="55">
        <f>_xll.EQNXTDZ($A$1,$B53,N$1,$B$1)</f>
        <v>190.40690000000001</v>
      </c>
      <c r="O53" s="55">
        <f>_xll.EQNXTDZ($A$1,$B53,O$1,$B$1)</f>
        <v>301.02850000000001</v>
      </c>
      <c r="P53" s="55">
        <f>_xll.EQNXTDZ($A$1,$B53,P$1,$B$1)</f>
        <v>311.54419999999999</v>
      </c>
      <c r="Q53" s="55">
        <f>_xll.EQNXTDZ($A$1,$B53,Q$1,$B$1)</f>
        <v>283.62529999999998</v>
      </c>
      <c r="R53" s="55">
        <f>_xll.EQNXTDZ($A$1,$B53,R$1,$B$1)</f>
        <v>297.59179999999998</v>
      </c>
      <c r="S53" s="55">
        <f>_xll.EQNXTDZ($A$1,$B53,S$1,$B$1)</f>
        <v>231.47</v>
      </c>
      <c r="T53" s="55">
        <f>_xll.EQNXTDZ($A$1,$B53,T$1,$B$1)</f>
        <v>226.22</v>
      </c>
      <c r="U53" s="55">
        <f>_xll.EQNXTDZ($A$1,$B53,U$1,$B$1)</f>
        <v>211.29</v>
      </c>
      <c r="V53" s="55">
        <f>_xll.EQNXTDZ($A$1,$B53,V$1,$B$1)</f>
        <v>195.43</v>
      </c>
      <c r="W53" s="55">
        <f>_xll.EQNXTDZ($A$1,$B53,W$1,$B$1)</f>
        <v>156.88999999999999</v>
      </c>
      <c r="X53" s="55">
        <f>_xll.EQNXTDZ($A$1,$B53,X$1,$B$1)</f>
        <v>158.66999999999999</v>
      </c>
      <c r="Y53" s="55">
        <f>_xll.EQNXTDZ($A$1,$B53,Y$1,$B$1)</f>
        <v>160.13</v>
      </c>
      <c r="Z53" s="55">
        <f>_xll.EQNXTDZ($A$1,$B53,Z$1,$B$1)</f>
        <v>165.58</v>
      </c>
      <c r="AA53" s="55">
        <f>_xll.EQNXTDZ($A$1,$B53,AA$1,$B$1)</f>
        <v>168.33</v>
      </c>
      <c r="AB53" s="55">
        <f>_xll.EQNXTDZ($A$1,$B53,AB$1,$B$1)</f>
        <v>162.9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74.617400000000004</v>
      </c>
      <c r="D54" s="55">
        <f>_xll.EQNXTDZ($A$1,$B54,D$1,$B$1)</f>
        <v>78.636600000000001</v>
      </c>
      <c r="E54" s="55">
        <f>_xll.EQNXTDZ($A$1,$B54,E$1,$B$1)</f>
        <v>69.644000000000005</v>
      </c>
      <c r="F54" s="55">
        <f>_xll.EQNXTDZ($A$1,$B54,F$1,$B$1)</f>
        <v>94.953400000000002</v>
      </c>
      <c r="G54" s="55">
        <f>_xll.EQNXTDZ($A$1,$B54,G$1,$B$1)</f>
        <v>111.8272</v>
      </c>
      <c r="H54" s="55">
        <f>_xll.EQNXTDZ($A$1,$B54,H$1,$B$1)</f>
        <v>115.1198</v>
      </c>
      <c r="I54" s="55">
        <f>_xll.EQNXTDZ($A$1,$B54,I$1,$B$1)</f>
        <v>126.4344</v>
      </c>
      <c r="J54" s="55">
        <f>_xll.EQNXTDZ($A$1,$B54,J$1,$B$1)</f>
        <v>150.73480000000001</v>
      </c>
      <c r="K54" s="55">
        <f>_xll.EQNXTDZ($A$1,$B54,K$1,$B$1)</f>
        <v>103.18680000000001</v>
      </c>
      <c r="L54" s="55">
        <f>_xll.EQNXTDZ($A$1,$B54,L$1,$B$1)</f>
        <v>86.716999999999999</v>
      </c>
      <c r="M54" s="55">
        <f>_xll.EQNXTDZ($A$1,$B54,M$1,$B$1)</f>
        <v>74.217200000000005</v>
      </c>
      <c r="N54" s="55">
        <f>_xll.EQNXTDZ($A$1,$B54,N$1,$B$1)</f>
        <v>161.4057</v>
      </c>
      <c r="O54" s="55">
        <f>_xll.EQNXTDZ($A$1,$B54,O$1,$B$1)</f>
        <v>195.06010000000001</v>
      </c>
      <c r="P54" s="55">
        <f>_xll.EQNXTDZ($A$1,$B54,P$1,$B$1)</f>
        <v>176.6506</v>
      </c>
      <c r="Q54" s="55">
        <f>_xll.EQNXTDZ($A$1,$B54,Q$1,$B$1)</f>
        <v>225.70140000000001</v>
      </c>
      <c r="R54" s="55">
        <f>_xll.EQNXTDZ($A$1,$B54,R$1,$B$1)</f>
        <v>220.53790000000001</v>
      </c>
      <c r="S54" s="55">
        <f>_xll.EQNXTDZ($A$1,$B54,S$1,$B$1)</f>
        <v>188.06</v>
      </c>
      <c r="T54" s="55">
        <f>_xll.EQNXTDZ($A$1,$B54,T$1,$B$1)</f>
        <v>236.46</v>
      </c>
      <c r="U54" s="55">
        <f>_xll.EQNXTDZ($A$1,$B54,U$1,$B$1)</f>
        <v>258.54000000000002</v>
      </c>
      <c r="V54" s="55">
        <f>_xll.EQNXTDZ($A$1,$B54,V$1,$B$1)</f>
        <v>195</v>
      </c>
      <c r="W54" s="55">
        <f>_xll.EQNXTDZ($A$1,$B54,W$1,$B$1)</f>
        <v>171.3</v>
      </c>
      <c r="X54" s="55">
        <f>_xll.EQNXTDZ($A$1,$B54,X$1,$B$1)</f>
        <v>195.59</v>
      </c>
      <c r="Y54" s="55">
        <f>_xll.EQNXTDZ($A$1,$B54,Y$1,$B$1)</f>
        <v>232.98</v>
      </c>
      <c r="Z54" s="55">
        <f>_xll.EQNXTDZ($A$1,$B54,Z$1,$B$1)</f>
        <v>259.36</v>
      </c>
      <c r="AA54" s="55">
        <f>_xll.EQNXTDZ($A$1,$B54,AA$1,$B$1)</f>
        <v>246.64</v>
      </c>
      <c r="AB54" s="55">
        <f>_xll.EQNXTDZ($A$1,$B54,AB$1,$B$1)</f>
        <v>239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2.8534000000000002</v>
      </c>
      <c r="D55" s="55">
        <f>_xll.EQNXTDZ($A$1,$B55,D$1,$B$1)</f>
        <v>2.6497000000000002</v>
      </c>
      <c r="E55" s="55">
        <f>_xll.EQNXTDZ($A$1,$B55,E$1,$B$1)</f>
        <v>6.8650000000000002</v>
      </c>
      <c r="F55" s="55">
        <f>_xll.EQNXTDZ($A$1,$B55,F$1,$B$1)</f>
        <v>7.6779999999999902</v>
      </c>
      <c r="G55" s="55">
        <f>_xll.EQNXTDZ($A$1,$B55,G$1,$B$1)</f>
        <v>8.1604000000000099</v>
      </c>
      <c r="H55" s="55">
        <f>_xll.EQNXTDZ($A$1,$B55,H$1,$B$1)</f>
        <v>8.7065999999999999</v>
      </c>
      <c r="I55" s="55">
        <f>_xll.EQNXTDZ($A$1,$B55,I$1,$B$1)</f>
        <v>9.0660000000000203</v>
      </c>
      <c r="J55" s="55">
        <f>_xll.EQNXTDZ($A$1,$B55,J$1,$B$1)</f>
        <v>10.3141</v>
      </c>
      <c r="K55" s="55">
        <f>_xll.EQNXTDZ($A$1,$B55,K$1,$B$1)</f>
        <v>10.394600000000001</v>
      </c>
      <c r="L55" s="55">
        <f>_xll.EQNXTDZ($A$1,$B55,L$1,$B$1)</f>
        <v>11.2484</v>
      </c>
      <c r="M55" s="55">
        <f>_xll.EQNXTDZ($A$1,$B55,M$1,$B$1)</f>
        <v>54.640500000000003</v>
      </c>
      <c r="N55" s="55">
        <f>_xll.EQNXTDZ($A$1,$B55,N$1,$B$1)</f>
        <v>57.0032</v>
      </c>
      <c r="O55" s="55">
        <f>_xll.EQNXTDZ($A$1,$B55,O$1,$B$1)</f>
        <v>70.3001</v>
      </c>
      <c r="P55" s="55">
        <f>_xll.EQNXTDZ($A$1,$B55,P$1,$B$1)</f>
        <v>45.863599999999998</v>
      </c>
      <c r="Q55" s="55">
        <f>_xll.EQNXTDZ($A$1,$B55,Q$1,$B$1)</f>
        <v>59.8444</v>
      </c>
      <c r="R55" s="55">
        <f>_xll.EQNXTDZ($A$1,$B55,R$1,$B$1)</f>
        <v>60.937100000000001</v>
      </c>
      <c r="S55" s="55">
        <f>_xll.EQNXTDZ($A$1,$B55,S$1,$B$1)</f>
        <v>84.66</v>
      </c>
      <c r="T55" s="55">
        <f>_xll.EQNXTDZ($A$1,$B55,T$1,$B$1)</f>
        <v>86.17</v>
      </c>
      <c r="U55" s="55">
        <f>_xll.EQNXTDZ($A$1,$B55,U$1,$B$1)</f>
        <v>68.3</v>
      </c>
      <c r="V55" s="55">
        <f>_xll.EQNXTDZ($A$1,$B55,V$1,$B$1)</f>
        <v>32.4</v>
      </c>
      <c r="W55" s="55">
        <f>_xll.EQNXTDZ($A$1,$B55,W$1,$B$1)</f>
        <v>39.96</v>
      </c>
      <c r="X55" s="55">
        <f>_xll.EQNXTDZ($A$1,$B55,X$1,$B$1)</f>
        <v>40.36</v>
      </c>
      <c r="Y55" s="55">
        <f>_xll.EQNXTDZ($A$1,$B55,Y$1,$B$1)</f>
        <v>28.95</v>
      </c>
      <c r="Z55" s="55">
        <f>_xll.EQNXTDZ($A$1,$B55,Z$1,$B$1)</f>
        <v>29.8</v>
      </c>
      <c r="AA55" s="55">
        <f>_xll.EQNXTDZ($A$1,$B55,AA$1,$B$1)</f>
        <v>29.92</v>
      </c>
      <c r="AB55" s="55">
        <f>_xll.EQNXTDZ($A$1,$B55,AB$1,$B$1)</f>
        <v>46.49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210</v>
      </c>
      <c r="N56" s="55">
        <f>_xll.EQNXTDZ($A$1,$B56,N$1,$B$1)</f>
        <v>78.143299999999996</v>
      </c>
      <c r="O56" s="55">
        <f>_xll.EQNXTDZ($A$1,$B56,O$1,$B$1)</f>
        <v>177.374</v>
      </c>
      <c r="P56" s="55">
        <f>_xll.EQNXTDZ($A$1,$B56,P$1,$B$1)</f>
        <v>163.65020000000001</v>
      </c>
      <c r="Q56" s="55">
        <f>_xll.EQNXTDZ($A$1,$B56,Q$1,$B$1)</f>
        <v>126.0545</v>
      </c>
      <c r="R56" s="55">
        <f>_xll.EQNXTDZ($A$1,$B56,R$1,$B$1)</f>
        <v>97.278599999999997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21</v>
      </c>
      <c r="AA56" s="55">
        <f>_xll.EQNXTDZ($A$1,$B56,AA$1,$B$1)</f>
        <v>81.86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1.4877</v>
      </c>
      <c r="D57" s="55">
        <f>_xll.EQNXTDZ($A$1,$B57,D$1,$B$1)</f>
        <v>1.35</v>
      </c>
      <c r="E57" s="55">
        <f>_xll.EQNXTDZ($A$1,$B57,E$1,$B$1)</f>
        <v>2.2845</v>
      </c>
      <c r="F57" s="55">
        <f>_xll.EQNXTDZ($A$1,$B57,F$1,$B$1)</f>
        <v>2.2845</v>
      </c>
      <c r="G57" s="55">
        <f>_xll.EQNXTDZ($A$1,$B57,G$1,$B$1)</f>
        <v>2.3090000000000002</v>
      </c>
      <c r="H57" s="55">
        <f>_xll.EQNXTDZ($A$1,$B57,H$1,$B$1)</f>
        <v>3.2069999999999999</v>
      </c>
      <c r="I57" s="55">
        <f>_xll.EQNXTDZ($A$1,$B57,I$1,$B$1)</f>
        <v>4.6067</v>
      </c>
      <c r="J57" s="55">
        <f>_xll.EQNXTDZ($A$1,$B57,J$1,$B$1)</f>
        <v>5.2648000000000001</v>
      </c>
      <c r="K57" s="55">
        <f>_xll.EQNXTDZ($A$1,$B57,K$1,$B$1)</f>
        <v>4.6067</v>
      </c>
      <c r="L57" s="55">
        <f>_xll.EQNXTDZ($A$1,$B57,L$1,$B$1)</f>
        <v>7.8711000000000002</v>
      </c>
      <c r="M57" s="55">
        <f>_xll.EQNXTDZ($A$1,$B57,M$1,$B$1)</f>
        <v>11.3317</v>
      </c>
      <c r="N57" s="55">
        <f>_xll.EQNXTDZ($A$1,$B57,N$1,$B$1)</f>
        <v>11.653</v>
      </c>
      <c r="O57" s="55">
        <f>_xll.EQNXTDZ($A$1,$B57,O$1,$B$1)</f>
        <v>11.0373</v>
      </c>
      <c r="P57" s="55">
        <f>_xll.EQNXTDZ($A$1,$B57,P$1,$B$1)</f>
        <v>11.714399999999999</v>
      </c>
      <c r="Q57" s="55">
        <f>_xll.EQNXTDZ($A$1,$B57,Q$1,$B$1)</f>
        <v>13.687200000000001</v>
      </c>
      <c r="R57" s="55">
        <f>_xll.EQNXTDZ($A$1,$B57,R$1,$B$1)</f>
        <v>16.074300000000001</v>
      </c>
      <c r="S57" s="55">
        <f>_xll.EQNXTDZ($A$1,$B57,S$1,$B$1)</f>
        <v>9.27</v>
      </c>
      <c r="T57" s="55">
        <f>_xll.EQNXTDZ($A$1,$B57,T$1,$B$1)</f>
        <v>6.67</v>
      </c>
      <c r="U57" s="55">
        <f>_xll.EQNXTDZ($A$1,$B57,U$1,$B$1)</f>
        <v>4.82</v>
      </c>
      <c r="V57" s="55">
        <f>_xll.EQNXTDZ($A$1,$B57,V$1,$B$1)</f>
        <v>5.99</v>
      </c>
      <c r="W57" s="55">
        <f>_xll.EQNXTDZ($A$1,$B57,W$1,$B$1)</f>
        <v>6.63</v>
      </c>
      <c r="X57" s="55">
        <f>_xll.EQNXTDZ($A$1,$B57,X$1,$B$1)</f>
        <v>9.7899999999999991</v>
      </c>
      <c r="Y57" s="55">
        <f>_xll.EQNXTDZ($A$1,$B57,Y$1,$B$1)</f>
        <v>21.41</v>
      </c>
      <c r="Z57" s="55">
        <f>_xll.EQNXTDZ($A$1,$B57,Z$1,$B$1)</f>
        <v>4.3600000000000003</v>
      </c>
      <c r="AA57" s="55">
        <f>_xll.EQNXTDZ($A$1,$B57,AA$1,$B$1)</f>
        <v>6.62</v>
      </c>
      <c r="AB57" s="55">
        <f>_xll.EQNXTDZ($A$1,$B57,AB$1,$B$1)</f>
        <v>11.47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78.958500000000001</v>
      </c>
      <c r="D59" s="55">
        <f>_xll.EQNXTDZ($A$1,$B59,D$1,$B$1)</f>
        <v>82.636300000000006</v>
      </c>
      <c r="E59" s="55">
        <f>_xll.EQNXTDZ($A$1,$B59,E$1,$B$1)</f>
        <v>78.793499999999995</v>
      </c>
      <c r="F59" s="55">
        <f>_xll.EQNXTDZ($A$1,$B59,F$1,$B$1)</f>
        <v>104.91589999999999</v>
      </c>
      <c r="G59" s="55">
        <f>_xll.EQNXTDZ($A$1,$B59,G$1,$B$1)</f>
        <v>122.2966</v>
      </c>
      <c r="H59" s="55">
        <f>_xll.EQNXTDZ($A$1,$B59,H$1,$B$1)</f>
        <v>127.0334</v>
      </c>
      <c r="I59" s="55">
        <f>_xll.EQNXTDZ($A$1,$B59,I$1,$B$1)</f>
        <v>140.1071</v>
      </c>
      <c r="J59" s="55">
        <f>_xll.EQNXTDZ($A$1,$B59,J$1,$B$1)</f>
        <v>166.31370000000001</v>
      </c>
      <c r="K59" s="55">
        <f>_xll.EQNXTDZ($A$1,$B59,K$1,$B$1)</f>
        <v>118.18810000000001</v>
      </c>
      <c r="L59" s="55">
        <f>_xll.EQNXTDZ($A$1,$B59,L$1,$B$1)</f>
        <v>105.8365</v>
      </c>
      <c r="M59" s="55">
        <f>_xll.EQNXTDZ($A$1,$B59,M$1,$B$1)</f>
        <v>350.18939999999998</v>
      </c>
      <c r="N59" s="55">
        <f>_xll.EQNXTDZ($A$1,$B59,N$1,$B$1)</f>
        <v>308.20519999999999</v>
      </c>
      <c r="O59" s="55">
        <f>_xll.EQNXTDZ($A$1,$B59,O$1,$B$1)</f>
        <v>453.7715</v>
      </c>
      <c r="P59" s="55">
        <f>_xll.EQNXTDZ($A$1,$B59,P$1,$B$1)</f>
        <v>397.87880000000001</v>
      </c>
      <c r="Q59" s="55">
        <f>_xll.EQNXTDZ($A$1,$B59,Q$1,$B$1)</f>
        <v>425.28750000000002</v>
      </c>
      <c r="R59" s="55">
        <f>_xll.EQNXTDZ($A$1,$B59,R$1,$B$1)</f>
        <v>394.8279</v>
      </c>
      <c r="S59" s="55">
        <f>_xll.EQNXTDZ($A$1,$B59,S$1,$B$1)</f>
        <v>281.99</v>
      </c>
      <c r="T59" s="55">
        <f>_xll.EQNXTDZ($A$1,$B59,T$1,$B$1)</f>
        <v>329.3</v>
      </c>
      <c r="U59" s="55">
        <f>_xll.EQNXTDZ($A$1,$B59,U$1,$B$1)</f>
        <v>331.66</v>
      </c>
      <c r="V59" s="55">
        <f>_xll.EQNXTDZ($A$1,$B59,V$1,$B$1)</f>
        <v>233.39</v>
      </c>
      <c r="W59" s="55">
        <f>_xll.EQNXTDZ($A$1,$B59,W$1,$B$1)</f>
        <v>217.89</v>
      </c>
      <c r="X59" s="55">
        <f>_xll.EQNXTDZ($A$1,$B59,X$1,$B$1)</f>
        <v>245.74</v>
      </c>
      <c r="Y59" s="55">
        <f>_xll.EQNXTDZ($A$1,$B59,Y$1,$B$1)</f>
        <v>283.33999999999997</v>
      </c>
      <c r="Z59" s="55">
        <f>_xll.EQNXTDZ($A$1,$B59,Z$1,$B$1)</f>
        <v>314.52</v>
      </c>
      <c r="AA59" s="55">
        <f>_xll.EQNXTDZ($A$1,$B59,AA$1,$B$1)</f>
        <v>365.04</v>
      </c>
      <c r="AB59" s="55">
        <f>_xll.EQNXTDZ($A$1,$B59,AB$1,$B$1)</f>
        <v>296.95999999999998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329.49450000000002</v>
      </c>
      <c r="D60" s="55">
        <f>_xll.EQNXTDZ($A$1,$B60,D$1,$B$1)</f>
        <v>335.89210000000003</v>
      </c>
      <c r="E60" s="55">
        <f>_xll.EQNXTDZ($A$1,$B60,E$1,$B$1)</f>
        <v>329.5249</v>
      </c>
      <c r="F60" s="55">
        <f>_xll.EQNXTDZ($A$1,$B60,F$1,$B$1)</f>
        <v>343.81650000000002</v>
      </c>
      <c r="G60" s="55">
        <f>_xll.EQNXTDZ($A$1,$B60,G$1,$B$1)</f>
        <v>405.4973</v>
      </c>
      <c r="H60" s="55">
        <f>_xll.EQNXTDZ($A$1,$B60,H$1,$B$1)</f>
        <v>411.00420000000003</v>
      </c>
      <c r="I60" s="55">
        <f>_xll.EQNXTDZ($A$1,$B60,I$1,$B$1)</f>
        <v>575.96019999999999</v>
      </c>
      <c r="J60" s="55">
        <f>_xll.EQNXTDZ($A$1,$B60,J$1,$B$1)</f>
        <v>748.06799999999998</v>
      </c>
      <c r="K60" s="55">
        <f>_xll.EQNXTDZ($A$1,$B60,K$1,$B$1)</f>
        <v>748.60490000000004</v>
      </c>
      <c r="L60" s="55">
        <f>_xll.EQNXTDZ($A$1,$B60,L$1,$B$1)</f>
        <v>743.0684</v>
      </c>
      <c r="M60" s="55">
        <f>_xll.EQNXTDZ($A$1,$B60,M$1,$B$1)</f>
        <v>873.83119999999997</v>
      </c>
      <c r="N60" s="55">
        <f>_xll.EQNXTDZ($A$1,$B60,N$1,$B$1)</f>
        <v>809.22280000000001</v>
      </c>
      <c r="O60" s="55">
        <f>_xll.EQNXTDZ($A$1,$B60,O$1,$B$1)</f>
        <v>1118.0546999999999</v>
      </c>
      <c r="P60" s="55">
        <f>_xll.EQNXTDZ($A$1,$B60,P$1,$B$1)</f>
        <v>1093.5518999999999</v>
      </c>
      <c r="Q60" s="55">
        <f>_xll.EQNXTDZ($A$1,$B60,Q$1,$B$1)</f>
        <v>1122.8249000000001</v>
      </c>
      <c r="R60" s="55">
        <f>_xll.EQNXTDZ($A$1,$B60,R$1,$B$1)</f>
        <v>1134.7860000000001</v>
      </c>
      <c r="S60" s="55">
        <f>_xll.EQNXTDZ($A$1,$B60,S$1,$B$1)</f>
        <v>1118.4100000000001</v>
      </c>
      <c r="T60" s="55">
        <f>_xll.EQNXTDZ($A$1,$B60,T$1,$B$1)</f>
        <v>1280.99</v>
      </c>
      <c r="U60" s="55">
        <f>_xll.EQNXTDZ($A$1,$B60,U$1,$B$1)</f>
        <v>1436.15</v>
      </c>
      <c r="V60" s="55">
        <f>_xll.EQNXTDZ($A$1,$B60,V$1,$B$1)</f>
        <v>1448.07</v>
      </c>
      <c r="W60" s="55">
        <f>_xll.EQNXTDZ($A$1,$B60,W$1,$B$1)</f>
        <v>1517.51</v>
      </c>
      <c r="X60" s="55">
        <f>_xll.EQNXTDZ($A$1,$B60,X$1,$B$1)</f>
        <v>1659.67</v>
      </c>
      <c r="Y60" s="55">
        <f>_xll.EQNXTDZ($A$1,$B60,Y$1,$B$1)</f>
        <v>2078.83</v>
      </c>
      <c r="Z60" s="55">
        <f>_xll.EQNXTDZ($A$1,$B60,Z$1,$B$1)</f>
        <v>2391.41</v>
      </c>
      <c r="AA60" s="55">
        <f>_xll.EQNXTDZ($A$1,$B60,AA$1,$B$1)</f>
        <v>2521.77</v>
      </c>
      <c r="AB60" s="55">
        <f>_xll.EQNXTDZ($A$1,$B60,AB$1,$B$1)</f>
        <v>2501.83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297.9058</v>
      </c>
      <c r="D62" s="55">
        <f>_xll.EQNXTDZ($A$1,$B62,D$1,$B$1)</f>
        <v>304.74059999999997</v>
      </c>
      <c r="E62" s="55">
        <f>_xll.EQNXTDZ($A$1,$B62,E$1,$B$1)</f>
        <v>303.88659999999999</v>
      </c>
      <c r="F62" s="55">
        <f>_xll.EQNXTDZ($A$1,$B62,F$1,$B$1)</f>
        <v>308.66160000000002</v>
      </c>
      <c r="G62" s="55">
        <f>_xll.EQNXTDZ($A$1,$B62,G$1,$B$1)</f>
        <v>367.44760000000002</v>
      </c>
      <c r="H62" s="55">
        <f>_xll.EQNXTDZ($A$1,$B62,H$1,$B$1)</f>
        <v>373.18990000000002</v>
      </c>
      <c r="I62" s="55">
        <f>_xll.EQNXTDZ($A$1,$B62,I$1,$B$1)</f>
        <v>409.53730000000002</v>
      </c>
      <c r="J62" s="55">
        <f>_xll.EQNXTDZ($A$1,$B62,J$1,$B$1)</f>
        <v>445.47089999999997</v>
      </c>
      <c r="K62" s="55">
        <f>_xll.EQNXTDZ($A$1,$B62,K$1,$B$1)</f>
        <v>742.33810000000005</v>
      </c>
      <c r="L62" s="55">
        <f>_xll.EQNXTDZ($A$1,$B62,L$1,$B$1)</f>
        <v>746.38120000000004</v>
      </c>
      <c r="M62" s="55">
        <f>_xll.EQNXTDZ($A$1,$B62,M$1,$B$1)</f>
        <v>756.27509999999995</v>
      </c>
      <c r="N62" s="55">
        <f>_xll.EQNXTDZ($A$1,$B62,N$1,$B$1)</f>
        <v>765.27070000000003</v>
      </c>
      <c r="O62" s="55">
        <f>_xll.EQNXTDZ($A$1,$B62,O$1,$B$1)</f>
        <v>1090.3415</v>
      </c>
      <c r="P62" s="55">
        <f>_xll.EQNXTDZ($A$1,$B62,P$1,$B$1)</f>
        <v>1061.6461999999999</v>
      </c>
      <c r="Q62" s="55">
        <f>_xll.EQNXTDZ($A$1,$B62,Q$1,$B$1)</f>
        <v>1090.0827999999999</v>
      </c>
      <c r="R62" s="55">
        <f>_xll.EQNXTDZ($A$1,$B62,R$1,$B$1)</f>
        <v>1052.7705000000001</v>
      </c>
      <c r="S62" s="55">
        <f>_xll.EQNXTDZ($A$1,$B62,S$1,$B$1)</f>
        <v>679.6</v>
      </c>
      <c r="T62" s="55">
        <f>_xll.EQNXTDZ($A$1,$B62,T$1,$B$1)</f>
        <v>746.91</v>
      </c>
      <c r="U62" s="55">
        <f>_xll.EQNXTDZ($A$1,$B62,U$1,$B$1)</f>
        <v>779.36</v>
      </c>
      <c r="V62" s="55">
        <f>_xll.EQNXTDZ($A$1,$B62,V$1,$B$1)</f>
        <v>817.86</v>
      </c>
      <c r="W62" s="55">
        <f>_xll.EQNXTDZ($A$1,$B62,W$1,$B$1)</f>
        <v>915.06</v>
      </c>
      <c r="X62" s="55">
        <f>_xll.EQNXTDZ($A$1,$B62,X$1,$B$1)</f>
        <v>1036.1300000000001</v>
      </c>
      <c r="Y62" s="55">
        <f>_xll.EQNXTDZ($A$1,$B62,Y$1,$B$1)</f>
        <v>1061.18</v>
      </c>
      <c r="Z62" s="55">
        <f>_xll.EQNXTDZ($A$1,$B62,Z$1,$B$1)</f>
        <v>1085.2</v>
      </c>
      <c r="AA62" s="55">
        <f>_xll.EQNXTDZ($A$1,$B62,AA$1,$B$1)</f>
        <v>1109.5899999999999</v>
      </c>
      <c r="AB62" s="55">
        <f>_xll.EQNXTDZ($A$1,$B62,AB$1,$B$1)</f>
        <v>1142.78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107.1799</v>
      </c>
      <c r="D63" s="55">
        <f>_xll.EQNXTDZ($A$1,$B63,D$1,$B$1)</f>
        <v>117.62990000000001</v>
      </c>
      <c r="E63" s="55">
        <f>_xll.EQNXTDZ($A$1,$B63,E$1,$B$1)</f>
        <v>124.9</v>
      </c>
      <c r="F63" s="55">
        <f>_xll.EQNXTDZ($A$1,$B63,F$1,$B$1)</f>
        <v>135.82509999999999</v>
      </c>
      <c r="G63" s="55">
        <f>_xll.EQNXTDZ($A$1,$B63,G$1,$B$1)</f>
        <v>146.33850000000001</v>
      </c>
      <c r="H63" s="55">
        <f>_xll.EQNXTDZ($A$1,$B63,H$1,$B$1)</f>
        <v>157.9085</v>
      </c>
      <c r="I63" s="55">
        <f>_xll.EQNXTDZ($A$1,$B63,I$1,$B$1)</f>
        <v>172.32859999999999</v>
      </c>
      <c r="J63" s="55">
        <f>_xll.EQNXTDZ($A$1,$B63,J$1,$B$1)</f>
        <v>189.61410000000001</v>
      </c>
      <c r="K63" s="55">
        <f>_xll.EQNXTDZ($A$1,$B63,K$1,$B$1)</f>
        <v>215.7133</v>
      </c>
      <c r="L63" s="55">
        <f>_xll.EQNXTDZ($A$1,$B63,L$1,$B$1)</f>
        <v>248.32660000000001</v>
      </c>
      <c r="M63" s="55">
        <f>_xll.EQNXTDZ($A$1,$B63,M$1,$B$1)</f>
        <v>281.53230000000002</v>
      </c>
      <c r="N63" s="55">
        <f>_xll.EQNXTDZ($A$1,$B63,N$1,$B$1)</f>
        <v>315.24090000000001</v>
      </c>
      <c r="O63" s="55">
        <f>_xll.EQNXTDZ($A$1,$B63,O$1,$B$1)</f>
        <v>364.72930000000002</v>
      </c>
      <c r="P63" s="55">
        <f>_xll.EQNXTDZ($A$1,$B63,P$1,$B$1)</f>
        <v>395.50369999999998</v>
      </c>
      <c r="Q63" s="55">
        <f>_xll.EQNXTDZ($A$1,$B63,Q$1,$B$1)</f>
        <v>428.6182</v>
      </c>
      <c r="R63" s="55">
        <f>_xll.EQNXTDZ($A$1,$B63,R$1,$B$1)</f>
        <v>414.72070000000002</v>
      </c>
      <c r="S63" s="55">
        <f>_xll.EQNXTDZ($A$1,$B63,S$1,$B$1)</f>
        <v>30.62</v>
      </c>
      <c r="T63" s="55">
        <f>_xll.EQNXTDZ($A$1,$B63,T$1,$B$1)</f>
        <v>62.48</v>
      </c>
      <c r="U63" s="55">
        <f>_xll.EQNXTDZ($A$1,$B63,U$1,$B$1)</f>
        <v>95.72</v>
      </c>
      <c r="V63" s="55">
        <f>_xll.EQNXTDZ($A$1,$B63,V$1,$B$1)</f>
        <v>131.49</v>
      </c>
      <c r="W63" s="55">
        <f>_xll.EQNXTDZ($A$1,$B63,W$1,$B$1)</f>
        <v>168.92</v>
      </c>
      <c r="X63" s="55">
        <f>_xll.EQNXTDZ($A$1,$B63,X$1,$B$1)</f>
        <v>209.3</v>
      </c>
      <c r="Y63" s="55">
        <f>_xll.EQNXTDZ($A$1,$B63,Y$1,$B$1)</f>
        <v>253.77</v>
      </c>
      <c r="Z63" s="55">
        <f>_xll.EQNXTDZ($A$1,$B63,Z$1,$B$1)</f>
        <v>297.43</v>
      </c>
      <c r="AA63" s="55">
        <f>_xll.EQNXTDZ($A$1,$B63,AA$1,$B$1)</f>
        <v>341.44</v>
      </c>
      <c r="AB63" s="55">
        <f>_xll.EQNXTDZ($A$1,$B63,AB$1,$B$1)</f>
        <v>386.09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190.7259</v>
      </c>
      <c r="D65" s="55">
        <f>_xll.EQNXTDZ($A$1,$B65,D$1,$B$1)</f>
        <v>187.11070000000001</v>
      </c>
      <c r="E65" s="55">
        <f>_xll.EQNXTDZ($A$1,$B65,E$1,$B$1)</f>
        <v>178.98660000000001</v>
      </c>
      <c r="F65" s="55">
        <f>_xll.EQNXTDZ($A$1,$B65,F$1,$B$1)</f>
        <v>172.8365</v>
      </c>
      <c r="G65" s="55">
        <f>_xll.EQNXTDZ($A$1,$B65,G$1,$B$1)</f>
        <v>221.10910000000001</v>
      </c>
      <c r="H65" s="55">
        <f>_xll.EQNXTDZ($A$1,$B65,H$1,$B$1)</f>
        <v>215.28139999999999</v>
      </c>
      <c r="I65" s="55">
        <f>_xll.EQNXTDZ($A$1,$B65,I$1,$B$1)</f>
        <v>237.20869999999999</v>
      </c>
      <c r="J65" s="55">
        <f>_xll.EQNXTDZ($A$1,$B65,J$1,$B$1)</f>
        <v>255.85679999999999</v>
      </c>
      <c r="K65" s="55">
        <f>_xll.EQNXTDZ($A$1,$B65,K$1,$B$1)</f>
        <v>526.62480000000005</v>
      </c>
      <c r="L65" s="55">
        <f>_xll.EQNXTDZ($A$1,$B65,L$1,$B$1)</f>
        <v>498.05459999999999</v>
      </c>
      <c r="M65" s="55">
        <f>_xll.EQNXTDZ($A$1,$B65,M$1,$B$1)</f>
        <v>474.74279999999999</v>
      </c>
      <c r="N65" s="55">
        <f>_xll.EQNXTDZ($A$1,$B65,N$1,$B$1)</f>
        <v>450.02980000000002</v>
      </c>
      <c r="O65" s="55">
        <f>_xll.EQNXTDZ($A$1,$B65,O$1,$B$1)</f>
        <v>725.61220000000003</v>
      </c>
      <c r="P65" s="55">
        <f>_xll.EQNXTDZ($A$1,$B65,P$1,$B$1)</f>
        <v>666.14250000000004</v>
      </c>
      <c r="Q65" s="55">
        <f>_xll.EQNXTDZ($A$1,$B65,Q$1,$B$1)</f>
        <v>661.46460000000002</v>
      </c>
      <c r="R65" s="55">
        <f>_xll.EQNXTDZ($A$1,$B65,R$1,$B$1)</f>
        <v>638.0498</v>
      </c>
      <c r="S65" s="55">
        <f>_xll.EQNXTDZ($A$1,$B65,S$1,$B$1)</f>
        <v>648.98</v>
      </c>
      <c r="T65" s="55">
        <f>_xll.EQNXTDZ($A$1,$B65,T$1,$B$1)</f>
        <v>684.43</v>
      </c>
      <c r="U65" s="55">
        <f>_xll.EQNXTDZ($A$1,$B65,U$1,$B$1)</f>
        <v>683.64</v>
      </c>
      <c r="V65" s="55">
        <f>_xll.EQNXTDZ($A$1,$B65,V$1,$B$1)</f>
        <v>686.37</v>
      </c>
      <c r="W65" s="55">
        <f>_xll.EQNXTDZ($A$1,$B65,W$1,$B$1)</f>
        <v>746.14</v>
      </c>
      <c r="X65" s="55">
        <f>_xll.EQNXTDZ($A$1,$B65,X$1,$B$1)</f>
        <v>826.83</v>
      </c>
      <c r="Y65" s="55">
        <f>_xll.EQNXTDZ($A$1,$B65,Y$1,$B$1)</f>
        <v>807.41</v>
      </c>
      <c r="Z65" s="55">
        <f>_xll.EQNXTDZ($A$1,$B65,Z$1,$B$1)</f>
        <v>787.77</v>
      </c>
      <c r="AA65" s="55">
        <f>_xll.EQNXTDZ($A$1,$B65,AA$1,$B$1)</f>
        <v>768.15</v>
      </c>
      <c r="AB65" s="55">
        <f>_xll.EQNXTDZ($A$1,$B65,AB$1,$B$1)</f>
        <v>756.69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4.6139000000000001</v>
      </c>
      <c r="D67" s="55">
        <f>_xll.EQNXTDZ($A$1,$B67,D$1,$B$1)</f>
        <v>1.8552</v>
      </c>
      <c r="E67" s="55">
        <f>_xll.EQNXTDZ($A$1,$B67,E$1,$B$1)</f>
        <v>1.3756999999999999</v>
      </c>
      <c r="F67" s="55">
        <f>_xll.EQNXTDZ($A$1,$B67,F$1,$B$1)</f>
        <v>11.4529</v>
      </c>
      <c r="G67" s="55">
        <f>_xll.EQNXTDZ($A$1,$B67,G$1,$B$1)</f>
        <v>4.5284000000000004</v>
      </c>
      <c r="H67" s="55">
        <f>_xll.EQNXTDZ($A$1,$B67,H$1,$B$1)</f>
        <v>9.0655999999999999</v>
      </c>
      <c r="I67" s="55">
        <f>_xll.EQNXTDZ($A$1,$B67,I$1,$B$1)</f>
        <v>115.45010000000001</v>
      </c>
      <c r="J67" s="55">
        <f>_xll.EQNXTDZ($A$1,$B67,J$1,$B$1)</f>
        <v>248.67429999999999</v>
      </c>
      <c r="K67" s="55">
        <f>_xll.EQNXTDZ($A$1,$B67,K$1,$B$1)</f>
        <v>1.3299000000000001</v>
      </c>
      <c r="L67" s="55">
        <f>_xll.EQNXTDZ($A$1,$B67,L$1,$B$1)</f>
        <v>7.7294</v>
      </c>
      <c r="M67" s="55">
        <f>_xll.EQNXTDZ($A$1,$B67,M$1,$B$1)</f>
        <v>8.4863</v>
      </c>
      <c r="N67" s="55">
        <f>_xll.EQNXTDZ($A$1,$B67,N$1,$B$1)</f>
        <v>5.7130000000000001</v>
      </c>
      <c r="O67" s="55">
        <f>_xll.EQNXTDZ($A$1,$B67,O$1,$B$1)</f>
        <v>2.4479000000000002</v>
      </c>
      <c r="P67" s="55">
        <f>_xll.EQNXTDZ($A$1,$B67,P$1,$B$1)</f>
        <v>9.0932999999999993</v>
      </c>
      <c r="Q67" s="55">
        <f>_xll.EQNXTDZ($A$1,$B67,Q$1,$B$1)</f>
        <v>13.397399999999999</v>
      </c>
      <c r="R67" s="55">
        <f>_xll.EQNXTDZ($A$1,$B67,R$1,$B$1)</f>
        <v>50.436</v>
      </c>
      <c r="S67" s="55">
        <f>_xll.EQNXTDZ($A$1,$B67,S$1,$B$1)</f>
        <v>40.75</v>
      </c>
      <c r="T67" s="55">
        <f>_xll.EQNXTDZ($A$1,$B67,T$1,$B$1)</f>
        <v>26.82</v>
      </c>
      <c r="U67" s="55">
        <f>_xll.EQNXTDZ($A$1,$B67,U$1,$B$1)</f>
        <v>23.36</v>
      </c>
      <c r="V67" s="55">
        <f>_xll.EQNXTDZ($A$1,$B67,V$1,$B$1)</f>
        <v>31.03</v>
      </c>
      <c r="W67" s="55">
        <f>_xll.EQNXTDZ($A$1,$B67,W$1,$B$1)</f>
        <v>32.200000000000003</v>
      </c>
      <c r="X67" s="55">
        <f>_xll.EQNXTDZ($A$1,$B67,X$1,$B$1)</f>
        <v>13.87</v>
      </c>
      <c r="Y67" s="55">
        <f>_xll.EQNXTDZ($A$1,$B67,Y$1,$B$1)</f>
        <v>19.87</v>
      </c>
      <c r="Z67" s="55">
        <f>_xll.EQNXTDZ($A$1,$B67,Z$1,$B$1)</f>
        <v>35.06</v>
      </c>
      <c r="AA67" s="55">
        <f>_xll.EQNXTDZ($A$1,$B67,AA$1,$B$1)</f>
        <v>71.09</v>
      </c>
      <c r="AB67" s="55">
        <f>_xll.EQNXTDZ($A$1,$B67,AB$1,$B$1)</f>
        <v>92.91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1.18</v>
      </c>
      <c r="T70" s="55">
        <f>_xll.EQNXTDZ($A$1,$B70,T$1,$B$1)</f>
        <v>1.1399999999999999</v>
      </c>
      <c r="U70" s="55">
        <f>_xll.EQNXTDZ($A$1,$B70,U$1,$B$1)</f>
        <v>1.1000000000000001</v>
      </c>
      <c r="V70" s="55">
        <f>_xll.EQNXTDZ($A$1,$B70,V$1,$B$1)</f>
        <v>1.29</v>
      </c>
      <c r="W70" s="55">
        <f>_xll.EQNXTDZ($A$1,$B70,W$1,$B$1)</f>
        <v>1.26</v>
      </c>
      <c r="X70" s="55">
        <f>_xll.EQNXTDZ($A$1,$B70,X$1,$B$1)</f>
        <v>1.24</v>
      </c>
      <c r="Y70" s="55">
        <f>_xll.EQNXTDZ($A$1,$B70,Y$1,$B$1)</f>
        <v>1.22</v>
      </c>
      <c r="Z70" s="55">
        <f>_xll.EQNXTDZ($A$1,$B70,Z$1,$B$1)</f>
        <v>1.18</v>
      </c>
      <c r="AA70" s="55">
        <f>_xll.EQNXTDZ($A$1,$B70,AA$1,$B$1)</f>
        <v>1.1399999999999999</v>
      </c>
      <c r="AB70" s="55">
        <f>_xll.EQNXTDZ($A$1,$B70,AB$1,$B$1)</f>
        <v>1.1100000000000001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16.739899999999999</v>
      </c>
      <c r="D71" s="55">
        <f>_xll.EQNXTDZ($A$1,$B71,D$1,$B$1)</f>
        <v>16.739899999999999</v>
      </c>
      <c r="E71" s="55">
        <f>_xll.EQNXTDZ($A$1,$B71,E$1,$B$1)</f>
        <v>7.2385999999999999</v>
      </c>
      <c r="F71" s="55">
        <f>_xll.EQNXTDZ($A$1,$B71,F$1,$B$1)</f>
        <v>7.8186</v>
      </c>
      <c r="G71" s="55">
        <f>_xll.EQNXTDZ($A$1,$B71,G$1,$B$1)</f>
        <v>7.3503999999999996</v>
      </c>
      <c r="H71" s="55">
        <f>_xll.EQNXTDZ($A$1,$B71,H$1,$B$1)</f>
        <v>7.4630000000000001</v>
      </c>
      <c r="I71" s="55">
        <f>_xll.EQNXTDZ($A$1,$B71,I$1,$B$1)</f>
        <v>8.1784999999999997</v>
      </c>
      <c r="J71" s="55">
        <f>_xll.EQNXTDZ($A$1,$B71,J$1,$B$1)</f>
        <v>8.1905000000000001</v>
      </c>
      <c r="K71" s="55">
        <f>_xll.EQNXTDZ($A$1,$B71,K$1,$B$1)</f>
        <v>8.1905000000000001</v>
      </c>
      <c r="L71" s="55">
        <f>_xll.EQNXTDZ($A$1,$B71,L$1,$B$1)</f>
        <v>10.1905</v>
      </c>
      <c r="M71" s="55">
        <f>_xll.EQNXTDZ($A$1,$B71,M$1,$B$1)</f>
        <v>23.231999999999999</v>
      </c>
      <c r="N71" s="55">
        <f>_xll.EQNXTDZ($A$1,$B71,N$1,$B$1)</f>
        <v>23.231999999999999</v>
      </c>
      <c r="O71" s="55">
        <f>_xll.EQNXTDZ($A$1,$B71,O$1,$B$1)</f>
        <v>10.804600000000001</v>
      </c>
      <c r="P71" s="55">
        <f>_xll.EQNXTDZ($A$1,$B71,P$1,$B$1)</f>
        <v>31.994399999999999</v>
      </c>
      <c r="Q71" s="55">
        <f>_xll.EQNXTDZ($A$1,$B71,Q$1,$B$1)</f>
        <v>41.049599999999998</v>
      </c>
      <c r="R71" s="55">
        <f>_xll.EQNXTDZ($A$1,$B71,R$1,$B$1)</f>
        <v>47.113500000000002</v>
      </c>
      <c r="S71" s="55">
        <f>_xll.EQNXTDZ($A$1,$B71,S$1,$B$1)</f>
        <v>92.87</v>
      </c>
      <c r="T71" s="55">
        <f>_xll.EQNXTDZ($A$1,$B71,T$1,$B$1)</f>
        <v>108.38</v>
      </c>
      <c r="U71" s="55">
        <f>_xll.EQNXTDZ($A$1,$B71,U$1,$B$1)</f>
        <v>106.6</v>
      </c>
      <c r="V71" s="55">
        <f>_xll.EQNXTDZ($A$1,$B71,V$1,$B$1)</f>
        <v>103.39</v>
      </c>
      <c r="W71" s="55">
        <f>_xll.EQNXTDZ($A$1,$B71,W$1,$B$1)</f>
        <v>152.49</v>
      </c>
      <c r="X71" s="55">
        <f>_xll.EQNXTDZ($A$1,$B71,X$1,$B$1)</f>
        <v>177.95</v>
      </c>
      <c r="Y71" s="55">
        <f>_xll.EQNXTDZ($A$1,$B71,Y$1,$B$1)</f>
        <v>196.74</v>
      </c>
      <c r="Z71" s="55">
        <f>_xll.EQNXTDZ($A$1,$B71,Z$1,$B$1)</f>
        <v>248.12</v>
      </c>
      <c r="AA71" s="55">
        <f>_xll.EQNXTDZ($A$1,$B71,AA$1,$B$1)</f>
        <v>277.52999999999997</v>
      </c>
      <c r="AB71" s="55">
        <f>_xll.EQNXTDZ($A$1,$B71,AB$1,$B$1)</f>
        <v>305.05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2.7050999999999998</v>
      </c>
      <c r="N72" s="55">
        <f>_xll.EQNXTDZ($A$1,$B72,N$1,$B$1)</f>
        <v>6.8352000000000004</v>
      </c>
      <c r="O72" s="55">
        <f>_xll.EQNXTDZ($A$1,$B72,O$1,$B$1)</f>
        <v>22.0549</v>
      </c>
      <c r="P72" s="55">
        <f>_xll.EQNXTDZ($A$1,$B72,P$1,$B$1)</f>
        <v>23.191400000000002</v>
      </c>
      <c r="Q72" s="55">
        <f>_xll.EQNXTDZ($A$1,$B72,Q$1,$B$1)</f>
        <v>23.099699999999999</v>
      </c>
      <c r="R72" s="55">
        <f>_xll.EQNXTDZ($A$1,$B72,R$1,$B$1)</f>
        <v>25.335899999999999</v>
      </c>
      <c r="S72" s="55">
        <f>_xll.EQNXTDZ($A$1,$B72,S$1,$B$1)</f>
        <v>35.11</v>
      </c>
      <c r="T72" s="55">
        <f>_xll.EQNXTDZ($A$1,$B72,T$1,$B$1)</f>
        <v>27.34</v>
      </c>
      <c r="U72" s="55">
        <f>_xll.EQNXTDZ($A$1,$B72,U$1,$B$1)</f>
        <v>38.61</v>
      </c>
      <c r="V72" s="55">
        <f>_xll.EQNXTDZ($A$1,$B72,V$1,$B$1)</f>
        <v>25.77</v>
      </c>
      <c r="W72" s="55">
        <f>_xll.EQNXTDZ($A$1,$B72,W$1,$B$1)</f>
        <v>21.23</v>
      </c>
      <c r="X72" s="55">
        <f>_xll.EQNXTDZ($A$1,$B72,X$1,$B$1)</f>
        <v>10.47</v>
      </c>
      <c r="Y72" s="55">
        <f>_xll.EQNXTDZ($A$1,$B72,Y$1,$B$1)</f>
        <v>26.29</v>
      </c>
      <c r="Z72" s="55">
        <f>_xll.EQNXTDZ($A$1,$B72,Z$1,$B$1)</f>
        <v>21.03</v>
      </c>
      <c r="AA72" s="55">
        <f>_xll.EQNXTDZ($A$1,$B72,AA$1,$B$1)</f>
        <v>40.6</v>
      </c>
      <c r="AB72" s="55">
        <f>_xll.EQNXTDZ($A$1,$B72,AB$1,$B$1)</f>
        <v>34.700000000000003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0.37319999999999998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35.700000000000003</v>
      </c>
      <c r="Y73" s="55">
        <f>_xll.EQNXTDZ($A$1,$B73,Y$1,$B$1)</f>
        <v>169.07</v>
      </c>
      <c r="Z73" s="55">
        <f>_xll.EQNXTDZ($A$1,$B73,Z$1,$B$1)</f>
        <v>248.49</v>
      </c>
      <c r="AA73" s="55">
        <f>_xll.EQNXTDZ($A$1,$B73,AA$1,$B$1)</f>
        <v>116.88</v>
      </c>
      <c r="AB73" s="55">
        <f>_xll.EQNXTDZ($A$1,$B73,AB$1,$B$1)</f>
        <v>596.87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212.0797</v>
      </c>
      <c r="D74" s="55">
        <f>_xll.EQNXTDZ($A$1,$B74,D$1,$B$1)</f>
        <v>205.70580000000001</v>
      </c>
      <c r="E74" s="55">
        <f>_xll.EQNXTDZ($A$1,$B74,E$1,$B$1)</f>
        <v>187.6009</v>
      </c>
      <c r="F74" s="55">
        <f>_xll.EQNXTDZ($A$1,$B74,F$1,$B$1)</f>
        <v>192.108</v>
      </c>
      <c r="G74" s="55">
        <f>_xll.EQNXTDZ($A$1,$B74,G$1,$B$1)</f>
        <v>232.9879</v>
      </c>
      <c r="H74" s="55">
        <f>_xll.EQNXTDZ($A$1,$B74,H$1,$B$1)</f>
        <v>231.81</v>
      </c>
      <c r="I74" s="55">
        <f>_xll.EQNXTDZ($A$1,$B74,I$1,$B$1)</f>
        <v>360.83730000000003</v>
      </c>
      <c r="J74" s="55">
        <f>_xll.EQNXTDZ($A$1,$B74,J$1,$B$1)</f>
        <v>512.72159999999997</v>
      </c>
      <c r="K74" s="55">
        <f>_xll.EQNXTDZ($A$1,$B74,K$1,$B$1)</f>
        <v>536.14520000000005</v>
      </c>
      <c r="L74" s="55">
        <f>_xll.EQNXTDZ($A$1,$B74,L$1,$B$1)</f>
        <v>515.97450000000003</v>
      </c>
      <c r="M74" s="55">
        <f>_xll.EQNXTDZ($A$1,$B74,M$1,$B$1)</f>
        <v>509.1662</v>
      </c>
      <c r="N74" s="55">
        <f>_xll.EQNXTDZ($A$1,$B74,N$1,$B$1)</f>
        <v>485.81</v>
      </c>
      <c r="O74" s="55">
        <f>_xll.EQNXTDZ($A$1,$B74,O$1,$B$1)</f>
        <v>761.29280000000006</v>
      </c>
      <c r="P74" s="55">
        <f>_xll.EQNXTDZ($A$1,$B74,P$1,$B$1)</f>
        <v>730.42160000000001</v>
      </c>
      <c r="Q74" s="55">
        <f>_xll.EQNXTDZ($A$1,$B74,Q$1,$B$1)</f>
        <v>739.01130000000001</v>
      </c>
      <c r="R74" s="55">
        <f>_xll.EQNXTDZ($A$1,$B74,R$1,$B$1)</f>
        <v>760.93520000000001</v>
      </c>
      <c r="S74" s="55">
        <f>_xll.EQNXTDZ($A$1,$B74,S$1,$B$1)</f>
        <v>818.89</v>
      </c>
      <c r="T74" s="55">
        <f>_xll.EQNXTDZ($A$1,$B74,T$1,$B$1)</f>
        <v>848.11</v>
      </c>
      <c r="U74" s="55">
        <f>_xll.EQNXTDZ($A$1,$B74,U$1,$B$1)</f>
        <v>853.31</v>
      </c>
      <c r="V74" s="55">
        <f>_xll.EQNXTDZ($A$1,$B74,V$1,$B$1)</f>
        <v>847.85</v>
      </c>
      <c r="W74" s="55">
        <f>_xll.EQNXTDZ($A$1,$B74,W$1,$B$1)</f>
        <v>953.32</v>
      </c>
      <c r="X74" s="55">
        <f>_xll.EQNXTDZ($A$1,$B74,X$1,$B$1)</f>
        <v>1066.06</v>
      </c>
      <c r="Y74" s="55">
        <f>_xll.EQNXTDZ($A$1,$B74,Y$1,$B$1)</f>
        <v>1220.5999999999999</v>
      </c>
      <c r="Z74" s="55">
        <f>_xll.EQNXTDZ($A$1,$B74,Z$1,$B$1)</f>
        <v>1341.65</v>
      </c>
      <c r="AA74" s="55">
        <f>_xll.EQNXTDZ($A$1,$B74,AA$1,$B$1)</f>
        <v>1275.3900000000001</v>
      </c>
      <c r="AB74" s="55">
        <f>_xll.EQNXTDZ($A$1,$B74,AB$1,$B$1)</f>
        <v>1787.33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1.5379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49.688099999999999</v>
      </c>
      <c r="D76" s="55">
        <f>_xll.EQNXTDZ($A$1,$B76,D$1,$B$1)</f>
        <v>30.909300000000002</v>
      </c>
      <c r="E76" s="55">
        <f>_xll.EQNXTDZ($A$1,$B76,E$1,$B$1)</f>
        <v>27.986000000000001</v>
      </c>
      <c r="F76" s="55">
        <f>_xll.EQNXTDZ($A$1,$B76,F$1,$B$1)</f>
        <v>43.413600000000002</v>
      </c>
      <c r="G76" s="55">
        <f>_xll.EQNXTDZ($A$1,$B76,G$1,$B$1)</f>
        <v>46.954099999999997</v>
      </c>
      <c r="H76" s="55">
        <f>_xll.EQNXTDZ($A$1,$B76,H$1,$B$1)</f>
        <v>49.958799999999997</v>
      </c>
      <c r="I76" s="55">
        <f>_xll.EQNXTDZ($A$1,$B76,I$1,$B$1)</f>
        <v>54.970700000000001</v>
      </c>
      <c r="J76" s="55">
        <f>_xll.EQNXTDZ($A$1,$B76,J$1,$B$1)</f>
        <v>70.521199999999993</v>
      </c>
      <c r="K76" s="55">
        <f>_xll.EQNXTDZ($A$1,$B76,K$1,$B$1)</f>
        <v>68.445599999999999</v>
      </c>
      <c r="L76" s="55">
        <f>_xll.EQNXTDZ($A$1,$B76,L$1,$B$1)</f>
        <v>47.809699999999999</v>
      </c>
      <c r="M76" s="55">
        <f>_xll.EQNXTDZ($A$1,$B76,M$1,$B$1)</f>
        <v>44.880299999999998</v>
      </c>
      <c r="N76" s="55">
        <f>_xll.EQNXTDZ($A$1,$B76,N$1,$B$1)</f>
        <v>86.201700000000002</v>
      </c>
      <c r="O76" s="55">
        <f>_xll.EQNXTDZ($A$1,$B76,O$1,$B$1)</f>
        <v>87.125900000000001</v>
      </c>
      <c r="P76" s="55">
        <f>_xll.EQNXTDZ($A$1,$B76,P$1,$B$1)</f>
        <v>112.28579999999999</v>
      </c>
      <c r="Q76" s="55">
        <f>_xll.EQNXTDZ($A$1,$B76,Q$1,$B$1)</f>
        <v>134.42349999999999</v>
      </c>
      <c r="R76" s="55">
        <f>_xll.EQNXTDZ($A$1,$B76,R$1,$B$1)</f>
        <v>114.0702</v>
      </c>
      <c r="S76" s="55">
        <f>_xll.EQNXTDZ($A$1,$B76,S$1,$B$1)</f>
        <v>128.97</v>
      </c>
      <c r="T76" s="55">
        <f>_xll.EQNXTDZ($A$1,$B76,T$1,$B$1)</f>
        <v>157.78</v>
      </c>
      <c r="U76" s="55">
        <f>_xll.EQNXTDZ($A$1,$B76,U$1,$B$1)</f>
        <v>134.57</v>
      </c>
      <c r="V76" s="55">
        <f>_xll.EQNXTDZ($A$1,$B76,V$1,$B$1)</f>
        <v>169.44</v>
      </c>
      <c r="W76" s="55">
        <f>_xll.EQNXTDZ($A$1,$B76,W$1,$B$1)</f>
        <v>227.25</v>
      </c>
      <c r="X76" s="55">
        <f>_xll.EQNXTDZ($A$1,$B76,X$1,$B$1)</f>
        <v>124.12</v>
      </c>
      <c r="Y76" s="55">
        <f>_xll.EQNXTDZ($A$1,$B76,Y$1,$B$1)</f>
        <v>240.88</v>
      </c>
      <c r="Z76" s="55">
        <f>_xll.EQNXTDZ($A$1,$B76,Z$1,$B$1)</f>
        <v>287.91000000000003</v>
      </c>
      <c r="AA76" s="55">
        <f>_xll.EQNXTDZ($A$1,$B76,AA$1,$B$1)</f>
        <v>354.05</v>
      </c>
      <c r="AB76" s="55">
        <f>_xll.EQNXTDZ($A$1,$B76,AB$1,$B$1)</f>
        <v>360.43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32.511000000000003</v>
      </c>
      <c r="D77" s="55">
        <f>_xll.EQNXTDZ($A$1,$B77,D$1,$B$1)</f>
        <v>46.301900000000003</v>
      </c>
      <c r="E77" s="55">
        <f>_xll.EQNXTDZ($A$1,$B77,E$1,$B$1)</f>
        <v>40.213000000000001</v>
      </c>
      <c r="F77" s="55">
        <f>_xll.EQNXTDZ($A$1,$B77,F$1,$B$1)</f>
        <v>44.159199999999998</v>
      </c>
      <c r="G77" s="55">
        <f>_xll.EQNXTDZ($A$1,$B77,G$1,$B$1)</f>
        <v>43.188200000000002</v>
      </c>
      <c r="H77" s="55">
        <f>_xll.EQNXTDZ($A$1,$B77,H$1,$B$1)</f>
        <v>44.830800000000004</v>
      </c>
      <c r="I77" s="55">
        <f>_xll.EQNXTDZ($A$1,$B77,I$1,$B$1)</f>
        <v>50.8964</v>
      </c>
      <c r="J77" s="55">
        <f>_xll.EQNXTDZ($A$1,$B77,J$1,$B$1)</f>
        <v>49.947099999999999</v>
      </c>
      <c r="K77" s="55">
        <f>_xll.EQNXTDZ($A$1,$B77,K$1,$B$1)</f>
        <v>49.031500000000001</v>
      </c>
      <c r="L77" s="55">
        <f>_xll.EQNXTDZ($A$1,$B77,L$1,$B$1)</f>
        <v>44.9724</v>
      </c>
      <c r="M77" s="55">
        <f>_xll.EQNXTDZ($A$1,$B77,M$1,$B$1)</f>
        <v>52.275700000000001</v>
      </c>
      <c r="N77" s="55">
        <f>_xll.EQNXTDZ($A$1,$B77,N$1,$B$1)</f>
        <v>100.2016</v>
      </c>
      <c r="O77" s="55">
        <f>_xll.EQNXTDZ($A$1,$B77,O$1,$B$1)</f>
        <v>99.110799999999998</v>
      </c>
      <c r="P77" s="55">
        <f>_xll.EQNXTDZ($A$1,$B77,P$1,$B$1)</f>
        <v>120.4521</v>
      </c>
      <c r="Q77" s="55">
        <f>_xll.EQNXTDZ($A$1,$B77,Q$1,$B$1)</f>
        <v>123.53660000000001</v>
      </c>
      <c r="R77" s="55">
        <f>_xll.EQNXTDZ($A$1,$B77,R$1,$B$1)</f>
        <v>129.3271</v>
      </c>
      <c r="S77" s="55">
        <f>_xll.EQNXTDZ($A$1,$B77,S$1,$B$1)</f>
        <v>105.71</v>
      </c>
      <c r="T77" s="55">
        <f>_xll.EQNXTDZ($A$1,$B77,T$1,$B$1)</f>
        <v>106.86</v>
      </c>
      <c r="U77" s="55">
        <f>_xll.EQNXTDZ($A$1,$B77,U$1,$B$1)</f>
        <v>79.67</v>
      </c>
      <c r="V77" s="55">
        <f>_xll.EQNXTDZ($A$1,$B77,V$1,$B$1)</f>
        <v>81.010000000000005</v>
      </c>
      <c r="W77" s="55">
        <f>_xll.EQNXTDZ($A$1,$B77,W$1,$B$1)</f>
        <v>81.67</v>
      </c>
      <c r="X77" s="55">
        <f>_xll.EQNXTDZ($A$1,$B77,X$1,$B$1)</f>
        <v>101.45</v>
      </c>
      <c r="Y77" s="55">
        <f>_xll.EQNXTDZ($A$1,$B77,Y$1,$B$1)</f>
        <v>95.36</v>
      </c>
      <c r="Z77" s="55">
        <f>_xll.EQNXTDZ($A$1,$B77,Z$1,$B$1)</f>
        <v>119.2</v>
      </c>
      <c r="AA77" s="55">
        <f>_xll.EQNXTDZ($A$1,$B77,AA$1,$B$1)</f>
        <v>148.16</v>
      </c>
      <c r="AB77" s="55">
        <f>_xll.EQNXTDZ($A$1,$B77,AB$1,$B$1)</f>
        <v>190.14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12.9823</v>
      </c>
      <c r="D78" s="55">
        <f>_xll.EQNXTDZ($A$1,$B78,D$1,$B$1)</f>
        <v>25.604399999999998</v>
      </c>
      <c r="E78" s="55">
        <f>_xll.EQNXTDZ($A$1,$B78,E$1,$B$1)</f>
        <v>46.034500000000001</v>
      </c>
      <c r="F78" s="55">
        <f>_xll.EQNXTDZ($A$1,$B78,F$1,$B$1)</f>
        <v>47.889400000000002</v>
      </c>
      <c r="G78" s="55">
        <f>_xll.EQNXTDZ($A$1,$B78,G$1,$B$1)</f>
        <v>59.569499999999998</v>
      </c>
      <c r="H78" s="55">
        <f>_xll.EQNXTDZ($A$1,$B78,H$1,$B$1)</f>
        <v>61.889899999999997</v>
      </c>
      <c r="I78" s="55">
        <f>_xll.EQNXTDZ($A$1,$B78,I$1,$B$1)</f>
        <v>72.101799999999997</v>
      </c>
      <c r="J78" s="55">
        <f>_xll.EQNXTDZ($A$1,$B78,J$1,$B$1)</f>
        <v>80.456400000000002</v>
      </c>
      <c r="K78" s="55">
        <f>_xll.EQNXTDZ($A$1,$B78,K$1,$B$1)</f>
        <v>64.409400000000005</v>
      </c>
      <c r="L78" s="55">
        <f>_xll.EQNXTDZ($A$1,$B78,L$1,$B$1)</f>
        <v>91.682199999999995</v>
      </c>
      <c r="M78" s="55">
        <f>_xll.EQNXTDZ($A$1,$B78,M$1,$B$1)</f>
        <v>28.8445</v>
      </c>
      <c r="N78" s="55">
        <f>_xll.EQNXTDZ($A$1,$B78,N$1,$B$1)</f>
        <v>6.4896000000000003</v>
      </c>
      <c r="O78" s="55">
        <f>_xll.EQNXTDZ($A$1,$B78,O$1,$B$1)</f>
        <v>74.0244</v>
      </c>
      <c r="P78" s="55">
        <f>_xll.EQNXTDZ($A$1,$B78,P$1,$B$1)</f>
        <v>29.9605</v>
      </c>
      <c r="Q78" s="55">
        <f>_xll.EQNXTDZ($A$1,$B78,Q$1,$B$1)</f>
        <v>10.3446</v>
      </c>
      <c r="R78" s="55">
        <f>_xll.EQNXTDZ($A$1,$B78,R$1,$B$1)</f>
        <v>10.4033</v>
      </c>
      <c r="S78" s="55">
        <f>_xll.EQNXTDZ($A$1,$B78,S$1,$B$1)</f>
        <v>20.11</v>
      </c>
      <c r="T78" s="55">
        <f>_xll.EQNXTDZ($A$1,$B78,T$1,$B$1)</f>
        <v>143.81</v>
      </c>
      <c r="U78" s="55">
        <f>_xll.EQNXTDZ($A$1,$B78,U$1,$B$1)</f>
        <v>311.5</v>
      </c>
      <c r="V78" s="55">
        <f>_xll.EQNXTDZ($A$1,$B78,V$1,$B$1)</f>
        <v>326.35000000000002</v>
      </c>
      <c r="W78" s="55">
        <f>_xll.EQNXTDZ($A$1,$B78,W$1,$B$1)</f>
        <v>206.96</v>
      </c>
      <c r="X78" s="55">
        <f>_xll.EQNXTDZ($A$1,$B78,X$1,$B$1)</f>
        <v>330.55</v>
      </c>
      <c r="Y78" s="55">
        <f>_xll.EQNXTDZ($A$1,$B78,Y$1,$B$1)</f>
        <v>497.26</v>
      </c>
      <c r="Z78" s="55">
        <f>_xll.EQNXTDZ($A$1,$B78,Z$1,$B$1)</f>
        <v>608.46</v>
      </c>
      <c r="AA78" s="55">
        <f>_xll.EQNXTDZ($A$1,$B78,AA$1,$B$1)</f>
        <v>672.93</v>
      </c>
      <c r="AB78" s="55">
        <f>_xll.EQNXTDZ($A$1,$B78,AB$1,$B$1)</f>
        <v>146.07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1.0336000000000001</v>
      </c>
      <c r="D79" s="55">
        <f>_xll.EQNXTDZ($A$1,$B79,D$1,$B$1)</f>
        <v>1.2211000000000001</v>
      </c>
      <c r="E79" s="55">
        <f>_xll.EQNXTDZ($A$1,$B79,E$1,$B$1)</f>
        <v>2.6579999999999999</v>
      </c>
      <c r="F79" s="55">
        <f>_xll.EQNXTDZ($A$1,$B79,F$1,$B$1)</f>
        <v>2.3336000000000001</v>
      </c>
      <c r="G79" s="55">
        <f>_xll.EQNXTDZ($A$1,$B79,G$1,$B$1)</f>
        <v>2.9741</v>
      </c>
      <c r="H79" s="55">
        <f>_xll.EQNXTDZ($A$1,$B79,H$1,$B$1)</f>
        <v>2.2454000000000001</v>
      </c>
      <c r="I79" s="55">
        <f>_xll.EQNXTDZ($A$1,$B79,I$1,$B$1)</f>
        <v>1.6265000000000001</v>
      </c>
      <c r="J79" s="55">
        <f>_xll.EQNXTDZ($A$1,$B79,J$1,$B$1)</f>
        <v>1.3777999999999999</v>
      </c>
      <c r="K79" s="55">
        <f>_xll.EQNXTDZ($A$1,$B79,K$1,$B$1)</f>
        <v>1.5228999999999999</v>
      </c>
      <c r="L79" s="55">
        <f>_xll.EQNXTDZ($A$1,$B79,L$1,$B$1)</f>
        <v>1.9444999999999999</v>
      </c>
      <c r="M79" s="55">
        <f>_xll.EQNXTDZ($A$1,$B79,M$1,$B$1)</f>
        <v>6.7369000000000003</v>
      </c>
      <c r="N79" s="55">
        <f>_xll.EQNXTDZ($A$1,$B79,N$1,$B$1)</f>
        <v>4.2965</v>
      </c>
      <c r="O79" s="55">
        <f>_xll.EQNXTDZ($A$1,$B79,O$1,$B$1)</f>
        <v>5.2119999999999997</v>
      </c>
      <c r="P79" s="55">
        <f>_xll.EQNXTDZ($A$1,$B79,P$1,$B$1)</f>
        <v>8.3155000000000001</v>
      </c>
      <c r="Q79" s="55">
        <f>_xll.EQNXTDZ($A$1,$B79,Q$1,$B$1)</f>
        <v>9.4118999999999993</v>
      </c>
      <c r="R79" s="55">
        <f>_xll.EQNXTDZ($A$1,$B79,R$1,$B$1)</f>
        <v>7.8598999999999997</v>
      </c>
      <c r="S79" s="55">
        <f>_xll.EQNXTDZ($A$1,$B79,S$1,$B$1)</f>
        <v>10.99</v>
      </c>
      <c r="T79" s="55">
        <f>_xll.EQNXTDZ($A$1,$B79,T$1,$B$1)</f>
        <v>7.37</v>
      </c>
      <c r="U79" s="55">
        <f>_xll.EQNXTDZ($A$1,$B79,U$1,$B$1)</f>
        <v>7.62</v>
      </c>
      <c r="V79" s="55">
        <f>_xll.EQNXTDZ($A$1,$B79,V$1,$B$1)</f>
        <v>4.97</v>
      </c>
      <c r="W79" s="55">
        <f>_xll.EQNXTDZ($A$1,$B79,W$1,$B$1)</f>
        <v>5.3</v>
      </c>
      <c r="X79" s="55">
        <f>_xll.EQNXTDZ($A$1,$B79,X$1,$B$1)</f>
        <v>12.69</v>
      </c>
      <c r="Y79" s="55">
        <f>_xll.EQNXTDZ($A$1,$B79,Y$1,$B$1)</f>
        <v>6.94</v>
      </c>
      <c r="Z79" s="55">
        <f>_xll.EQNXTDZ($A$1,$B79,Z$1,$B$1)</f>
        <v>6.74</v>
      </c>
      <c r="AA79" s="55">
        <f>_xll.EQNXTDZ($A$1,$B79,AA$1,$B$1)</f>
        <v>5.23</v>
      </c>
      <c r="AB79" s="55">
        <f>_xll.EQNXTDZ($A$1,$B79,AB$1,$B$1)</f>
        <v>5.46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21.1998</v>
      </c>
      <c r="D80" s="55">
        <f>_xll.EQNXTDZ($A$1,$B80,D$1,$B$1)</f>
        <v>26.1496</v>
      </c>
      <c r="E80" s="55">
        <f>_xll.EQNXTDZ($A$1,$B80,E$1,$B$1)</f>
        <v>25.032499999999999</v>
      </c>
      <c r="F80" s="55">
        <f>_xll.EQNXTDZ($A$1,$B80,F$1,$B$1)</f>
        <v>13.912699999999999</v>
      </c>
      <c r="G80" s="55">
        <f>_xll.EQNXTDZ($A$1,$B80,G$1,$B$1)</f>
        <v>19.823499999999999</v>
      </c>
      <c r="H80" s="55">
        <f>_xll.EQNXTDZ($A$1,$B80,H$1,$B$1)</f>
        <v>20.269300000000001</v>
      </c>
      <c r="I80" s="55">
        <f>_xll.EQNXTDZ($A$1,$B80,I$1,$B$1)</f>
        <v>35.527500000000003</v>
      </c>
      <c r="J80" s="55">
        <f>_xll.EQNXTDZ($A$1,$B80,J$1,$B$1)</f>
        <v>33.043900000000001</v>
      </c>
      <c r="K80" s="55">
        <f>_xll.EQNXTDZ($A$1,$B80,K$1,$B$1)</f>
        <v>29.0503</v>
      </c>
      <c r="L80" s="55">
        <f>_xll.EQNXTDZ($A$1,$B80,L$1,$B$1)</f>
        <v>40.685099999999998</v>
      </c>
      <c r="M80" s="55">
        <f>_xll.EQNXTDZ($A$1,$B80,M$1,$B$1)</f>
        <v>231.92760000000001</v>
      </c>
      <c r="N80" s="55">
        <f>_xll.EQNXTDZ($A$1,$B80,N$1,$B$1)</f>
        <v>126.2234</v>
      </c>
      <c r="O80" s="55">
        <f>_xll.EQNXTDZ($A$1,$B80,O$1,$B$1)</f>
        <v>91.288799999999995</v>
      </c>
      <c r="P80" s="55">
        <f>_xll.EQNXTDZ($A$1,$B80,P$1,$B$1)</f>
        <v>92.116399999999999</v>
      </c>
      <c r="Q80" s="55">
        <f>_xll.EQNXTDZ($A$1,$B80,Q$1,$B$1)</f>
        <v>104.5591</v>
      </c>
      <c r="R80" s="55">
        <f>_xll.EQNXTDZ($A$1,$B80,R$1,$B$1)</f>
        <v>112.19029999999999</v>
      </c>
      <c r="S80" s="55">
        <f>_xll.EQNXTDZ($A$1,$B80,S$1,$B$1)</f>
        <v>33.74</v>
      </c>
      <c r="T80" s="55">
        <f>_xll.EQNXTDZ($A$1,$B80,T$1,$B$1)</f>
        <v>17.059999999999999</v>
      </c>
      <c r="U80" s="55">
        <f>_xll.EQNXTDZ($A$1,$B80,U$1,$B$1)</f>
        <v>49.48</v>
      </c>
      <c r="V80" s="55">
        <f>_xll.EQNXTDZ($A$1,$B80,V$1,$B$1)</f>
        <v>18.45</v>
      </c>
      <c r="W80" s="55">
        <f>_xll.EQNXTDZ($A$1,$B80,W$1,$B$1)</f>
        <v>43.01</v>
      </c>
      <c r="X80" s="55">
        <f>_xll.EQNXTDZ($A$1,$B80,X$1,$B$1)</f>
        <v>24.8</v>
      </c>
      <c r="Y80" s="55">
        <f>_xll.EQNXTDZ($A$1,$B80,Y$1,$B$1)</f>
        <v>17.79</v>
      </c>
      <c r="Z80" s="55">
        <f>_xll.EQNXTDZ($A$1,$B80,Z$1,$B$1)</f>
        <v>27.45</v>
      </c>
      <c r="AA80" s="55">
        <f>_xll.EQNXTDZ($A$1,$B80,AA$1,$B$1)</f>
        <v>66.010000000000005</v>
      </c>
      <c r="AB80" s="55">
        <f>_xll.EQNXTDZ($A$1,$B80,AB$1,$B$1)</f>
        <v>12.4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117.4148</v>
      </c>
      <c r="D82" s="55">
        <f>_xll.EQNXTDZ($A$1,$B82,D$1,$B$1)</f>
        <v>130.18629999999999</v>
      </c>
      <c r="E82" s="55">
        <f>_xll.EQNXTDZ($A$1,$B82,E$1,$B$1)</f>
        <v>141.92400000000001</v>
      </c>
      <c r="F82" s="55">
        <f>_xll.EQNXTDZ($A$1,$B82,F$1,$B$1)</f>
        <v>151.70849999999999</v>
      </c>
      <c r="G82" s="55">
        <f>_xll.EQNXTDZ($A$1,$B82,G$1,$B$1)</f>
        <v>172.5094</v>
      </c>
      <c r="H82" s="55">
        <f>_xll.EQNXTDZ($A$1,$B82,H$1,$B$1)</f>
        <v>179.1942</v>
      </c>
      <c r="I82" s="55">
        <f>_xll.EQNXTDZ($A$1,$B82,I$1,$B$1)</f>
        <v>215.12289999999999</v>
      </c>
      <c r="J82" s="55">
        <f>_xll.EQNXTDZ($A$1,$B82,J$1,$B$1)</f>
        <v>235.34639999999999</v>
      </c>
      <c r="K82" s="55">
        <f>_xll.EQNXTDZ($A$1,$B82,K$1,$B$1)</f>
        <v>212.4597</v>
      </c>
      <c r="L82" s="55">
        <f>_xll.EQNXTDZ($A$1,$B82,L$1,$B$1)</f>
        <v>227.09389999999999</v>
      </c>
      <c r="M82" s="55">
        <f>_xll.EQNXTDZ($A$1,$B82,M$1,$B$1)</f>
        <v>364.66500000000002</v>
      </c>
      <c r="N82" s="55">
        <f>_xll.EQNXTDZ($A$1,$B82,N$1,$B$1)</f>
        <v>323.4128</v>
      </c>
      <c r="O82" s="55">
        <f>_xll.EQNXTDZ($A$1,$B82,O$1,$B$1)</f>
        <v>356.76190000000003</v>
      </c>
      <c r="P82" s="55">
        <f>_xll.EQNXTDZ($A$1,$B82,P$1,$B$1)</f>
        <v>363.13029999999998</v>
      </c>
      <c r="Q82" s="55">
        <f>_xll.EQNXTDZ($A$1,$B82,Q$1,$B$1)</f>
        <v>383.81360000000001</v>
      </c>
      <c r="R82" s="55">
        <f>_xll.EQNXTDZ($A$1,$B82,R$1,$B$1)</f>
        <v>373.85079999999999</v>
      </c>
      <c r="S82" s="55">
        <f>_xll.EQNXTDZ($A$1,$B82,S$1,$B$1)</f>
        <v>299.52</v>
      </c>
      <c r="T82" s="55">
        <f>_xll.EQNXTDZ($A$1,$B82,T$1,$B$1)</f>
        <v>432.88</v>
      </c>
      <c r="U82" s="55">
        <f>_xll.EQNXTDZ($A$1,$B82,U$1,$B$1)</f>
        <v>582.84</v>
      </c>
      <c r="V82" s="55">
        <f>_xll.EQNXTDZ($A$1,$B82,V$1,$B$1)</f>
        <v>600.22</v>
      </c>
      <c r="W82" s="55">
        <f>_xll.EQNXTDZ($A$1,$B82,W$1,$B$1)</f>
        <v>564.19000000000005</v>
      </c>
      <c r="X82" s="55">
        <f>_xll.EQNXTDZ($A$1,$B82,X$1,$B$1)</f>
        <v>593.61</v>
      </c>
      <c r="Y82" s="55">
        <f>_xll.EQNXTDZ($A$1,$B82,Y$1,$B$1)</f>
        <v>858.23</v>
      </c>
      <c r="Z82" s="55">
        <f>_xll.EQNXTDZ($A$1,$B82,Z$1,$B$1)</f>
        <v>1049.76</v>
      </c>
      <c r="AA82" s="55">
        <f>_xll.EQNXTDZ($A$1,$B82,AA$1,$B$1)</f>
        <v>1246.3800000000001</v>
      </c>
      <c r="AB82" s="55">
        <f>_xll.EQNXTDZ($A$1,$B82,AB$1,$B$1)</f>
        <v>714.5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329.49450000000002</v>
      </c>
      <c r="D84" s="55">
        <f>_xll.EQNXTDZ($A$1,$B84,D$1,$B$1)</f>
        <v>335.89210000000003</v>
      </c>
      <c r="E84" s="55">
        <f>_xll.EQNXTDZ($A$1,$B84,E$1,$B$1)</f>
        <v>329.5249</v>
      </c>
      <c r="F84" s="55">
        <f>_xll.EQNXTDZ($A$1,$B84,F$1,$B$1)</f>
        <v>343.81650000000002</v>
      </c>
      <c r="G84" s="55">
        <f>_xll.EQNXTDZ($A$1,$B84,G$1,$B$1)</f>
        <v>405.4973</v>
      </c>
      <c r="H84" s="55">
        <f>_xll.EQNXTDZ($A$1,$B84,H$1,$B$1)</f>
        <v>411.00420000000003</v>
      </c>
      <c r="I84" s="55">
        <f>_xll.EQNXTDZ($A$1,$B84,I$1,$B$1)</f>
        <v>575.96019999999999</v>
      </c>
      <c r="J84" s="55">
        <f>_xll.EQNXTDZ($A$1,$B84,J$1,$B$1)</f>
        <v>748.06799999999998</v>
      </c>
      <c r="K84" s="55">
        <f>_xll.EQNXTDZ($A$1,$B84,K$1,$B$1)</f>
        <v>748.60490000000004</v>
      </c>
      <c r="L84" s="55">
        <f>_xll.EQNXTDZ($A$1,$B84,L$1,$B$1)</f>
        <v>743.0684</v>
      </c>
      <c r="M84" s="55">
        <f>_xll.EQNXTDZ($A$1,$B84,M$1,$B$1)</f>
        <v>873.83119999999997</v>
      </c>
      <c r="N84" s="55">
        <f>_xll.EQNXTDZ($A$1,$B84,N$1,$B$1)</f>
        <v>809.22280000000001</v>
      </c>
      <c r="O84" s="55">
        <f>_xll.EQNXTDZ($A$1,$B84,O$1,$B$1)</f>
        <v>1118.0546999999999</v>
      </c>
      <c r="P84" s="55">
        <f>_xll.EQNXTDZ($A$1,$B84,P$1,$B$1)</f>
        <v>1093.5518999999999</v>
      </c>
      <c r="Q84" s="55">
        <f>_xll.EQNXTDZ($A$1,$B84,Q$1,$B$1)</f>
        <v>1122.8249000000001</v>
      </c>
      <c r="R84" s="55">
        <f>_xll.EQNXTDZ($A$1,$B84,R$1,$B$1)</f>
        <v>1134.7860000000001</v>
      </c>
      <c r="S84" s="55">
        <f>_xll.EQNXTDZ($A$1,$B84,S$1,$B$1)</f>
        <v>1118.4100000000001</v>
      </c>
      <c r="T84" s="55">
        <f>_xll.EQNXTDZ($A$1,$B84,T$1,$B$1)</f>
        <v>1280.99</v>
      </c>
      <c r="U84" s="55">
        <f>_xll.EQNXTDZ($A$1,$B84,U$1,$B$1)</f>
        <v>1436.15</v>
      </c>
      <c r="V84" s="55">
        <f>_xll.EQNXTDZ($A$1,$B84,V$1,$B$1)</f>
        <v>1448.07</v>
      </c>
      <c r="W84" s="55">
        <f>_xll.EQNXTDZ($A$1,$B84,W$1,$B$1)</f>
        <v>1517.51</v>
      </c>
      <c r="X84" s="55">
        <f>_xll.EQNXTDZ($A$1,$B84,X$1,$B$1)</f>
        <v>1659.67</v>
      </c>
      <c r="Y84" s="55">
        <f>_xll.EQNXTDZ($A$1,$B84,Y$1,$B$1)</f>
        <v>2078.83</v>
      </c>
      <c r="Z84" s="55">
        <f>_xll.EQNXTDZ($A$1,$B84,Z$1,$B$1)</f>
        <v>2391.41</v>
      </c>
      <c r="AA84" s="55">
        <f>_xll.EQNXTDZ($A$1,$B84,AA$1,$B$1)</f>
        <v>2521.77</v>
      </c>
      <c r="AB84" s="55">
        <f>_xll.EQNXTDZ($A$1,$B84,AB$1,$B$1)</f>
        <v>2501.83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1.4500000000000001E-2</v>
      </c>
      <c r="D85" s="55">
        <f>_xll.EQNXTDZ($A$1,$B85,D$1,$B$1)</f>
        <v>1.4500000000000001E-2</v>
      </c>
      <c r="E85" s="55">
        <f>_xll.EQNXTDZ($A$1,$B85,E$1,$B$1)</f>
        <v>1.4500000000000001E-2</v>
      </c>
      <c r="F85" s="55">
        <f>_xll.EQNXTDZ($A$1,$B85,F$1,$B$1)</f>
        <v>0.96279999999999999</v>
      </c>
      <c r="G85" s="55">
        <f>_xll.EQNXTDZ($A$1,$B85,G$1,$B$1)</f>
        <v>0.23519999999999999</v>
      </c>
      <c r="H85" s="55">
        <f>_xll.EQNXTDZ($A$1,$B85,H$1,$B$1)</f>
        <v>0.3448</v>
      </c>
      <c r="I85" s="55">
        <f>_xll.EQNXTDZ($A$1,$B85,I$1,$B$1)</f>
        <v>9.0499999999999997E-2</v>
      </c>
      <c r="J85" s="55">
        <f>_xll.EQNXTDZ($A$1,$B85,J$1,$B$1)</f>
        <v>0.42270000000000002</v>
      </c>
      <c r="K85" s="55">
        <f>_xll.EQNXTDZ($A$1,$B85,K$1,$B$1)</f>
        <v>0.4577</v>
      </c>
      <c r="L85" s="55">
        <f>_xll.EQNXTDZ($A$1,$B85,L$1,$B$1)</f>
        <v>0.37359999999999999</v>
      </c>
      <c r="M85" s="55">
        <f>_xll.EQNXTDZ($A$1,$B85,M$1,$B$1)</f>
        <v>17.929099999999998</v>
      </c>
      <c r="N85" s="55">
        <f>_xll.EQNXTDZ($A$1,$B85,N$1,$B$1)</f>
        <v>14.6877</v>
      </c>
      <c r="O85" s="55">
        <f>_xll.EQNXTDZ($A$1,$B85,O$1,$B$1)</f>
        <v>15.483599999999999</v>
      </c>
      <c r="P85" s="55">
        <f>_xll.EQNXTDZ($A$1,$B85,P$1,$B$1)</f>
        <v>53.873899999999999</v>
      </c>
      <c r="Q85" s="55">
        <f>_xll.EQNXTDZ($A$1,$B85,Q$1,$B$1)</f>
        <v>59.384700000000002</v>
      </c>
      <c r="R85" s="55">
        <f>_xll.EQNXTDZ($A$1,$B85,R$1,$B$1)</f>
        <v>60.543300000000002</v>
      </c>
      <c r="S85" s="55">
        <f>_xll.EQNXTDZ($A$1,$B85,S$1,$B$1)</f>
        <v>52.91</v>
      </c>
      <c r="T85" s="55">
        <f>_xll.EQNXTDZ($A$1,$B85,T$1,$B$1)</f>
        <v>47.64</v>
      </c>
      <c r="U85" s="55">
        <f>_xll.EQNXTDZ($A$1,$B85,U$1,$B$1)</f>
        <v>50.76</v>
      </c>
      <c r="V85" s="55">
        <f>_xll.EQNXTDZ($A$1,$B85,V$1,$B$1)</f>
        <v>51.22</v>
      </c>
      <c r="W85" s="55">
        <f>_xll.EQNXTDZ($A$1,$B85,W$1,$B$1)</f>
        <v>53.63</v>
      </c>
      <c r="X85" s="55">
        <f>_xll.EQNXTDZ($A$1,$B85,X$1,$B$1)</f>
        <v>73.89</v>
      </c>
      <c r="Y85" s="55">
        <f>_xll.EQNXTDZ($A$1,$B85,Y$1,$B$1)</f>
        <v>76.23</v>
      </c>
      <c r="Z85" s="55">
        <f>_xll.EQNXTDZ($A$1,$B85,Z$1,$B$1)</f>
        <v>82.89</v>
      </c>
      <c r="AA85" s="55">
        <f>_xll.EQNXTDZ($A$1,$B85,AA$1,$B$1)</f>
        <v>87.48</v>
      </c>
      <c r="AB85" s="55">
        <f>_xll.EQNXTDZ($A$1,$B85,AB$1,$B$1)</f>
        <v>63.39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11.780099999999999</v>
      </c>
      <c r="P86" s="55">
        <f>_xll.EQNXTDZ($A$1,$B86,P$1,$B$1)</f>
        <v>0</v>
      </c>
      <c r="Q86" s="55">
        <f>_xll.EQNXTDZ($A$1,$B86,Q$1,$B$1)</f>
        <v>11.780099999999999</v>
      </c>
      <c r="R86" s="55">
        <f>_xll.EQNXTDZ($A$1,$B86,R$1,$B$1)</f>
        <v>11.780099999999999</v>
      </c>
      <c r="S86" s="55">
        <f>_xll.EQNXTDZ($A$1,$B86,S$1,$B$1)</f>
        <v>11.78</v>
      </c>
      <c r="T86" s="55">
        <f>_xll.EQNXTDZ($A$1,$B86,T$1,$B$1)</f>
        <v>11.78</v>
      </c>
      <c r="U86" s="55">
        <f>_xll.EQNXTDZ($A$1,$B86,U$1,$B$1)</f>
        <v>11.78</v>
      </c>
      <c r="V86" s="55">
        <f>_xll.EQNXTDZ($A$1,$B86,V$1,$B$1)</f>
        <v>11.78</v>
      </c>
      <c r="W86" s="55">
        <f>_xll.EQNXTDZ($A$1,$B86,W$1,$B$1)</f>
        <v>11.78</v>
      </c>
      <c r="X86" s="55">
        <f>_xll.EQNXTDZ($A$1,$B86,X$1,$B$1)</f>
        <v>11.78</v>
      </c>
      <c r="Y86" s="55">
        <f>_xll.EQNXTDZ($A$1,$B86,Y$1,$B$1)</f>
        <v>11.78</v>
      </c>
      <c r="Z86" s="55">
        <f>_xll.EQNXTDZ($A$1,$B86,Z$1,$B$1)</f>
        <v>11.78</v>
      </c>
      <c r="AA86" s="55">
        <f>_xll.EQNXTDZ($A$1,$B86,AA$1,$B$1)</f>
        <v>11.78</v>
      </c>
      <c r="AB86" s="55">
        <f>_xll.EQNXTDZ($A$1,$B86,AB$1,$B$1)</f>
        <v>11.78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49.997</v>
      </c>
      <c r="N88" s="55">
        <f>_xll.EQNXTDZ($A$1,$B88,N$1,$B$1)</f>
        <v>52.498899999999999</v>
      </c>
      <c r="O88" s="55">
        <f>_xll.EQNXTDZ($A$1,$B88,O$1,$B$1)</f>
        <v>62.360500000000002</v>
      </c>
      <c r="P88" s="55">
        <f>_xll.EQNXTDZ($A$1,$B88,P$1,$B$1)</f>
        <v>32.713999999999999</v>
      </c>
      <c r="Q88" s="55">
        <f>_xll.EQNXTDZ($A$1,$B88,Q$1,$B$1)</f>
        <v>45.284100000000002</v>
      </c>
      <c r="R88" s="55">
        <f>_xll.EQNXTDZ($A$1,$B88,R$1,$B$1)</f>
        <v>47.1235</v>
      </c>
      <c r="S88" s="55">
        <f>_xll.EQNXTDZ($A$1,$B88,S$1,$B$1)</f>
        <v>53.88</v>
      </c>
      <c r="T88" s="55">
        <f>_xll.EQNXTDZ($A$1,$B88,T$1,$B$1)</f>
        <v>57.41</v>
      </c>
      <c r="U88" s="55">
        <f>_xll.EQNXTDZ($A$1,$B88,U$1,$B$1)</f>
        <v>45.45</v>
      </c>
      <c r="V88" s="55">
        <f>_xll.EQNXTDZ($A$1,$B88,V$1,$B$1)</f>
        <v>3.35</v>
      </c>
      <c r="W88" s="55">
        <f>_xll.EQNXTDZ($A$1,$B88,W$1,$B$1)</f>
        <v>4.03</v>
      </c>
      <c r="X88" s="55">
        <f>_xll.EQNXTDZ($A$1,$B88,X$1,$B$1)</f>
        <v>3.56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0.23</v>
      </c>
      <c r="W90" s="55">
        <f>_xll.EQNXTDZ($A$1,$B90,W$1,$B$1)</f>
        <v>0.26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11.780099999999999</v>
      </c>
      <c r="P91" s="55">
        <f>_xll.EQNXTDZ($A$1,$B91,P$1,$B$1)</f>
        <v>0</v>
      </c>
      <c r="Q91" s="55">
        <f>_xll.EQNXTDZ($A$1,$B91,Q$1,$B$1)</f>
        <v>11.780099999999999</v>
      </c>
      <c r="R91" s="55">
        <f>_xll.EQNXTDZ($A$1,$B91,R$1,$B$1)</f>
        <v>11.780099999999999</v>
      </c>
      <c r="S91" s="55">
        <f>_xll.EQNXTDZ($A$1,$B91,S$1,$B$1)</f>
        <v>11.78</v>
      </c>
      <c r="T91" s="55">
        <f>_xll.EQNXTDZ($A$1,$B91,T$1,$B$1)</f>
        <v>11.78</v>
      </c>
      <c r="U91" s="55">
        <f>_xll.EQNXTDZ($A$1,$B91,U$1,$B$1)</f>
        <v>11.78</v>
      </c>
      <c r="V91" s="55">
        <f>_xll.EQNXTDZ($A$1,$B91,V$1,$B$1)</f>
        <v>11.78</v>
      </c>
      <c r="W91" s="55">
        <f>_xll.EQNXTDZ($A$1,$B91,W$1,$B$1)</f>
        <v>11.78</v>
      </c>
      <c r="X91" s="55">
        <f>_xll.EQNXTDZ($A$1,$B91,X$1,$B$1)</f>
        <v>11.78</v>
      </c>
      <c r="Y91" s="55">
        <f>_xll.EQNXTDZ($A$1,$B91,Y$1,$B$1)</f>
        <v>11.78</v>
      </c>
      <c r="Z91" s="55">
        <f>_xll.EQNXTDZ($A$1,$B91,Z$1,$B$1)</f>
        <v>11.78</v>
      </c>
      <c r="AA91" s="55">
        <f>_xll.EQNXTDZ($A$1,$B91,AA$1,$B$1)</f>
        <v>11.78</v>
      </c>
      <c r="AB91" s="55">
        <f>_xll.EQNXTDZ($A$1,$B91,AB$1,$B$1)</f>
        <v>11.78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17.8048</v>
      </c>
      <c r="N93" s="55">
        <f>_xll.EQNXTDZ($A$1,$B93,N$1,$B$1)</f>
        <v>14.575200000000001</v>
      </c>
      <c r="O93" s="55">
        <f>_xll.EQNXTDZ($A$1,$B93,O$1,$B$1)</f>
        <v>15.3886</v>
      </c>
      <c r="P93" s="55">
        <f>_xll.EQNXTDZ($A$1,$B93,P$1,$B$1)</f>
        <v>53.783900000000003</v>
      </c>
      <c r="Q93" s="55">
        <f>_xll.EQNXTDZ($A$1,$B93,Q$1,$B$1)</f>
        <v>59.189700000000002</v>
      </c>
      <c r="R93" s="55">
        <f>_xll.EQNXTDZ($A$1,$B93,R$1,$B$1)</f>
        <v>60.453299999999999</v>
      </c>
      <c r="S93" s="55">
        <f>_xll.EQNXTDZ($A$1,$B93,S$1,$B$1)</f>
        <v>52.84</v>
      </c>
      <c r="T93" s="55">
        <f>_xll.EQNXTDZ($A$1,$B93,T$1,$B$1)</f>
        <v>47.64</v>
      </c>
      <c r="U93" s="55">
        <f>_xll.EQNXTDZ($A$1,$B93,U$1,$B$1)</f>
        <v>50.76</v>
      </c>
      <c r="V93" s="55">
        <f>_xll.EQNXTDZ($A$1,$B93,V$1,$B$1)</f>
        <v>51.22</v>
      </c>
      <c r="W93" s="55">
        <f>_xll.EQNXTDZ($A$1,$B93,W$1,$B$1)</f>
        <v>53.63</v>
      </c>
      <c r="X93" s="55">
        <f>_xll.EQNXTDZ($A$1,$B93,X$1,$B$1)</f>
        <v>73.89</v>
      </c>
      <c r="Y93" s="55">
        <f>_xll.EQNXTDZ($A$1,$B93,Y$1,$B$1)</f>
        <v>76.23</v>
      </c>
      <c r="Z93" s="55">
        <f>_xll.EQNXTDZ($A$1,$B93,Z$1,$B$1)</f>
        <v>82.89</v>
      </c>
      <c r="AA93" s="55">
        <f>_xll.EQNXTDZ($A$1,$B93,AA$1,$B$1)</f>
        <v>87.48</v>
      </c>
      <c r="AB93" s="55">
        <f>_xll.EQNXTDZ($A$1,$B93,AB$1,$B$1)</f>
        <v>63.39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1.4500000000000001E-2</v>
      </c>
      <c r="D95" s="55">
        <f>_xll.EQNXTDZ($A$1,$B95,D$1,$B$1)</f>
        <v>1.4500000000000001E-2</v>
      </c>
      <c r="E95" s="55">
        <f>_xll.EQNXTDZ($A$1,$B95,E$1,$B$1)</f>
        <v>1.4500000000000001E-2</v>
      </c>
      <c r="F95" s="55">
        <f>_xll.EQNXTDZ($A$1,$B95,F$1,$B$1)</f>
        <v>0.96279999999999999</v>
      </c>
      <c r="G95" s="55">
        <f>_xll.EQNXTDZ($A$1,$B95,G$1,$B$1)</f>
        <v>0.23519999999999999</v>
      </c>
      <c r="H95" s="55">
        <f>_xll.EQNXTDZ($A$1,$B95,H$1,$B$1)</f>
        <v>0.3448</v>
      </c>
      <c r="I95" s="55">
        <f>_xll.EQNXTDZ($A$1,$B95,I$1,$B$1)</f>
        <v>9.0499999999999997E-2</v>
      </c>
      <c r="J95" s="55">
        <f>_xll.EQNXTDZ($A$1,$B95,J$1,$B$1)</f>
        <v>0.42270000000000002</v>
      </c>
      <c r="K95" s="55">
        <f>_xll.EQNXTDZ($A$1,$B95,K$1,$B$1)</f>
        <v>0.4577</v>
      </c>
      <c r="L95" s="55">
        <f>_xll.EQNXTDZ($A$1,$B95,L$1,$B$1)</f>
        <v>0.37359999999999999</v>
      </c>
      <c r="M95" s="55">
        <f>_xll.EQNXTDZ($A$1,$B95,M$1,$B$1)</f>
        <v>0.12429999999999999</v>
      </c>
      <c r="N95" s="55">
        <f>_xll.EQNXTDZ($A$1,$B95,N$1,$B$1)</f>
        <v>0.1125</v>
      </c>
      <c r="O95" s="55">
        <f>_xll.EQNXTDZ($A$1,$B95,O$1,$B$1)</f>
        <v>9.5000000000000001E-2</v>
      </c>
      <c r="P95" s="55">
        <f>_xll.EQNXTDZ($A$1,$B95,P$1,$B$1)</f>
        <v>0.09</v>
      </c>
      <c r="Q95" s="55">
        <f>_xll.EQNXTDZ($A$1,$B95,Q$1,$B$1)</f>
        <v>0.19500000000000001</v>
      </c>
      <c r="R95" s="55">
        <f>_xll.EQNXTDZ($A$1,$B95,R$1,$B$1)</f>
        <v>0.09</v>
      </c>
      <c r="S95" s="55">
        <f>_xll.EQNXTDZ($A$1,$B95,S$1,$B$1)</f>
        <v>7.0000000000000007E-2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11.25</v>
      </c>
      <c r="D104" s="55">
        <f>_xll.EQNXTDZ($A$1,$B104,D$1,$B$1)</f>
        <v>11.25</v>
      </c>
      <c r="E104" s="55">
        <f>_xll.EQNXTDZ($A$1,$B104,E$1,$B$1)</f>
        <v>11.25</v>
      </c>
      <c r="F104" s="55">
        <f>_xll.EQNXTDZ($A$1,$B104,F$1,$B$1)</f>
        <v>11.25</v>
      </c>
      <c r="G104" s="55">
        <f>_xll.EQNXTDZ($A$1,$B104,G$1,$B$1)</f>
        <v>11.25</v>
      </c>
      <c r="H104" s="55">
        <f>_xll.EQNXTDZ($A$1,$B104,H$1,$B$1)</f>
        <v>11.25</v>
      </c>
      <c r="I104" s="55">
        <f>_xll.EQNXTDZ($A$1,$B104,I$1,$B$1)</f>
        <v>11.25</v>
      </c>
      <c r="J104" s="55">
        <f>_xll.EQNXTDZ($A$1,$B104,J$1,$B$1)</f>
        <v>11.25</v>
      </c>
      <c r="K104" s="55">
        <f>_xll.EQNXTDZ($A$1,$B104,K$1,$B$1)</f>
        <v>11.25</v>
      </c>
      <c r="L104" s="55">
        <f>_xll.EQNXTDZ($A$1,$B104,L$1,$B$1)</f>
        <v>11.25</v>
      </c>
      <c r="M104" s="55">
        <f>_xll.EQNXTDZ($A$1,$B104,M$1,$B$1)</f>
        <v>11.25</v>
      </c>
      <c r="N104" s="55">
        <f>_xll.EQNXTDZ($A$1,$B104,N$1,$B$1)</f>
        <v>11.25</v>
      </c>
      <c r="O104" s="55">
        <f>_xll.EQNXTDZ($A$1,$B104,O$1,$B$1)</f>
        <v>11.25</v>
      </c>
      <c r="P104" s="55">
        <f>_xll.EQNXTDZ($A$1,$B104,P$1,$B$1)</f>
        <v>12.6136</v>
      </c>
      <c r="Q104" s="55">
        <f>_xll.EQNXTDZ($A$1,$B104,Q$1,$B$1)</f>
        <v>12.6136</v>
      </c>
      <c r="R104" s="55">
        <f>_xll.EQNXTDZ($A$1,$B104,R$1,$B$1)</f>
        <v>12.6136</v>
      </c>
      <c r="S104" s="55">
        <f>_xll.EQNXTDZ($A$1,$B104,S$1,$B$1)</f>
        <v>12.61</v>
      </c>
      <c r="T104" s="55">
        <f>_xll.EQNXTDZ($A$1,$B104,T$1,$B$1)</f>
        <v>12.61</v>
      </c>
      <c r="U104" s="55">
        <f>_xll.EQNXTDZ($A$1,$B104,U$1,$B$1)</f>
        <v>12.61</v>
      </c>
      <c r="V104" s="55">
        <f>_xll.EQNXTDZ($A$1,$B104,V$1,$B$1)</f>
        <v>12.04</v>
      </c>
      <c r="W104" s="55">
        <f>_xll.EQNXTDZ($A$1,$B104,W$1,$B$1)</f>
        <v>12.04</v>
      </c>
      <c r="X104" s="55">
        <f>_xll.EQNXTDZ($A$1,$B104,X$1,$B$1)</f>
        <v>12.04</v>
      </c>
      <c r="Y104" s="55">
        <f>_xll.EQNXTDZ($A$1,$B104,Y$1,$B$1)</f>
        <v>12.04</v>
      </c>
      <c r="Z104" s="55">
        <f>_xll.EQNXTDZ($A$1,$B104,Z$1,$B$1)</f>
        <v>12.04</v>
      </c>
      <c r="AA104" s="55">
        <f>_xll.EQNXTDZ($A$1,$B104,AA$1,$B$1)</f>
        <v>12.04</v>
      </c>
      <c r="AB104" s="55">
        <f>_xll.EQNXTDZ($A$1,$B104,AB$1,$B$1)</f>
        <v>12.04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4.05</v>
      </c>
      <c r="D106" s="55">
        <f>_xll.EQNXTDZ($A$1,$B106,D$1,$B$1)</f>
        <v>3.75</v>
      </c>
      <c r="E106" s="55">
        <f>_xll.EQNXTDZ($A$1,$B106,E$1,$B$1)</f>
        <v>6</v>
      </c>
      <c r="F106" s="55">
        <f>_xll.EQNXTDZ($A$1,$B106,F$1,$B$1)</f>
        <v>12.62</v>
      </c>
      <c r="G106" s="55">
        <f>_xll.EQNXTDZ($A$1,$B106,G$1,$B$1)</f>
        <v>14.21</v>
      </c>
      <c r="H106" s="55">
        <f>_xll.EQNXTDZ($A$1,$B106,H$1,$B$1)</f>
        <v>25.09</v>
      </c>
      <c r="I106" s="55">
        <f>_xll.EQNXTDZ($A$1,$B106,I$1,$B$1)</f>
        <v>23.68</v>
      </c>
      <c r="J106" s="55">
        <f>_xll.EQNXTDZ($A$1,$B106,J$1,$B$1)</f>
        <v>35.6</v>
      </c>
      <c r="K106" s="55">
        <f>_xll.EQNXTDZ($A$1,$B106,K$1,$B$1)</f>
        <v>15.2</v>
      </c>
      <c r="L106" s="55">
        <f>_xll.EQNXTDZ($A$1,$B106,L$1,$B$1)</f>
        <v>36.729999999999997</v>
      </c>
      <c r="M106" s="55">
        <f>_xll.EQNXTDZ($A$1,$B106,M$1,$B$1)</f>
        <v>49.21</v>
      </c>
      <c r="N106" s="55">
        <f>_xll.EQNXTDZ($A$1,$B106,N$1,$B$1)</f>
        <v>37.659999999999997</v>
      </c>
      <c r="O106" s="55">
        <f>_xll.EQNXTDZ($A$1,$B106,O$1,$B$1)</f>
        <v>43.73</v>
      </c>
      <c r="P106" s="55">
        <f>_xll.EQNXTDZ($A$1,$B106,P$1,$B$1)</f>
        <v>36.4</v>
      </c>
      <c r="Q106" s="55">
        <f>_xll.EQNXTDZ($A$1,$B106,Q$1,$B$1)</f>
        <v>37.08</v>
      </c>
      <c r="R106" s="55">
        <f>_xll.EQNXTDZ($A$1,$B106,R$1,$B$1)</f>
        <v>46.7</v>
      </c>
      <c r="S106" s="55">
        <f>_xll.EQNXTDZ($A$1,$B106,S$1,$B$1)</f>
        <v>156.56</v>
      </c>
      <c r="T106" s="55">
        <f>_xll.EQNXTDZ($A$1,$B106,T$1,$B$1)</f>
        <v>173.96</v>
      </c>
      <c r="U106" s="55">
        <f>_xll.EQNXTDZ($A$1,$B106,U$1,$B$1)</f>
        <v>186.4</v>
      </c>
      <c r="V106" s="55">
        <f>_xll.EQNXTDZ($A$1,$B106,V$1,$B$1)</f>
        <v>103.95</v>
      </c>
      <c r="W106" s="55">
        <f>_xll.EQNXTDZ($A$1,$B106,W$1,$B$1)</f>
        <v>161.25</v>
      </c>
      <c r="X106" s="55">
        <f>_xll.EQNXTDZ($A$1,$B106,X$1,$B$1)</f>
        <v>174.9</v>
      </c>
      <c r="Y106" s="55">
        <f>_xll.EQNXTDZ($A$1,$B106,Y$1,$B$1)</f>
        <v>236.2</v>
      </c>
      <c r="Z106" s="55">
        <f>_xll.EQNXTDZ($A$1,$B106,Z$1,$B$1)</f>
        <v>294.5</v>
      </c>
      <c r="AA106" s="55">
        <f>_xll.EQNXTDZ($A$1,$B106,AA$1,$B$1)</f>
        <v>260.25</v>
      </c>
      <c r="AB106" s="55">
        <f>_xll.EQNXTDZ($A$1,$B106,AB$1,$B$1)</f>
        <v>245.5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5.5</v>
      </c>
      <c r="D107" s="55">
        <f>_xll.EQNXTDZ($A$1,$B107,D$1,$B$1)</f>
        <v>4.9400000000000004</v>
      </c>
      <c r="E107" s="55">
        <f>_xll.EQNXTDZ($A$1,$B107,E$1,$B$1)</f>
        <v>10.72</v>
      </c>
      <c r="F107" s="55">
        <f>_xll.EQNXTDZ($A$1,$B107,F$1,$B$1)</f>
        <v>25.2</v>
      </c>
      <c r="G107" s="55">
        <f>_xll.EQNXTDZ($A$1,$B107,G$1,$B$1)</f>
        <v>20.190000000000001</v>
      </c>
      <c r="H107" s="55">
        <f>_xll.EQNXTDZ($A$1,$B107,H$1,$B$1)</f>
        <v>33.18</v>
      </c>
      <c r="I107" s="55">
        <f>_xll.EQNXTDZ($A$1,$B107,I$1,$B$1)</f>
        <v>33.799999999999997</v>
      </c>
      <c r="J107" s="55">
        <f>_xll.EQNXTDZ($A$1,$B107,J$1,$B$1)</f>
        <v>56.99</v>
      </c>
      <c r="K107" s="55">
        <f>_xll.EQNXTDZ($A$1,$B107,K$1,$B$1)</f>
        <v>41.6</v>
      </c>
      <c r="L107" s="55">
        <f>_xll.EQNXTDZ($A$1,$B107,L$1,$B$1)</f>
        <v>39.4</v>
      </c>
      <c r="M107" s="55">
        <f>_xll.EQNXTDZ($A$1,$B107,M$1,$B$1)</f>
        <v>57.8</v>
      </c>
      <c r="N107" s="55">
        <f>_xll.EQNXTDZ($A$1,$B107,N$1,$B$1)</f>
        <v>54.4</v>
      </c>
      <c r="O107" s="55">
        <f>_xll.EQNXTDZ($A$1,$B107,O$1,$B$1)</f>
        <v>58.2</v>
      </c>
      <c r="P107" s="55">
        <f>_xll.EQNXTDZ($A$1,$B107,P$1,$B$1)</f>
        <v>49</v>
      </c>
      <c r="Q107" s="55">
        <f>_xll.EQNXTDZ($A$1,$B107,Q$1,$B$1)</f>
        <v>57.6</v>
      </c>
      <c r="R107" s="55">
        <f>_xll.EQNXTDZ($A$1,$B107,R$1,$B$1)</f>
        <v>56.4</v>
      </c>
      <c r="S107" s="55">
        <f>_xll.EQNXTDZ($A$1,$B107,S$1,$B$1)</f>
        <v>176</v>
      </c>
      <c r="T107" s="55">
        <f>_xll.EQNXTDZ($A$1,$B107,T$1,$B$1)</f>
        <v>245</v>
      </c>
      <c r="U107" s="55">
        <f>_xll.EQNXTDZ($A$1,$B107,U$1,$B$1)</f>
        <v>265.60000000000002</v>
      </c>
      <c r="V107" s="55">
        <f>_xll.EQNXTDZ($A$1,$B107,V$1,$B$1)</f>
        <v>225.7</v>
      </c>
      <c r="W107" s="55">
        <f>_xll.EQNXTDZ($A$1,$B107,W$1,$B$1)</f>
        <v>183.7</v>
      </c>
      <c r="X107" s="55">
        <f>_xll.EQNXTDZ($A$1,$B107,X$1,$B$1)</f>
        <v>230</v>
      </c>
      <c r="Y107" s="55">
        <f>_xll.EQNXTDZ($A$1,$B107,Y$1,$B$1)</f>
        <v>349</v>
      </c>
      <c r="Z107" s="55">
        <f>_xll.EQNXTDZ($A$1,$B107,Z$1,$B$1)</f>
        <v>421.75</v>
      </c>
      <c r="AA107" s="55">
        <f>_xll.EQNXTDZ($A$1,$B107,AA$1,$B$1)</f>
        <v>373.5</v>
      </c>
      <c r="AB107" s="55">
        <f>_xll.EQNXTDZ($A$1,$B107,AB$1,$B$1)</f>
        <v>323.8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3.51</v>
      </c>
      <c r="D108" s="55">
        <f>_xll.EQNXTDZ($A$1,$B108,D$1,$B$1)</f>
        <v>2.69</v>
      </c>
      <c r="E108" s="55">
        <f>_xll.EQNXTDZ($A$1,$B108,E$1,$B$1)</f>
        <v>3.21</v>
      </c>
      <c r="F108" s="55">
        <f>_xll.EQNXTDZ($A$1,$B108,F$1,$B$1)</f>
        <v>5.72</v>
      </c>
      <c r="G108" s="55">
        <f>_xll.EQNXTDZ($A$1,$B108,G$1,$B$1)</f>
        <v>11.52</v>
      </c>
      <c r="H108" s="55">
        <f>_xll.EQNXTDZ($A$1,$B108,H$1,$B$1)</f>
        <v>14.2</v>
      </c>
      <c r="I108" s="55">
        <f>_xll.EQNXTDZ($A$1,$B108,I$1,$B$1)</f>
        <v>16.11</v>
      </c>
      <c r="J108" s="55">
        <f>_xll.EQNXTDZ($A$1,$B108,J$1,$B$1)</f>
        <v>23.02</v>
      </c>
      <c r="K108" s="55">
        <f>_xll.EQNXTDZ($A$1,$B108,K$1,$B$1)</f>
        <v>10.82</v>
      </c>
      <c r="L108" s="55">
        <f>_xll.EQNXTDZ($A$1,$B108,L$1,$B$1)</f>
        <v>12.4</v>
      </c>
      <c r="M108" s="55">
        <f>_xll.EQNXTDZ($A$1,$B108,M$1,$B$1)</f>
        <v>36.229999999999997</v>
      </c>
      <c r="N108" s="55">
        <f>_xll.EQNXTDZ($A$1,$B108,N$1,$B$1)</f>
        <v>31.4</v>
      </c>
      <c r="O108" s="55">
        <f>_xll.EQNXTDZ($A$1,$B108,O$1,$B$1)</f>
        <v>36.21</v>
      </c>
      <c r="P108" s="55">
        <f>_xll.EQNXTDZ($A$1,$B108,P$1,$B$1)</f>
        <v>33.200000000000003</v>
      </c>
      <c r="Q108" s="55">
        <f>_xll.EQNXTDZ($A$1,$B108,Q$1,$B$1)</f>
        <v>34.92</v>
      </c>
      <c r="R108" s="55">
        <f>_xll.EQNXTDZ($A$1,$B108,R$1,$B$1)</f>
        <v>35.92</v>
      </c>
      <c r="S108" s="55">
        <f>_xll.EQNXTDZ($A$1,$B108,S$1,$B$1)</f>
        <v>45.6</v>
      </c>
      <c r="T108" s="55">
        <f>_xll.EQNXTDZ($A$1,$B108,T$1,$B$1)</f>
        <v>130</v>
      </c>
      <c r="U108" s="55">
        <f>_xll.EQNXTDZ($A$1,$B108,U$1,$B$1)</f>
        <v>160.01</v>
      </c>
      <c r="V108" s="55">
        <f>_xll.EQNXTDZ($A$1,$B108,V$1,$B$1)</f>
        <v>82.05</v>
      </c>
      <c r="W108" s="55">
        <f>_xll.EQNXTDZ($A$1,$B108,W$1,$B$1)</f>
        <v>102.85</v>
      </c>
      <c r="X108" s="55">
        <f>_xll.EQNXTDZ($A$1,$B108,X$1,$B$1)</f>
        <v>133.94999999999999</v>
      </c>
      <c r="Y108" s="55">
        <f>_xll.EQNXTDZ($A$1,$B108,Y$1,$B$1)</f>
        <v>160</v>
      </c>
      <c r="Z108" s="55">
        <f>_xll.EQNXTDZ($A$1,$B108,Z$1,$B$1)</f>
        <v>236.95</v>
      </c>
      <c r="AA108" s="55">
        <f>_xll.EQNXTDZ($A$1,$B108,AA$1,$B$1)</f>
        <v>251.05</v>
      </c>
      <c r="AB108" s="55">
        <f>_xll.EQNXTDZ($A$1,$B108,AB$1,$B$1)</f>
        <v>213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22.78125</v>
      </c>
      <c r="D109" s="55">
        <f>_xll.EQNXTDZ($A$1,$B109,D$1,$B$1)</f>
        <v>21.09375</v>
      </c>
      <c r="E109" s="55">
        <f>_xll.EQNXTDZ($A$1,$B109,E$1,$B$1)</f>
        <v>33.75</v>
      </c>
      <c r="F109" s="55">
        <f>_xll.EQNXTDZ($A$1,$B109,F$1,$B$1)</f>
        <v>70.987499999999997</v>
      </c>
      <c r="G109" s="55">
        <f>_xll.EQNXTDZ($A$1,$B109,G$1,$B$1)</f>
        <v>79.931250000000006</v>
      </c>
      <c r="H109" s="55">
        <f>_xll.EQNXTDZ($A$1,$B109,H$1,$B$1)</f>
        <v>141.13124999999999</v>
      </c>
      <c r="I109" s="55">
        <f>_xll.EQNXTDZ($A$1,$B109,I$1,$B$1)</f>
        <v>133.19999999999999</v>
      </c>
      <c r="J109" s="55">
        <f>_xll.EQNXTDZ($A$1,$B109,J$1,$B$1)</f>
        <v>200.25</v>
      </c>
      <c r="K109" s="55">
        <f>_xll.EQNXTDZ($A$1,$B109,K$1,$B$1)</f>
        <v>85.5</v>
      </c>
      <c r="L109" s="55">
        <f>_xll.EQNXTDZ($A$1,$B109,L$1,$B$1)</f>
        <v>206.60624999999999</v>
      </c>
      <c r="M109" s="55">
        <f>_xll.EQNXTDZ($A$1,$B109,M$1,$B$1)</f>
        <v>276.80624999999998</v>
      </c>
      <c r="N109" s="55">
        <f>_xll.EQNXTDZ($A$1,$B109,N$1,$B$1)</f>
        <v>211.83750000000001</v>
      </c>
      <c r="O109" s="55">
        <f>_xll.EQNXTDZ($A$1,$B109,O$1,$B$1)</f>
        <v>245.98124999999999</v>
      </c>
      <c r="P109" s="55">
        <f>_xll.EQNXTDZ($A$1,$B109,P$1,$B$1)</f>
        <v>229.56752</v>
      </c>
      <c r="Q109" s="55">
        <f>_xll.EQNXTDZ($A$1,$B109,Q$1,$B$1)</f>
        <v>233.856144</v>
      </c>
      <c r="R109" s="55">
        <f>_xll.EQNXTDZ($A$1,$B109,R$1,$B$1)</f>
        <v>294.52755999999999</v>
      </c>
      <c r="S109" s="55">
        <f>_xll.EQNXTDZ($A$1,$B109,S$1,$B$1)</f>
        <v>987.11080000000004</v>
      </c>
      <c r="T109" s="55">
        <f>_xll.EQNXTDZ($A$1,$B109,T$1,$B$1)</f>
        <v>1096.8178</v>
      </c>
      <c r="U109" s="55">
        <f>_xll.EQNXTDZ($A$1,$B109,U$1,$B$1)</f>
        <v>1175.252</v>
      </c>
      <c r="V109" s="55">
        <f>_xll.EQNXTDZ($A$1,$B109,V$1,$B$1)</f>
        <v>625.779</v>
      </c>
      <c r="W109" s="55">
        <f>_xll.EQNXTDZ($A$1,$B109,W$1,$B$1)</f>
        <v>970.72500000000002</v>
      </c>
      <c r="X109" s="55">
        <f>_xll.EQNXTDZ($A$1,$B109,X$1,$B$1)</f>
        <v>1052.8979999999999</v>
      </c>
      <c r="Y109" s="55">
        <f>_xll.EQNXTDZ($A$1,$B109,Y$1,$B$1)</f>
        <v>1421.924</v>
      </c>
      <c r="Z109" s="55">
        <f>_xll.EQNXTDZ($A$1,$B109,Z$1,$B$1)</f>
        <v>1772.89</v>
      </c>
      <c r="AA109" s="55">
        <f>_xll.EQNXTDZ($A$1,$B109,AA$1,$B$1)</f>
        <v>1566.7049999999999</v>
      </c>
      <c r="AB109" s="55">
        <f>_xll.EQNXTDZ($A$1,$B109,AB$1,$B$1)</f>
        <v>1477.91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0.24</v>
      </c>
      <c r="D110" s="55">
        <f>_xll.EQNXTDZ($A$1,$B110,D$1,$B$1)</f>
        <v>0.24</v>
      </c>
      <c r="E110" s="55">
        <f>_xll.EQNXTDZ($A$1,$B110,E$1,$B$1)</f>
        <v>0.36</v>
      </c>
      <c r="F110" s="55">
        <f>_xll.EQNXTDZ($A$1,$B110,F$1,$B$1)</f>
        <v>0.36</v>
      </c>
      <c r="G110" s="55">
        <f>_xll.EQNXTDZ($A$1,$B110,G$1,$B$1)</f>
        <v>0.36</v>
      </c>
      <c r="H110" s="55">
        <f>_xll.EQNXTDZ($A$1,$B110,H$1,$B$1)</f>
        <v>0.5</v>
      </c>
      <c r="I110" s="55">
        <f>_xll.EQNXTDZ($A$1,$B110,I$1,$B$1)</f>
        <v>0.7</v>
      </c>
      <c r="J110" s="55">
        <f>_xll.EQNXTDZ($A$1,$B110,J$1,$B$1)</f>
        <v>0.8</v>
      </c>
      <c r="K110" s="55">
        <f>_xll.EQNXTDZ($A$1,$B110,K$1,$B$1)</f>
        <v>0.7</v>
      </c>
      <c r="L110" s="55">
        <f>_xll.EQNXTDZ($A$1,$B110,L$1,$B$1)</f>
        <v>1.2</v>
      </c>
      <c r="M110" s="55">
        <f>_xll.EQNXTDZ($A$1,$B110,M$1,$B$1)</f>
        <v>1</v>
      </c>
      <c r="N110" s="55">
        <f>_xll.EQNXTDZ($A$1,$B110,N$1,$B$1)</f>
        <v>1</v>
      </c>
      <c r="O110" s="55">
        <f>_xll.EQNXTDZ($A$1,$B110,O$1,$B$1)</f>
        <v>0.8</v>
      </c>
      <c r="P110" s="55">
        <f>_xll.EQNXTDZ($A$1,$B110,P$1,$B$1)</f>
        <v>0.8</v>
      </c>
      <c r="Q110" s="55">
        <f>_xll.EQNXTDZ($A$1,$B110,Q$1,$B$1)</f>
        <v>0.8</v>
      </c>
      <c r="R110" s="55">
        <f>_xll.EQNXTDZ($A$1,$B110,R$1,$B$1)</f>
        <v>1</v>
      </c>
      <c r="S110" s="55">
        <f>_xll.EQNXTDZ($A$1,$B110,S$1,$B$1)</f>
        <v>2</v>
      </c>
      <c r="T110" s="55">
        <f>_xll.EQNXTDZ($A$1,$B110,T$1,$B$1)</f>
        <v>3</v>
      </c>
      <c r="U110" s="55">
        <f>_xll.EQNXTDZ($A$1,$B110,U$1,$B$1)</f>
        <v>4</v>
      </c>
      <c r="V110" s="55">
        <f>_xll.EQNXTDZ($A$1,$B110,V$1,$B$1)</f>
        <v>4</v>
      </c>
      <c r="W110" s="55">
        <f>_xll.EQNXTDZ($A$1,$B110,W$1,$B$1)</f>
        <v>2.5</v>
      </c>
      <c r="X110" s="55">
        <f>_xll.EQNXTDZ($A$1,$B110,X$1,$B$1)</f>
        <v>2.5</v>
      </c>
      <c r="Y110" s="55">
        <f>_xll.EQNXTDZ($A$1,$B110,Y$1,$B$1)</f>
        <v>6</v>
      </c>
      <c r="Z110" s="55">
        <f>_xll.EQNXTDZ($A$1,$B110,Z$1,$B$1)</f>
        <v>5</v>
      </c>
      <c r="AA110" s="55">
        <f>_xll.EQNXTDZ($A$1,$B110,AA$1,$B$1)</f>
        <v>2.5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33.69</v>
      </c>
      <c r="D112" s="56">
        <f>_xll.EQNXTDZ($A$1,$B112,D$5)</f>
        <v>36.08</v>
      </c>
      <c r="E112" s="56">
        <f>_xll.EQNXTDZ($A$1,$B112,E$5)</f>
        <v>36.659999999999997</v>
      </c>
      <c r="F112" s="56">
        <f>_xll.EQNXTDZ($A$1,$B112,F$5)</f>
        <v>35.72</v>
      </c>
      <c r="G112" s="56">
        <f>_xll.EQNXTDZ($A$1,$B112,G$5)</f>
        <v>43.31</v>
      </c>
      <c r="H112" s="56">
        <f>_xll.EQNXTDZ($A$1,$B112,H$5)</f>
        <v>43.21</v>
      </c>
      <c r="I112" s="56">
        <f>_xll.EQNXTDZ($A$1,$B112,I$5)</f>
        <v>43.15</v>
      </c>
      <c r="J112" s="56">
        <f>_xll.EQNXTDZ($A$1,$B112,J$5)</f>
        <v>43.04</v>
      </c>
      <c r="K112" s="56">
        <f>_xll.EQNXTDZ($A$1,$B112,K$5)</f>
        <v>42.75</v>
      </c>
      <c r="L112" s="56">
        <f>_xll.EQNXTDZ($A$1,$B112,L$5)</f>
        <v>42.76</v>
      </c>
      <c r="M112" s="56">
        <f>_xll.EQNXTDZ($A$1,$B112,M$5)</f>
        <v>42.75</v>
      </c>
      <c r="N112" s="56">
        <f>_xll.EQNXTDZ($A$1,$B112,N$5)</f>
        <v>42.11</v>
      </c>
      <c r="O112" s="56">
        <f>_xll.EQNXTDZ($A$1,$B112,O$5)</f>
        <v>42.4</v>
      </c>
      <c r="P112" s="56">
        <f>_xll.EQNXTDZ($A$1,$B112,P$5)</f>
        <v>43.26</v>
      </c>
      <c r="Q112" s="56">
        <f>_xll.EQNXTDZ($A$1,$B112,Q$5)</f>
        <v>43.42</v>
      </c>
      <c r="R112" s="56">
        <f>_xll.EQNXTDZ($A$1,$B112,R$5)</f>
        <v>43.45</v>
      </c>
      <c r="S112" s="56">
        <f>_xll.EQNXTDZ($A$1,$B112,S$5)</f>
        <v>42.65</v>
      </c>
      <c r="T112" s="56">
        <f>_xll.EQNXTDZ($A$1,$B112,T$5)</f>
        <v>42.65</v>
      </c>
      <c r="U112" s="56">
        <f>_xll.EQNXTDZ($A$1,$B112,U$5)</f>
        <v>42.65</v>
      </c>
      <c r="V112" s="56">
        <f>_xll.EQNXTDZ($A$1,$B112,V$5)</f>
        <v>42.65</v>
      </c>
      <c r="W112" s="56">
        <f>_xll.EQNXTDZ($A$1,$B112,W$5)</f>
        <v>42.65</v>
      </c>
      <c r="X112" s="56">
        <f>_xll.EQNXTDZ($A$1,$B112,X$5)</f>
        <v>42.8</v>
      </c>
      <c r="Y112" s="56">
        <f>_xll.EQNXTDZ($A$1,$B112,Y$5)</f>
        <v>42.78</v>
      </c>
      <c r="Z112" s="56">
        <f>_xll.EQNXTDZ($A$1,$B112,Z$5)</f>
        <v>42.78</v>
      </c>
      <c r="AA112" s="56">
        <f>_xll.EQNXTDZ($A$1,$B112,AA$5)</f>
        <v>42.9</v>
      </c>
      <c r="AB112" s="56">
        <f>_xll.EQNXTDZ($A$1,$B112,AB$5)</f>
        <v>43.11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102450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37.799999999999997</v>
      </c>
      <c r="D6" cm="1">
        <f t="array" ref="D6">_xll.EQNXTDZ($A$1,$B6,D$1)</f>
        <v>39.4</v>
      </c>
      <c r="E6" cm="1">
        <f t="array" ref="E6">_xll.EQNXTDZ($A$1,$B6,E$1)</f>
        <v>38.6</v>
      </c>
      <c r="F6" cm="1">
        <f t="array" ref="F6">_xll.EQNXTDZ($A$1,$B6,F$1)</f>
        <v>38.020000000000003</v>
      </c>
      <c r="G6" cm="1">
        <f t="array" ref="G6">_xll.EQNXTDZ($A$1,$B6,G$1)</f>
        <v>42.89</v>
      </c>
      <c r="H6" cm="1">
        <f t="array" ref="H6">_xll.EQNXTDZ($A$1,$B6,H$1)</f>
        <v>44.22</v>
      </c>
      <c r="I6" cm="1">
        <f t="array" ref="I6">_xll.EQNXTDZ($A$1,$B6,I$1)</f>
        <v>54.02</v>
      </c>
      <c r="J6" cm="1">
        <f t="array" ref="J6">_xll.EQNXTDZ($A$1,$B6,J$1)</f>
        <v>51.39</v>
      </c>
      <c r="K6" cm="1">
        <f t="array" ref="K6">_xll.EQNXTDZ($A$1,$B6,K$1)</f>
        <v>46</v>
      </c>
      <c r="L6" cm="1">
        <f t="array" ref="L6">_xll.EQNXTDZ($A$1,$B6,L$1)</f>
        <v>44</v>
      </c>
      <c r="M6" cm="1">
        <f t="array" ref="M6">_xll.EQNXTDZ($A$1,$B6,M$1)</f>
        <v>44.8</v>
      </c>
      <c r="N6" cm="1">
        <f t="array" ref="N6">_xll.EQNXTDZ($A$1,$B6,N$1)</f>
        <v>44</v>
      </c>
      <c r="O6" cm="1">
        <f t="array" ref="O6">_xll.EQNXTDZ($A$1,$B6,O$1)</f>
        <v>42.61</v>
      </c>
      <c r="P6" cm="1">
        <f t="array" ref="P6">_xll.EQNXTDZ($A$1,$B6,P$1)</f>
        <v>42.99</v>
      </c>
      <c r="Q6" cm="1">
        <f t="array" ref="Q6">_xll.EQNXTDZ($A$1,$B6,Q$1)</f>
        <v>38.229999999999997</v>
      </c>
      <c r="R6" cm="1">
        <f t="array" ref="R6">_xll.EQNXTDZ($A$1,$B6,R$1)</f>
        <v>37</v>
      </c>
      <c r="S6" cm="1">
        <f t="array" ref="S6">_xll.EQNXTDZ($A$1,$B6,S$1)</f>
        <v>39.6</v>
      </c>
      <c r="T6" cm="1">
        <f t="array" ref="T6">_xll.EQNXTDZ($A$1,$B6,T$1)</f>
        <v>36</v>
      </c>
      <c r="U6" cm="1">
        <f t="array" ref="U6">_xll.EQNXTDZ($A$1,$B6,U$1)</f>
        <v>35.4</v>
      </c>
      <c r="V6" cm="1">
        <f t="array" ref="V6">_xll.EQNXTDZ($A$1,$B6,V$1)</f>
        <v>36.1</v>
      </c>
      <c r="W6" cm="1">
        <f t="array" ref="W6">_xll.EQNXTDZ($A$1,$B6,W$1)</f>
        <v>35.72</v>
      </c>
      <c r="X6" cm="1">
        <f t="array" ref="X6">_xll.EQNXTDZ($A$1,$B6,X$1)</f>
        <v>35.79</v>
      </c>
      <c r="Y6" cm="1">
        <f t="array" ref="Y6">_xll.EQNXTDZ($A$1,$B6,Y$1)</f>
        <v>35.799999999999997</v>
      </c>
      <c r="Z6" cm="1">
        <f t="array" ref="Z6">_xll.EQNXTDZ($A$1,$B6,Z$1)</f>
        <v>40</v>
      </c>
      <c r="AA6" cm="1">
        <f t="array" ref="AA6">_xll.EQNXTDZ($A$1,$B6,AA$1)</f>
        <v>43.66</v>
      </c>
      <c r="AB6" cm="1">
        <f t="array" ref="AB6">_xll.EQNXTDZ($A$1,$B6,AB$1)</f>
        <v>48.51</v>
      </c>
      <c r="AC6" cm="1">
        <f t="array" ref="AC6">_xll.EQNXTDZ($A$1,$B6,AC$1)</f>
        <v>43.21</v>
      </c>
      <c r="AD6" cm="1">
        <f t="array" ref="AD6">_xll.EQNXTDZ($A$1,$B6,AD$1)</f>
        <v>44</v>
      </c>
      <c r="AE6" cm="1">
        <f t="array" ref="AE6">_xll.EQNXTDZ($A$1,$B6,AE$1)</f>
        <v>46.07</v>
      </c>
      <c r="AF6" cm="1">
        <f t="array" ref="AF6">_xll.EQNXTDZ($A$1,$B6,AF$1)</f>
        <v>45</v>
      </c>
      <c r="AG6" cm="1">
        <f t="array" ref="AG6">_xll.EQNXTDZ($A$1,$B6,AG$1)</f>
        <v>50</v>
      </c>
      <c r="AH6" cm="1">
        <f t="array" ref="AH6">_xll.EQNXTDZ($A$1,$B6,AH$1)</f>
        <v>45.2</v>
      </c>
      <c r="AI6" cm="1">
        <f t="array" ref="AI6">_xll.EQNXTDZ($A$1,$B6,AI$1)</f>
        <v>48.98</v>
      </c>
      <c r="AJ6" cm="1">
        <f t="array" ref="AJ6">_xll.EQNXTDZ($A$1,$B6,AJ$1)</f>
        <v>42.4</v>
      </c>
      <c r="AK6" cm="1">
        <f t="array" ref="AK6">_xll.EQNXTDZ($A$1,$B6,AK$1)</f>
        <v>37.200000000000003</v>
      </c>
      <c r="AL6" cm="1">
        <f t="array" ref="AL6">_xll.EQNXTDZ($A$1,$B6,AL$1)</f>
        <v>38</v>
      </c>
      <c r="AM6" cm="1">
        <f t="array" ref="AM6">_xll.EQNXTDZ($A$1,$B6,AM$1)</f>
        <v>37.200000000000003</v>
      </c>
      <c r="AN6" cm="1">
        <f t="array" ref="AN6">_xll.EQNXTDZ($A$1,$B6,AN$1)</f>
        <v>40</v>
      </c>
      <c r="AO6" cm="1">
        <f t="array" ref="AO6">_xll.EQNXTDZ($A$1,$B6,AO$1)</f>
        <v>45.2</v>
      </c>
      <c r="AP6" cm="1">
        <f t="array" ref="AP6">_xll.EQNXTDZ($A$1,$B6,AP$1)</f>
        <v>40</v>
      </c>
      <c r="AQ6" cm="1">
        <f t="array" ref="AQ6">_xll.EQNXTDZ($A$1,$B6,AQ$1)</f>
        <v>44.84</v>
      </c>
      <c r="AR6" cm="1">
        <f t="array" ref="AR6">_xll.EQNXTDZ($A$1,$B6,AR$1)</f>
        <v>45.2</v>
      </c>
      <c r="AS6" cm="1">
        <f t="array" ref="AS6">_xll.EQNXTDZ($A$1,$B6,AS$1)</f>
        <v>46.4</v>
      </c>
      <c r="AT6" cm="1">
        <f t="array" ref="AT6">_xll.EQNXTDZ($A$1,$B6,AT$1)</f>
        <v>49.79</v>
      </c>
      <c r="AU6" cm="1">
        <f t="array" ref="AU6">_xll.EQNXTDZ($A$1,$B6,AU$1)</f>
        <v>42.65</v>
      </c>
      <c r="AV6" cm="1">
        <f t="array" ref="AV6">_xll.EQNXTDZ($A$1,$B6,AV$1)</f>
        <v>46.76</v>
      </c>
      <c r="AW6" cm="1">
        <f t="array" ref="AW6">_xll.EQNXTDZ($A$1,$B6,AW$1)</f>
        <v>46</v>
      </c>
      <c r="AX6" cm="1">
        <f t="array" ref="AX6">_xll.EQNXTDZ($A$1,$B6,AX$1)</f>
        <v>48</v>
      </c>
      <c r="AY6" cm="1">
        <f t="array" ref="AY6">_xll.EQNXTDZ($A$1,$B6,AY$1)</f>
        <v>52.7</v>
      </c>
      <c r="AZ6" cm="1">
        <f t="array" ref="AZ6">_xll.EQNXTDZ($A$1,$B6,AZ$1)</f>
        <v>57.3</v>
      </c>
      <c r="BA6" cm="1">
        <f t="array" ref="BA6">_xll.EQNXTDZ($A$1,$B6,BA$1)</f>
        <v>81.2</v>
      </c>
      <c r="BB6" cm="1">
        <f t="array" ref="BB6">_xll.EQNXTDZ($A$1,$B6,BB$1)</f>
        <v>93.6</v>
      </c>
      <c r="BC6" cm="1">
        <f t="array" ref="BC6">_xll.EQNXTDZ($A$1,$B6,BC$1)</f>
        <v>101.6</v>
      </c>
      <c r="BD6" cm="1">
        <f t="array" ref="BD6">_xll.EQNXTDZ($A$1,$B6,BD$1)</f>
        <v>127</v>
      </c>
      <c r="BE6" cm="1">
        <f t="array" ref="BE6">_xll.EQNXTDZ($A$1,$B6,BE$1)</f>
        <v>154.81</v>
      </c>
      <c r="BF6" cm="1">
        <f t="array" ref="BF6">_xll.EQNXTDZ($A$1,$B6,BF$1)</f>
        <v>138.96</v>
      </c>
      <c r="BG6" cm="1">
        <f t="array" ref="BG6">_xll.EQNXTDZ($A$1,$B6,BG$1)</f>
        <v>145</v>
      </c>
      <c r="BH6" cm="1">
        <f t="array" ref="BH6">_xll.EQNXTDZ($A$1,$B6,BH$1)</f>
        <v>153.06</v>
      </c>
      <c r="BI6" cm="1">
        <f t="array" ref="BI6">_xll.EQNXTDZ($A$1,$B6,BI$1)</f>
        <v>159.79</v>
      </c>
      <c r="BJ6" cm="1">
        <f t="array" ref="BJ6">_xll.EQNXTDZ($A$1,$B6,BJ$1)</f>
        <v>146.6</v>
      </c>
      <c r="BK6" cm="1">
        <f t="array" ref="BK6">_xll.EQNXTDZ($A$1,$B6,BK$1)</f>
        <v>158.01</v>
      </c>
      <c r="BL6" cm="1">
        <f t="array" ref="BL6">_xll.EQNXTDZ($A$1,$B6,BL$1)</f>
        <v>150.47</v>
      </c>
      <c r="BM6" cm="1">
        <f t="array" ref="BM6">_xll.EQNXTDZ($A$1,$B6,BM$1)</f>
        <v>147</v>
      </c>
      <c r="BN6" cm="1">
        <f t="array" ref="BN6">_xll.EQNXTDZ($A$1,$B6,BN$1)</f>
        <v>139.99</v>
      </c>
      <c r="BO6" cm="1">
        <f t="array" ref="BO6">_xll.EQNXTDZ($A$1,$B6,BO$1)</f>
        <v>147.04</v>
      </c>
      <c r="BP6" cm="1">
        <f t="array" ref="BP6">_xll.EQNXTDZ($A$1,$B6,BP$1)</f>
        <v>149.11000000000001</v>
      </c>
      <c r="BQ6" cm="1">
        <f t="array" ref="BQ6">_xll.EQNXTDZ($A$1,$B6,BQ$1)</f>
        <v>165.99</v>
      </c>
      <c r="BR6" cm="1">
        <f t="array" ref="BR6">_xll.EQNXTDZ($A$1,$B6,BR$1)</f>
        <v>181.99</v>
      </c>
      <c r="BS6" cm="1">
        <f t="array" ref="BS6">_xll.EQNXTDZ($A$1,$B6,BS$1)</f>
        <v>198.02</v>
      </c>
      <c r="BT6" cm="1">
        <f t="array" ref="BT6">_xll.EQNXTDZ($A$1,$B6,BT$1)</f>
        <v>172.43</v>
      </c>
      <c r="BU6" cm="1">
        <f t="array" ref="BU6">_xll.EQNXTDZ($A$1,$B6,BU$1)</f>
        <v>174</v>
      </c>
      <c r="BV6" cm="1">
        <f t="array" ref="BV6">_xll.EQNXTDZ($A$1,$B6,BV$1)</f>
        <v>188.79</v>
      </c>
      <c r="BW6" cm="1">
        <f t="array" ref="BW6">_xll.EQNXTDZ($A$1,$B6,BW$1)</f>
        <v>179.6</v>
      </c>
      <c r="BX6" cm="1">
        <f t="array" ref="BX6">_xll.EQNXTDZ($A$1,$B6,BX$1)</f>
        <v>178.86</v>
      </c>
      <c r="BY6" cm="1">
        <f t="array" ref="BY6">_xll.EQNXTDZ($A$1,$B6,BY$1)</f>
        <v>175.9</v>
      </c>
      <c r="BZ6" cm="1">
        <f t="array" ref="BZ6">_xll.EQNXTDZ($A$1,$B6,BZ$1)</f>
        <v>220</v>
      </c>
      <c r="CA6" cm="1">
        <f t="array" ref="CA6">_xll.EQNXTDZ($A$1,$B6,CA$1)</f>
        <v>212.85</v>
      </c>
      <c r="CB6" cm="1">
        <f t="array" ref="CB6">_xll.EQNXTDZ($A$1,$B6,CB$1)</f>
        <v>235.49</v>
      </c>
      <c r="CC6" cm="1">
        <f t="array" ref="CC6">_xll.EQNXTDZ($A$1,$B6,CC$1)</f>
        <v>228.01</v>
      </c>
      <c r="CD6" cm="1">
        <f t="array" ref="CD6">_xll.EQNXTDZ($A$1,$B6,CD$1)</f>
        <v>212.26</v>
      </c>
      <c r="CE6" cm="1">
        <f t="array" ref="CE6">_xll.EQNXTDZ($A$1,$B6,CE$1)</f>
        <v>205.99</v>
      </c>
      <c r="CF6" cm="1">
        <f t="array" ref="CF6">_xll.EQNXTDZ($A$1,$B6,CF$1)</f>
        <v>172.83</v>
      </c>
      <c r="CG6" cm="1">
        <f t="array" ref="CG6">_xll.EQNXTDZ($A$1,$B6,CG$1)</f>
        <v>190.12</v>
      </c>
      <c r="CH6" cm="1">
        <f t="array" ref="CH6">_xll.EQNXTDZ($A$1,$B6,CH$1)</f>
        <v>183.58</v>
      </c>
      <c r="CI6" cm="1">
        <f t="array" ref="CI6">_xll.EQNXTDZ($A$1,$B6,CI$1)</f>
        <v>200.59</v>
      </c>
      <c r="CJ6" cm="1">
        <f t="array" ref="CJ6">_xll.EQNXTDZ($A$1,$B6,CJ$1)</f>
        <v>188</v>
      </c>
      <c r="CK6" cm="1">
        <f t="array" ref="CK6">_xll.EQNXTDZ($A$1,$B6,CK$1)</f>
        <v>180.6</v>
      </c>
      <c r="CL6" cm="1">
        <f t="array" ref="CL6">_xll.EQNXTDZ($A$1,$B6,CL$1)</f>
        <v>171</v>
      </c>
      <c r="CM6" cm="1">
        <f t="array" ref="CM6">_xll.EQNXTDZ($A$1,$B6,CM$1)</f>
        <v>210.7</v>
      </c>
      <c r="CN6" cm="1">
        <f t="array" ref="CN6">_xll.EQNXTDZ($A$1,$B6,CN$1)</f>
        <v>183.1</v>
      </c>
      <c r="CO6" cm="1">
        <f t="array" ref="CO6">_xll.EQNXTDZ($A$1,$B6,CO$1)</f>
        <v>171.75</v>
      </c>
      <c r="CP6" cm="1">
        <f t="array" ref="CP6">_xll.EQNXTDZ($A$1,$B6,CP$1)</f>
        <v>170.05</v>
      </c>
      <c r="CQ6" cm="1">
        <f t="array" ref="CQ6">_xll.EQNXTDZ($A$1,$B6,CQ$1)</f>
        <v>163.6</v>
      </c>
      <c r="CR6" cm="1">
        <f t="array" ref="CR6">_xll.EQNXTDZ($A$1,$B6,CR$1)</f>
        <v>140</v>
      </c>
      <c r="CS6" cm="1">
        <f t="array" ref="CS6">_xll.EQNXTDZ($A$1,$B6,CS$1)</f>
        <v>104.8</v>
      </c>
      <c r="CT6" cm="1">
        <f t="array" ref="CT6">_xll.EQNXTDZ($A$1,$B6,CT$1)</f>
        <v>127</v>
      </c>
      <c r="CU6" cm="1">
        <f t="array" ref="CU6">_xll.EQNXTDZ($A$1,$B6,CU$1)</f>
        <v>127.7</v>
      </c>
      <c r="CV6" cm="1">
        <f t="array" ref="CV6">_xll.EQNXTDZ($A$1,$B6,CV$1)</f>
        <v>158.80000000000001</v>
      </c>
      <c r="CW6" cm="1">
        <f t="array" ref="CW6">_xll.EQNXTDZ($A$1,$B6,CW$1)</f>
        <v>147.94999999999999</v>
      </c>
      <c r="CX6" cm="1">
        <f t="array" ref="CX6">_xll.EQNXTDZ($A$1,$B6,CX$1)</f>
        <v>150.15</v>
      </c>
      <c r="CY6" cm="1">
        <f t="array" ref="CY6">_xll.EQNXTDZ($A$1,$B6,CY$1)</f>
        <v>139</v>
      </c>
      <c r="CZ6" cm="1">
        <f t="array" ref="CZ6">_xll.EQNXTDZ($A$1,$B6,CZ$1)</f>
        <v>125.35</v>
      </c>
      <c r="DA6" cm="1">
        <f t="array" ref="DA6">_xll.EQNXTDZ($A$1,$B6,DA$1)</f>
        <v>144</v>
      </c>
      <c r="DB6" cm="1">
        <f t="array" ref="DB6">_xll.EQNXTDZ($A$1,$B6,DB$1)</f>
        <v>149.9</v>
      </c>
      <c r="DC6" cm="1">
        <f t="array" ref="DC6">_xll.EQNXTDZ($A$1,$B6,DC$1)</f>
        <v>144.05000000000001</v>
      </c>
      <c r="DD6" cm="1">
        <f t="array" ref="DD6">_xll.EQNXTDZ($A$1,$B6,DD$1)</f>
        <v>160.75</v>
      </c>
      <c r="DE6" cm="1">
        <f t="array" ref="DE6">_xll.EQNXTDZ($A$1,$B6,DE$1)</f>
        <v>161.80000000000001</v>
      </c>
      <c r="DF6" cm="1">
        <f t="array" ref="DF6">_xll.EQNXTDZ($A$1,$B6,DF$1)</f>
        <v>153.75</v>
      </c>
      <c r="DG6" cm="1">
        <f t="array" ref="DG6">_xll.EQNXTDZ($A$1,$B6,DG$1)</f>
        <v>172.5</v>
      </c>
      <c r="DH6" cm="1">
        <f t="array" ref="DH6">_xll.EQNXTDZ($A$1,$B6,DH$1)</f>
        <v>199.4</v>
      </c>
      <c r="DI6" cm="1">
        <f t="array" ref="DI6">_xll.EQNXTDZ($A$1,$B6,DI$1)</f>
        <v>207.5</v>
      </c>
      <c r="DJ6" cm="1">
        <f t="array" ref="DJ6">_xll.EQNXTDZ($A$1,$B6,DJ$1)</f>
        <v>175.95</v>
      </c>
      <c r="DK6" cm="1">
        <f t="array" ref="DK6">_xll.EQNXTDZ($A$1,$B6,DK$1)</f>
        <v>184.8</v>
      </c>
      <c r="DL6" cm="1">
        <f t="array" ref="DL6">_xll.EQNXTDZ($A$1,$B6,DL$1)</f>
        <v>175</v>
      </c>
      <c r="DM6" cm="1">
        <f t="array" ref="DM6">_xll.EQNXTDZ($A$1,$B6,DM$1)</f>
        <v>159.9</v>
      </c>
      <c r="DN6" cm="1">
        <f t="array" ref="DN6">_xll.EQNXTDZ($A$1,$B6,DN$1)</f>
        <v>151</v>
      </c>
      <c r="DO6" cm="1">
        <f t="array" ref="DO6">_xll.EQNXTDZ($A$1,$B6,DO$1)</f>
        <v>148.80000000000001</v>
      </c>
      <c r="DP6" cm="1">
        <f t="array" ref="DP6">_xll.EQNXTDZ($A$1,$B6,DP$1)</f>
        <v>140.15</v>
      </c>
      <c r="DQ6" cm="1">
        <f t="array" ref="DQ6">_xll.EQNXTDZ($A$1,$B6,DQ$1)</f>
        <v>174</v>
      </c>
      <c r="DR6" cm="1">
        <f t="array" ref="DR6">_xll.EQNXTDZ($A$1,$B6,DR$1)</f>
        <v>202.9</v>
      </c>
      <c r="DS6" cm="1">
        <f t="array" ref="DS6">_xll.EQNXTDZ($A$1,$B6,DS$1)</f>
        <v>186.05</v>
      </c>
      <c r="DT6" cm="1">
        <f t="array" ref="DT6">_xll.EQNXTDZ($A$1,$B6,DT$1)</f>
        <v>188.5</v>
      </c>
      <c r="DU6" cm="1">
        <f t="array" ref="DU6">_xll.EQNXTDZ($A$1,$B6,DU$1)</f>
        <v>214.5</v>
      </c>
      <c r="DV6" cm="1">
        <f t="array" ref="DV6">_xll.EQNXTDZ($A$1,$B6,DV$1)</f>
        <v>288.85000000000002</v>
      </c>
      <c r="DW6" cm="1">
        <f t="array" ref="DW6">_xll.EQNXTDZ($A$1,$B6,DW$1)</f>
        <v>276.10000000000002</v>
      </c>
      <c r="DX6" cm="1">
        <f t="array" ref="DX6">_xll.EQNXTDZ($A$1,$B6,DX$1)</f>
        <v>331.9</v>
      </c>
      <c r="DY6" cm="1">
        <f t="array" ref="DY6">_xll.EQNXTDZ($A$1,$B6,DY$1)</f>
        <v>289.85000000000002</v>
      </c>
      <c r="DZ6" cm="1">
        <f t="array" ref="DZ6">_xll.EQNXTDZ($A$1,$B6,DZ$1)</f>
        <v>281</v>
      </c>
      <c r="EA6" cm="1">
        <f t="array" ref="EA6">_xll.EQNXTDZ($A$1,$B6,EA$1)</f>
        <v>287.5</v>
      </c>
      <c r="EB6" cm="1">
        <f t="array" ref="EB6">_xll.EQNXTDZ($A$1,$B6,EB$1)</f>
        <v>240.7</v>
      </c>
      <c r="EC6" cm="1">
        <f t="array" ref="EC6">_xll.EQNXTDZ($A$1,$B6,EC$1)</f>
        <v>242</v>
      </c>
      <c r="ED6" cm="1">
        <f t="array" ref="ED6">_xll.EQNXTDZ($A$1,$B6,ED$1)</f>
        <v>303.64999999999998</v>
      </c>
      <c r="EE6" cm="1">
        <f t="array" ref="EE6">_xll.EQNXTDZ($A$1,$B6,EE$1)</f>
        <v>283.39999999999998</v>
      </c>
      <c r="EF6" cm="1">
        <f t="array" ref="EF6">_xll.EQNXTDZ($A$1,$B6,EF$1)</f>
        <v>279</v>
      </c>
      <c r="EG6" cm="1">
        <f t="array" ref="EG6">_xll.EQNXTDZ($A$1,$B6,EG$1)</f>
        <v>275</v>
      </c>
      <c r="EH6" cm="1">
        <f t="array" ref="EH6">_xll.EQNXTDZ($A$1,$B6,EH$1)</f>
        <v>314.10000000000002</v>
      </c>
      <c r="EI6" cm="1">
        <f t="array" ref="EI6">_xll.EQNXTDZ($A$1,$B6,EI$1)</f>
        <v>385</v>
      </c>
      <c r="EJ6" cm="1">
        <f t="array" ref="EJ6">_xll.EQNXTDZ($A$1,$B6,EJ$1)</f>
        <v>344.2</v>
      </c>
      <c r="EK6" cm="1">
        <f t="array" ref="EK6">_xll.EQNXTDZ($A$1,$B6,EK$1)</f>
        <v>334.95</v>
      </c>
      <c r="EL6" cm="1">
        <f t="array" ref="EL6">_xll.EQNXTDZ($A$1,$B6,EL$1)</f>
        <v>353.1</v>
      </c>
      <c r="EM6" cm="1">
        <f t="array" ref="EM6">_xll.EQNXTDZ($A$1,$B6,EM$1)</f>
        <v>343.55</v>
      </c>
      <c r="EN6" cm="1">
        <f t="array" ref="EN6">_xll.EQNXTDZ($A$1,$B6,EN$1)</f>
        <v>328.4</v>
      </c>
      <c r="EO6" cm="1">
        <f t="array" ref="EO6">_xll.EQNXTDZ($A$1,$B6,EO$1)</f>
        <v>294</v>
      </c>
      <c r="EP6" cm="1">
        <f t="array" ref="EP6">_xll.EQNXTDZ($A$1,$B6,EP$1)</f>
        <v>333.5</v>
      </c>
      <c r="EQ6" cm="1">
        <f t="array" ref="EQ6">_xll.EQNXTDZ($A$1,$B6,EQ$1)</f>
        <v>326.45</v>
      </c>
      <c r="ER6" cm="1">
        <f t="array" ref="ER6">_xll.EQNXTDZ($A$1,$B6,ER$1)</f>
        <v>335.4</v>
      </c>
      <c r="ES6" cm="1">
        <f t="array" ref="ES6">_xll.EQNXTDZ($A$1,$B6,ES$1)</f>
        <v>356</v>
      </c>
      <c r="ET6" cm="1">
        <f t="array" ref="ET6">_xll.EQNXTDZ($A$1,$B6,ET$1)</f>
        <v>350.5</v>
      </c>
      <c r="EU6" cm="1">
        <f t="array" ref="EU6">_xll.EQNXTDZ($A$1,$B6,EU$1)</f>
        <v>341</v>
      </c>
      <c r="EV6" cm="1">
        <f t="array" ref="EV6">_xll.EQNXTDZ($A$1,$B6,EV$1)</f>
        <v>307.10000000000002</v>
      </c>
      <c r="EW6" cm="1">
        <f t="array" ref="EW6">_xll.EQNXTDZ($A$1,$B6,EW$1)</f>
        <v>307</v>
      </c>
      <c r="EX6" cm="1">
        <f t="array" ref="EX6">_xll.EQNXTDZ($A$1,$B6,EX$1)</f>
        <v>305.60000000000002</v>
      </c>
      <c r="EY6" cm="1">
        <f t="array" ref="EY6">_xll.EQNXTDZ($A$1,$B6,EY$1)</f>
        <v>292.7</v>
      </c>
      <c r="EZ6" cm="1">
        <f t="array" ref="EZ6">_xll.EQNXTDZ($A$1,$B6,EZ$1)</f>
        <v>274.14999999999998</v>
      </c>
      <c r="FA6" cm="1">
        <f t="array" ref="FA6">_xll.EQNXTDZ($A$1,$B6,FA$1)</f>
        <v>267</v>
      </c>
      <c r="FB6" cm="1">
        <f t="array" ref="FB6">_xll.EQNXTDZ($A$1,$B6,FB$1)</f>
        <v>271</v>
      </c>
      <c r="FC6" cm="1">
        <f t="array" ref="FC6">_xll.EQNXTDZ($A$1,$B6,FC$1)</f>
        <v>290.64999999999998</v>
      </c>
      <c r="FD6" cm="1">
        <f t="array" ref="FD6">_xll.EQNXTDZ($A$1,$B6,FD$1)</f>
        <v>300.2</v>
      </c>
      <c r="FE6" cm="1">
        <f t="array" ref="FE6">_xll.EQNXTDZ($A$1,$B6,FE$1)</f>
        <v>273.89999999999998</v>
      </c>
      <c r="FF6" cm="1">
        <f t="array" ref="FF6">_xll.EQNXTDZ($A$1,$B6,FF$1)</f>
        <v>265.5</v>
      </c>
      <c r="FG6" cm="1">
        <f t="array" ref="FG6">_xll.EQNXTDZ($A$1,$B6,FG$1)</f>
        <v>252.2</v>
      </c>
      <c r="FH6" cm="1">
        <f t="array" ref="FH6">_xll.EQNXTDZ($A$1,$B6,FH$1)</f>
        <v>255.4</v>
      </c>
      <c r="FI6" cm="1">
        <f t="array" ref="FI6">_xll.EQNXTDZ($A$1,$B6,FI$1)</f>
        <v>242.7</v>
      </c>
      <c r="FJ6" cm="1">
        <f t="array" ref="FJ6">_xll.EQNXTDZ($A$1,$B6,FJ$1)</f>
        <v>237.2</v>
      </c>
      <c r="FK6" cm="1">
        <f t="array" ref="FK6">_xll.EQNXTDZ($A$1,$B6,FK$1)</f>
        <v>228</v>
      </c>
      <c r="FL6" cm="1">
        <f t="array" ref="FL6">_xll.EQNXTDZ($A$1,$B6,FL$1)</f>
        <v>269.14999999999998</v>
      </c>
      <c r="FM6" cm="1">
        <f t="array" ref="FM6">_xll.EQNXTDZ($A$1,$B6,FM$1)</f>
        <v>246.1</v>
      </c>
      <c r="FN6" cm="1">
        <f t="array" ref="FN6">_xll.EQNXTDZ($A$1,$B6,FN$1)</f>
        <v>274</v>
      </c>
      <c r="FO6" cm="1">
        <f t="array" ref="FO6">_xll.EQNXTDZ($A$1,$B6,FO$1)</f>
        <v>234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44.6</v>
      </c>
      <c r="D7" s="116" cm="1">
        <f t="array" ref="D7">_xll.EQNXTDZ($A$1,$B7,D$1)</f>
        <v>42.98</v>
      </c>
      <c r="E7" s="116" cm="1">
        <f t="array" ref="E7">_xll.EQNXTDZ($A$1,$B7,E$1)</f>
        <v>40.99</v>
      </c>
      <c r="F7" s="116" cm="1">
        <f t="array" ref="F7">_xll.EQNXTDZ($A$1,$B7,F$1)</f>
        <v>46.6</v>
      </c>
      <c r="G7" s="116" cm="1">
        <f t="array" ref="G7">_xll.EQNXTDZ($A$1,$B7,G$1)</f>
        <v>49.2</v>
      </c>
      <c r="H7" s="116" cm="1">
        <f t="array" ref="H7">_xll.EQNXTDZ($A$1,$B7,H$1)</f>
        <v>58.4</v>
      </c>
      <c r="I7" s="116" cm="1">
        <f t="array" ref="I7">_xll.EQNXTDZ($A$1,$B7,I$1)</f>
        <v>55.1</v>
      </c>
      <c r="J7" s="116" cm="1">
        <f t="array" ref="J7">_xll.EQNXTDZ($A$1,$B7,J$1)</f>
        <v>51.6</v>
      </c>
      <c r="K7" s="116" cm="1">
        <f t="array" ref="K7">_xll.EQNXTDZ($A$1,$B7,K$1)</f>
        <v>49.23</v>
      </c>
      <c r="L7" s="116" cm="1">
        <f t="array" ref="L7">_xll.EQNXTDZ($A$1,$B7,L$1)</f>
        <v>50.92</v>
      </c>
      <c r="M7" s="116" cm="1">
        <f t="array" ref="M7">_xll.EQNXTDZ($A$1,$B7,M$1)</f>
        <v>47.78</v>
      </c>
      <c r="N7" s="116" cm="1">
        <f t="array" ref="N7">_xll.EQNXTDZ($A$1,$B7,N$1)</f>
        <v>49.6</v>
      </c>
      <c r="O7" s="116" cm="1">
        <f t="array" ref="O7">_xll.EQNXTDZ($A$1,$B7,O$1)</f>
        <v>47.98</v>
      </c>
      <c r="P7" s="116" cm="1">
        <f t="array" ref="P7">_xll.EQNXTDZ($A$1,$B7,P$1)</f>
        <v>45.97</v>
      </c>
      <c r="Q7" s="116" cm="1">
        <f t="array" ref="Q7">_xll.EQNXTDZ($A$1,$B7,Q$1)</f>
        <v>41.45</v>
      </c>
      <c r="R7" s="116" cm="1">
        <f t="array" ref="R7">_xll.EQNXTDZ($A$1,$B7,R$1)</f>
        <v>42.99</v>
      </c>
      <c r="S7" s="116" cm="1">
        <f t="array" ref="S7">_xll.EQNXTDZ($A$1,$B7,S$1)</f>
        <v>39.78</v>
      </c>
      <c r="T7" s="116" cm="1">
        <f t="array" ref="T7">_xll.EQNXTDZ($A$1,$B7,T$1)</f>
        <v>38.799999999999997</v>
      </c>
      <c r="U7" s="116" cm="1">
        <f t="array" ref="U7">_xll.EQNXTDZ($A$1,$B7,U$1)</f>
        <v>39.6</v>
      </c>
      <c r="V7" s="116" cm="1">
        <f t="array" ref="V7">_xll.EQNXTDZ($A$1,$B7,V$1)</f>
        <v>39.56</v>
      </c>
      <c r="W7" s="116" cm="1">
        <f t="array" ref="W7">_xll.EQNXTDZ($A$1,$B7,W$1)</f>
        <v>37.58</v>
      </c>
      <c r="X7" s="116" cm="1">
        <f t="array" ref="X7">_xll.EQNXTDZ($A$1,$B7,X$1)</f>
        <v>37.4</v>
      </c>
      <c r="Y7" s="116" cm="1">
        <f t="array" ref="Y7">_xll.EQNXTDZ($A$1,$B7,Y$1)</f>
        <v>42</v>
      </c>
      <c r="Z7" s="116" cm="1">
        <f t="array" ref="Z7">_xll.EQNXTDZ($A$1,$B7,Z$1)</f>
        <v>45.6</v>
      </c>
      <c r="AA7" s="116" cm="1">
        <f t="array" ref="AA7">_xll.EQNXTDZ($A$1,$B7,AA$1)</f>
        <v>53.54</v>
      </c>
      <c r="AB7" s="116" cm="1">
        <f t="array" ref="AB7">_xll.EQNXTDZ($A$1,$B7,AB$1)</f>
        <v>54</v>
      </c>
      <c r="AC7" s="116" cm="1">
        <f t="array" ref="AC7">_xll.EQNXTDZ($A$1,$B7,AC$1)</f>
        <v>45.99</v>
      </c>
      <c r="AD7" s="116" cm="1">
        <f t="array" ref="AD7">_xll.EQNXTDZ($A$1,$B7,AD$1)</f>
        <v>51.6</v>
      </c>
      <c r="AE7" s="116" cm="1">
        <f t="array" ref="AE7">_xll.EQNXTDZ($A$1,$B7,AE$1)</f>
        <v>51</v>
      </c>
      <c r="AF7" s="116" cm="1">
        <f t="array" ref="AF7">_xll.EQNXTDZ($A$1,$B7,AF$1)</f>
        <v>57.6</v>
      </c>
      <c r="AG7" s="116" cm="1">
        <f t="array" ref="AG7">_xll.EQNXTDZ($A$1,$B7,AG$1)</f>
        <v>53.8</v>
      </c>
      <c r="AH7" s="116" cm="1">
        <f t="array" ref="AH7">_xll.EQNXTDZ($A$1,$B7,AH$1)</f>
        <v>51.8</v>
      </c>
      <c r="AI7" s="116" cm="1">
        <f t="array" ref="AI7">_xll.EQNXTDZ($A$1,$B7,AI$1)</f>
        <v>49.38</v>
      </c>
      <c r="AJ7" s="116" cm="1">
        <f t="array" ref="AJ7">_xll.EQNXTDZ($A$1,$B7,AJ$1)</f>
        <v>44.59</v>
      </c>
      <c r="AK7" s="116" cm="1">
        <f t="array" ref="AK7">_xll.EQNXTDZ($A$1,$B7,AK$1)</f>
        <v>42.79</v>
      </c>
      <c r="AL7" s="116" cm="1">
        <f t="array" ref="AL7">_xll.EQNXTDZ($A$1,$B7,AL$1)</f>
        <v>39.78</v>
      </c>
      <c r="AM7" s="116" cm="1">
        <f t="array" ref="AM7">_xll.EQNXTDZ($A$1,$B7,AM$1)</f>
        <v>42.8</v>
      </c>
      <c r="AN7" s="116" cm="1">
        <f t="array" ref="AN7">_xll.EQNXTDZ($A$1,$B7,AN$1)</f>
        <v>47.26</v>
      </c>
      <c r="AO7" s="116" cm="1">
        <f t="array" ref="AO7">_xll.EQNXTDZ($A$1,$B7,AO$1)</f>
        <v>50.74</v>
      </c>
      <c r="AP7" s="116" cm="1">
        <f t="array" ref="AP7">_xll.EQNXTDZ($A$1,$B7,AP$1)</f>
        <v>54.38</v>
      </c>
      <c r="AQ7" s="116" cm="1">
        <f t="array" ref="AQ7">_xll.EQNXTDZ($A$1,$B7,AQ$1)</f>
        <v>47.8</v>
      </c>
      <c r="AR7" s="116" cm="1">
        <f t="array" ref="AR7">_xll.EQNXTDZ($A$1,$B7,AR$1)</f>
        <v>47.4</v>
      </c>
      <c r="AS7" s="116" cm="1">
        <f t="array" ref="AS7">_xll.EQNXTDZ($A$1,$B7,AS$1)</f>
        <v>50</v>
      </c>
      <c r="AT7" s="116" cm="1">
        <f t="array" ref="AT7">_xll.EQNXTDZ($A$1,$B7,AT$1)</f>
        <v>49.79</v>
      </c>
      <c r="AU7" s="116" cm="1">
        <f t="array" ref="AU7">_xll.EQNXTDZ($A$1,$B7,AU$1)</f>
        <v>49.2</v>
      </c>
      <c r="AV7" s="116" cm="1">
        <f t="array" ref="AV7">_xll.EQNXTDZ($A$1,$B7,AV$1)</f>
        <v>57.38</v>
      </c>
      <c r="AW7" s="116" cm="1">
        <f t="array" ref="AW7">_xll.EQNXTDZ($A$1,$B7,AW$1)</f>
        <v>51</v>
      </c>
      <c r="AX7" s="116" cm="1">
        <f t="array" ref="AX7">_xll.EQNXTDZ($A$1,$B7,AX$1)</f>
        <v>57.96</v>
      </c>
      <c r="AY7" s="116" cm="1">
        <f t="array" ref="AY7">_xll.EQNXTDZ($A$1,$B7,AY$1)</f>
        <v>60.8</v>
      </c>
      <c r="AZ7" s="116" cm="1">
        <f t="array" ref="AZ7">_xll.EQNXTDZ($A$1,$B7,AZ$1)</f>
        <v>92.02</v>
      </c>
      <c r="BA7" s="116" cm="1">
        <f t="array" ref="BA7">_xll.EQNXTDZ($A$1,$B7,BA$1)</f>
        <v>97.98</v>
      </c>
      <c r="BB7" s="116" cm="1">
        <f t="array" ref="BB7">_xll.EQNXTDZ($A$1,$B7,BB$1)</f>
        <v>103.4</v>
      </c>
      <c r="BC7" s="116" cm="1">
        <f t="array" ref="BC7">_xll.EQNXTDZ($A$1,$B7,BC$1)</f>
        <v>133.4</v>
      </c>
      <c r="BD7" s="116" cm="1">
        <f t="array" ref="BD7">_xll.EQNXTDZ($A$1,$B7,BD$1)</f>
        <v>165</v>
      </c>
      <c r="BE7" s="116" cm="1">
        <f t="array" ref="BE7">_xll.EQNXTDZ($A$1,$B7,BE$1)</f>
        <v>155.93</v>
      </c>
      <c r="BF7" s="116" cm="1">
        <f t="array" ref="BF7">_xll.EQNXTDZ($A$1,$B7,BF$1)</f>
        <v>157.56</v>
      </c>
      <c r="BG7" s="116" cm="1">
        <f t="array" ref="BG7">_xll.EQNXTDZ($A$1,$B7,BG$1)</f>
        <v>174</v>
      </c>
      <c r="BH7" s="116" cm="1">
        <f t="array" ref="BH7">_xll.EQNXTDZ($A$1,$B7,BH$1)</f>
        <v>167.99</v>
      </c>
      <c r="BI7" s="116" cm="1">
        <f t="array" ref="BI7">_xll.EQNXTDZ($A$1,$B7,BI$1)</f>
        <v>169.39</v>
      </c>
      <c r="BJ7" s="116" cm="1">
        <f t="array" ref="BJ7">_xll.EQNXTDZ($A$1,$B7,BJ$1)</f>
        <v>165.8</v>
      </c>
      <c r="BK7" s="116" cm="1">
        <f t="array" ref="BK7">_xll.EQNXTDZ($A$1,$B7,BK$1)</f>
        <v>159.4</v>
      </c>
      <c r="BL7" s="116" cm="1">
        <f t="array" ref="BL7">_xll.EQNXTDZ($A$1,$B7,BL$1)</f>
        <v>165.57</v>
      </c>
      <c r="BM7" s="116" cm="1">
        <f t="array" ref="BM7">_xll.EQNXTDZ($A$1,$B7,BM$1)</f>
        <v>148.97999999999999</v>
      </c>
      <c r="BN7" s="116" cm="1">
        <f t="array" ref="BN7">_xll.EQNXTDZ($A$1,$B7,BN$1)</f>
        <v>152</v>
      </c>
      <c r="BO7" s="116" cm="1">
        <f t="array" ref="BO7">_xll.EQNXTDZ($A$1,$B7,BO$1)</f>
        <v>166.98</v>
      </c>
      <c r="BP7" s="116" cm="1">
        <f t="array" ref="BP7">_xll.EQNXTDZ($A$1,$B7,BP$1)</f>
        <v>179.98</v>
      </c>
      <c r="BQ7" s="116" cm="1">
        <f t="array" ref="BQ7">_xll.EQNXTDZ($A$1,$B7,BQ$1)</f>
        <v>189.86</v>
      </c>
      <c r="BR7" s="116" cm="1">
        <f t="array" ref="BR7">_xll.EQNXTDZ($A$1,$B7,BR$1)</f>
        <v>245</v>
      </c>
      <c r="BS7" s="116" cm="1">
        <f t="array" ref="BS7">_xll.EQNXTDZ($A$1,$B7,BS$1)</f>
        <v>203</v>
      </c>
      <c r="BT7" s="116" cm="1">
        <f t="array" ref="BT7">_xll.EQNXTDZ($A$1,$B7,BT$1)</f>
        <v>183</v>
      </c>
      <c r="BU7" s="116" cm="1">
        <f t="array" ref="BU7">_xll.EQNXTDZ($A$1,$B7,BU$1)</f>
        <v>191</v>
      </c>
      <c r="BV7" s="116" cm="1">
        <f t="array" ref="BV7">_xll.EQNXTDZ($A$1,$B7,BV$1)</f>
        <v>199.78</v>
      </c>
      <c r="BW7" s="116" cm="1">
        <f t="array" ref="BW7">_xll.EQNXTDZ($A$1,$B7,BW$1)</f>
        <v>189.1</v>
      </c>
      <c r="BX7" s="116" cm="1">
        <f t="array" ref="BX7">_xll.EQNXTDZ($A$1,$B7,BX$1)</f>
        <v>182.88</v>
      </c>
      <c r="BY7" s="116" cm="1">
        <f t="array" ref="BY7">_xll.EQNXTDZ($A$1,$B7,BY$1)</f>
        <v>227.6</v>
      </c>
      <c r="BZ7" s="116" cm="1">
        <f t="array" ref="BZ7">_xll.EQNXTDZ($A$1,$B7,BZ$1)</f>
        <v>269.54000000000002</v>
      </c>
      <c r="CA7" s="116" cm="1">
        <f t="array" ref="CA7">_xll.EQNXTDZ($A$1,$B7,CA$1)</f>
        <v>244</v>
      </c>
      <c r="CB7" s="116" cm="1">
        <f t="array" ref="CB7">_xll.EQNXTDZ($A$1,$B7,CB$1)</f>
        <v>251</v>
      </c>
      <c r="CC7" s="116" cm="1">
        <f t="array" ref="CC7">_xll.EQNXTDZ($A$1,$B7,CC$1)</f>
        <v>237.4</v>
      </c>
      <c r="CD7" s="116" cm="1">
        <f t="array" ref="CD7">_xll.EQNXTDZ($A$1,$B7,CD$1)</f>
        <v>228.4</v>
      </c>
      <c r="CE7" s="116" cm="1">
        <f t="array" ref="CE7">_xll.EQNXTDZ($A$1,$B7,CE$1)</f>
        <v>208.18</v>
      </c>
      <c r="CF7" s="116" cm="1">
        <f t="array" ref="CF7">_xll.EQNXTDZ($A$1,$B7,CF$1)</f>
        <v>205.98</v>
      </c>
      <c r="CG7" s="116" cm="1">
        <f t="array" ref="CG7">_xll.EQNXTDZ($A$1,$B7,CG$1)</f>
        <v>194.39</v>
      </c>
      <c r="CH7" s="116" cm="1">
        <f t="array" ref="CH7">_xll.EQNXTDZ($A$1,$B7,CH$1)</f>
        <v>205</v>
      </c>
      <c r="CI7" s="116" cm="1">
        <f t="array" ref="CI7">_xll.EQNXTDZ($A$1,$B7,CI$1)</f>
        <v>203.03</v>
      </c>
      <c r="CJ7" s="116" cm="1">
        <f t="array" ref="CJ7">_xll.EQNXTDZ($A$1,$B7,CJ$1)</f>
        <v>200.2</v>
      </c>
      <c r="CK7" s="116" cm="1">
        <f t="array" ref="CK7">_xll.EQNXTDZ($A$1,$B7,CK$1)</f>
        <v>194</v>
      </c>
      <c r="CL7" s="116" cm="1">
        <f t="array" ref="CL7">_xll.EQNXTDZ($A$1,$B7,CL$1)</f>
        <v>224</v>
      </c>
      <c r="CM7" s="116" cm="1">
        <f t="array" ref="CM7">_xll.EQNXTDZ($A$1,$B7,CM$1)</f>
        <v>210.7</v>
      </c>
      <c r="CN7" s="116" cm="1">
        <f t="array" ref="CN7">_xll.EQNXTDZ($A$1,$B7,CN$1)</f>
        <v>185</v>
      </c>
      <c r="CO7" s="116" cm="1">
        <f t="array" ref="CO7">_xll.EQNXTDZ($A$1,$B7,CO$1)</f>
        <v>182.9</v>
      </c>
      <c r="CP7" s="116" cm="1">
        <f t="array" ref="CP7">_xll.EQNXTDZ($A$1,$B7,CP$1)</f>
        <v>180.05</v>
      </c>
      <c r="CQ7" s="116" cm="1">
        <f t="array" ref="CQ7">_xll.EQNXTDZ($A$1,$B7,CQ$1)</f>
        <v>166.9</v>
      </c>
      <c r="CR7" s="116" cm="1">
        <f t="array" ref="CR7">_xll.EQNXTDZ($A$1,$B7,CR$1)</f>
        <v>149</v>
      </c>
      <c r="CS7" s="116" cm="1">
        <f t="array" ref="CS7">_xll.EQNXTDZ($A$1,$B7,CS$1)</f>
        <v>154.75</v>
      </c>
      <c r="CT7" s="116" cm="1">
        <f t="array" ref="CT7">_xll.EQNXTDZ($A$1,$B7,CT$1)</f>
        <v>138.35</v>
      </c>
      <c r="CU7" s="116" cm="1">
        <f t="array" ref="CU7">_xll.EQNXTDZ($A$1,$B7,CU$1)</f>
        <v>184.05</v>
      </c>
      <c r="CV7" s="116" cm="1">
        <f t="array" ref="CV7">_xll.EQNXTDZ($A$1,$B7,CV$1)</f>
        <v>164</v>
      </c>
      <c r="CW7" s="116" cm="1">
        <f t="array" ref="CW7">_xll.EQNXTDZ($A$1,$B7,CW$1)</f>
        <v>162</v>
      </c>
      <c r="CX7" s="116" cm="1">
        <f t="array" ref="CX7">_xll.EQNXTDZ($A$1,$B7,CX$1)</f>
        <v>153.9</v>
      </c>
      <c r="CY7" s="116" cm="1">
        <f t="array" ref="CY7">_xll.EQNXTDZ($A$1,$B7,CY$1)</f>
        <v>144.44999999999999</v>
      </c>
      <c r="CZ7" s="116" cm="1">
        <f t="array" ref="CZ7">_xll.EQNXTDZ($A$1,$B7,CZ$1)</f>
        <v>145</v>
      </c>
      <c r="DA7" s="116" cm="1">
        <f t="array" ref="DA7">_xll.EQNXTDZ($A$1,$B7,DA$1)</f>
        <v>171</v>
      </c>
      <c r="DB7" s="116" cm="1">
        <f t="array" ref="DB7">_xll.EQNXTDZ($A$1,$B7,DB$1)</f>
        <v>161.80000000000001</v>
      </c>
      <c r="DC7" s="116" cm="1">
        <f t="array" ref="DC7">_xll.EQNXTDZ($A$1,$B7,DC$1)</f>
        <v>161.69999999999999</v>
      </c>
      <c r="DD7" s="116" cm="1">
        <f t="array" ref="DD7">_xll.EQNXTDZ($A$1,$B7,DD$1)</f>
        <v>171.8</v>
      </c>
      <c r="DE7" s="116" cm="1">
        <f t="array" ref="DE7">_xll.EQNXTDZ($A$1,$B7,DE$1)</f>
        <v>166</v>
      </c>
      <c r="DF7" s="116" cm="1">
        <f t="array" ref="DF7">_xll.EQNXTDZ($A$1,$B7,DF$1)</f>
        <v>193</v>
      </c>
      <c r="DG7" s="116" cm="1">
        <f t="array" ref="DG7">_xll.EQNXTDZ($A$1,$B7,DG$1)</f>
        <v>204.7</v>
      </c>
      <c r="DH7" s="116" cm="1">
        <f t="array" ref="DH7">_xll.EQNXTDZ($A$1,$B7,DH$1)</f>
        <v>228.8</v>
      </c>
      <c r="DI7" s="116" cm="1">
        <f t="array" ref="DI7">_xll.EQNXTDZ($A$1,$B7,DI$1)</f>
        <v>212.4</v>
      </c>
      <c r="DJ7" s="116" cm="1">
        <f t="array" ref="DJ7">_xll.EQNXTDZ($A$1,$B7,DJ$1)</f>
        <v>190.4</v>
      </c>
      <c r="DK7" s="116" cm="1">
        <f t="array" ref="DK7">_xll.EQNXTDZ($A$1,$B7,DK$1)</f>
        <v>194.9</v>
      </c>
      <c r="DL7" s="116" cm="1">
        <f t="array" ref="DL7">_xll.EQNXTDZ($A$1,$B7,DL$1)</f>
        <v>180.25</v>
      </c>
      <c r="DM7" s="116" cm="1">
        <f t="array" ref="DM7">_xll.EQNXTDZ($A$1,$B7,DM$1)</f>
        <v>163.35</v>
      </c>
      <c r="DN7" s="116" cm="1">
        <f t="array" ref="DN7">_xll.EQNXTDZ($A$1,$B7,DN$1)</f>
        <v>173.2</v>
      </c>
      <c r="DO7" s="116" cm="1">
        <f t="array" ref="DO7">_xll.EQNXTDZ($A$1,$B7,DO$1)</f>
        <v>153.30000000000001</v>
      </c>
      <c r="DP7" s="116" cm="1">
        <f t="array" ref="DP7">_xll.EQNXTDZ($A$1,$B7,DP$1)</f>
        <v>194.45</v>
      </c>
      <c r="DQ7" s="116" cm="1">
        <f t="array" ref="DQ7">_xll.EQNXTDZ($A$1,$B7,DQ$1)</f>
        <v>239</v>
      </c>
      <c r="DR7" s="116" cm="1">
        <f t="array" ref="DR7">_xll.EQNXTDZ($A$1,$B7,DR$1)</f>
        <v>212.55</v>
      </c>
      <c r="DS7" s="116" cm="1">
        <f t="array" ref="DS7">_xll.EQNXTDZ($A$1,$B7,DS$1)</f>
        <v>203.3</v>
      </c>
      <c r="DT7" s="116" cm="1">
        <f t="array" ref="DT7">_xll.EQNXTDZ($A$1,$B7,DT$1)</f>
        <v>225</v>
      </c>
      <c r="DU7" s="116" cm="1">
        <f t="array" ref="DU7">_xll.EQNXTDZ($A$1,$B7,DU$1)</f>
        <v>300</v>
      </c>
      <c r="DV7" s="116" cm="1">
        <f t="array" ref="DV7">_xll.EQNXTDZ($A$1,$B7,DV$1)</f>
        <v>315.3</v>
      </c>
      <c r="DW7" s="116" cm="1">
        <f t="array" ref="DW7">_xll.EQNXTDZ($A$1,$B7,DW$1)</f>
        <v>347.9</v>
      </c>
      <c r="DX7" s="116" cm="1">
        <f t="array" ref="DX7">_xll.EQNXTDZ($A$1,$B7,DX$1)</f>
        <v>334.45</v>
      </c>
      <c r="DY7" s="116" cm="1">
        <f t="array" ref="DY7">_xll.EQNXTDZ($A$1,$B7,DY$1)</f>
        <v>307</v>
      </c>
      <c r="DZ7" s="116" cm="1">
        <f t="array" ref="DZ7">_xll.EQNXTDZ($A$1,$B7,DZ$1)</f>
        <v>294.5</v>
      </c>
      <c r="EA7" s="116" cm="1">
        <f t="array" ref="EA7">_xll.EQNXTDZ($A$1,$B7,EA$1)</f>
        <v>287.95</v>
      </c>
      <c r="EB7" s="116" cm="1">
        <f t="array" ref="EB7">_xll.EQNXTDZ($A$1,$B7,EB$1)</f>
        <v>266</v>
      </c>
      <c r="EC7" s="116" cm="1">
        <f t="array" ref="EC7">_xll.EQNXTDZ($A$1,$B7,EC$1)</f>
        <v>285</v>
      </c>
      <c r="ED7" s="116" cm="1">
        <f t="array" ref="ED7">_xll.EQNXTDZ($A$1,$B7,ED$1)</f>
        <v>303.64999999999998</v>
      </c>
      <c r="EE7" s="116" cm="1">
        <f t="array" ref="EE7">_xll.EQNXTDZ($A$1,$B7,EE$1)</f>
        <v>286.60000000000002</v>
      </c>
      <c r="EF7" s="116" cm="1">
        <f t="array" ref="EF7">_xll.EQNXTDZ($A$1,$B7,EF$1)</f>
        <v>303</v>
      </c>
      <c r="EG7" s="116" cm="1">
        <f t="array" ref="EG7">_xll.EQNXTDZ($A$1,$B7,EG$1)</f>
        <v>321</v>
      </c>
      <c r="EH7" s="116" cm="1">
        <f t="array" ref="EH7">_xll.EQNXTDZ($A$1,$B7,EH$1)</f>
        <v>421.85</v>
      </c>
      <c r="EI7" s="116" cm="1">
        <f t="array" ref="EI7">_xll.EQNXTDZ($A$1,$B7,EI$1)</f>
        <v>387.3</v>
      </c>
      <c r="EJ7" s="116" cm="1">
        <f t="array" ref="EJ7">_xll.EQNXTDZ($A$1,$B7,EJ$1)</f>
        <v>351.95</v>
      </c>
      <c r="EK7" s="116" cm="1">
        <f t="array" ref="EK7">_xll.EQNXTDZ($A$1,$B7,EK$1)</f>
        <v>372.85</v>
      </c>
      <c r="EL7" s="116" cm="1">
        <f t="array" ref="EL7">_xll.EQNXTDZ($A$1,$B7,EL$1)</f>
        <v>383.3</v>
      </c>
      <c r="EM7" s="116" cm="1">
        <f t="array" ref="EM7">_xll.EQNXTDZ($A$1,$B7,EM$1)</f>
        <v>350</v>
      </c>
      <c r="EN7" s="116" cm="1">
        <f t="array" ref="EN7">_xll.EQNXTDZ($A$1,$B7,EN$1)</f>
        <v>348.9</v>
      </c>
      <c r="EO7" s="116" cm="1">
        <f t="array" ref="EO7">_xll.EQNXTDZ($A$1,$B7,EO$1)</f>
        <v>354</v>
      </c>
      <c r="EP7" s="116" cm="1">
        <f t="array" ref="EP7">_xll.EQNXTDZ($A$1,$B7,EP$1)</f>
        <v>345.9</v>
      </c>
      <c r="EQ7" s="116" cm="1">
        <f t="array" ref="EQ7">_xll.EQNXTDZ($A$1,$B7,EQ$1)</f>
        <v>360.9</v>
      </c>
      <c r="ER7" s="116" cm="1">
        <f t="array" ref="ER7">_xll.EQNXTDZ($A$1,$B7,ER$1)</f>
        <v>372</v>
      </c>
      <c r="ES7" s="116" cm="1">
        <f t="array" ref="ES7">_xll.EQNXTDZ($A$1,$B7,ES$1)</f>
        <v>373.45</v>
      </c>
      <c r="ET7" s="116" cm="1">
        <f t="array" ref="ET7">_xll.EQNXTDZ($A$1,$B7,ET$1)</f>
        <v>371</v>
      </c>
      <c r="EU7" s="116" cm="1">
        <f t="array" ref="EU7">_xll.EQNXTDZ($A$1,$B7,EU$1)</f>
        <v>343.7</v>
      </c>
      <c r="EV7" s="116" cm="1">
        <f t="array" ref="EV7">_xll.EQNXTDZ($A$1,$B7,EV$1)</f>
        <v>315.95</v>
      </c>
      <c r="EW7" s="116" cm="1">
        <f t="array" ref="EW7">_xll.EQNXTDZ($A$1,$B7,EW$1)</f>
        <v>335.25</v>
      </c>
      <c r="EX7" s="116" cm="1">
        <f t="array" ref="EX7">_xll.EQNXTDZ($A$1,$B7,EX$1)</f>
        <v>320.95</v>
      </c>
      <c r="EY7" s="116" cm="1">
        <f t="array" ref="EY7">_xll.EQNXTDZ($A$1,$B7,EY$1)</f>
        <v>316.25</v>
      </c>
      <c r="EZ7" s="116" cm="1">
        <f t="array" ref="EZ7">_xll.EQNXTDZ($A$1,$B7,EZ$1)</f>
        <v>295.7</v>
      </c>
      <c r="FA7" s="116" cm="1">
        <f t="array" ref="FA7">_xll.EQNXTDZ($A$1,$B7,FA$1)</f>
        <v>284</v>
      </c>
      <c r="FB7" s="116" cm="1">
        <f t="array" ref="FB7">_xll.EQNXTDZ($A$1,$B7,FB$1)</f>
        <v>309.89999999999998</v>
      </c>
      <c r="FC7" s="116" cm="1">
        <f t="array" ref="FC7">_xll.EQNXTDZ($A$1,$B7,FC$1)</f>
        <v>318</v>
      </c>
      <c r="FD7" s="116" cm="1">
        <f t="array" ref="FD7">_xll.EQNXTDZ($A$1,$B7,FD$1)</f>
        <v>316.95</v>
      </c>
      <c r="FE7" s="116" cm="1">
        <f t="array" ref="FE7">_xll.EQNXTDZ($A$1,$B7,FE$1)</f>
        <v>287.39999999999998</v>
      </c>
      <c r="FF7" s="116" cm="1">
        <f t="array" ref="FF7">_xll.EQNXTDZ($A$1,$B7,FF$1)</f>
        <v>276</v>
      </c>
      <c r="FG7" s="116" cm="1">
        <f t="array" ref="FG7">_xll.EQNXTDZ($A$1,$B7,FG$1)</f>
        <v>267.5</v>
      </c>
      <c r="FH7" s="116" cm="1">
        <f t="array" ref="FH7">_xll.EQNXTDZ($A$1,$B7,FH$1)</f>
        <v>263.89999999999998</v>
      </c>
      <c r="FI7" s="116" cm="1">
        <f t="array" ref="FI7">_xll.EQNXTDZ($A$1,$B7,FI$1)</f>
        <v>248.94</v>
      </c>
      <c r="FJ7" s="116" cm="1">
        <f t="array" ref="FJ7">_xll.EQNXTDZ($A$1,$B7,FJ$1)</f>
        <v>242.5</v>
      </c>
      <c r="FK7" s="116" cm="1">
        <f t="array" ref="FK7">_xll.EQNXTDZ($A$1,$B7,FK$1)</f>
        <v>293.11</v>
      </c>
      <c r="FL7" s="116" cm="1">
        <f t="array" ref="FL7">_xll.EQNXTDZ($A$1,$B7,FL$1)</f>
        <v>274.8</v>
      </c>
      <c r="FM7" s="116" cm="1">
        <f t="array" ref="FM7">_xll.EQNXTDZ($A$1,$B7,FM$1)</f>
        <v>280.79000000000002</v>
      </c>
      <c r="FN7" s="116" cm="1">
        <f t="array" ref="FN7">_xll.EQNXTDZ($A$1,$B7,FN$1)</f>
        <v>275.45</v>
      </c>
      <c r="FO7" s="116" cm="1">
        <f t="array" ref="FO7">_xll.EQNXTDZ($A$1,$B7,FO$1)</f>
        <v>241.79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46.6</v>
      </c>
      <c r="HQ7" s="116">
        <f>+MAX(G7:I7)</f>
        <v>58.4</v>
      </c>
      <c r="HR7" s="116">
        <f>+MAX(J7:L7)</f>
        <v>51.6</v>
      </c>
      <c r="HS7" s="116">
        <f>+MAX(M7:O7)</f>
        <v>49.6</v>
      </c>
      <c r="HT7" s="116">
        <f>+MAX(P7:R7)</f>
        <v>45.97</v>
      </c>
      <c r="HU7" s="116">
        <f>+MAX(S7:U7)</f>
        <v>39.78</v>
      </c>
      <c r="HV7" s="116">
        <f>+MAX(V7:X7)</f>
        <v>39.56</v>
      </c>
      <c r="HW7" s="116">
        <f>+MAX(Y7:AA7)</f>
        <v>53.54</v>
      </c>
      <c r="HX7" s="116">
        <f>+MAX(AB7:AD7)</f>
        <v>54</v>
      </c>
      <c r="HY7" s="116">
        <f>+MAX(AE7:AG7)</f>
        <v>57.6</v>
      </c>
      <c r="HZ7" s="116">
        <f>+MAX(AH7:AJ7)</f>
        <v>51.8</v>
      </c>
      <c r="IA7" s="116">
        <f>+MAX(AK7:AM7)</f>
        <v>42.8</v>
      </c>
      <c r="IB7" s="116">
        <f>+MAX(AN7:AP7)</f>
        <v>54.38</v>
      </c>
      <c r="IC7" s="116">
        <f>+MAX(AQ7:AS7)</f>
        <v>50</v>
      </c>
      <c r="ID7" s="116">
        <f>+MAX(AT7:AV7)</f>
        <v>57.38</v>
      </c>
      <c r="IE7" s="116">
        <f>+MAX(AW7:AY7)</f>
        <v>60.8</v>
      </c>
      <c r="IF7" s="116">
        <f>+MAX(AZ7:BB7)</f>
        <v>103.4</v>
      </c>
      <c r="IG7" s="116">
        <f>+MAX(BC7:BE7)</f>
        <v>165</v>
      </c>
      <c r="IH7" s="116">
        <f>+MAX(BF7:BH7)</f>
        <v>174</v>
      </c>
      <c r="II7" s="116">
        <f>+MAX(BI7:BK7)</f>
        <v>169.39</v>
      </c>
      <c r="IJ7" s="116">
        <f>+MAX(BL7:BN7)</f>
        <v>165.57</v>
      </c>
      <c r="IK7" s="116">
        <f>+MAX(BO7:BQ7)</f>
        <v>189.86</v>
      </c>
      <c r="IL7" s="116">
        <f>+MAX(BR7:BT7)</f>
        <v>245</v>
      </c>
      <c r="IM7" s="116">
        <f>+MAX(BU7:BW7)</f>
        <v>199.78</v>
      </c>
      <c r="IN7" s="116">
        <f>+MAX(BX7:BZ7)</f>
        <v>269.54000000000002</v>
      </c>
      <c r="IO7" s="116">
        <f>+MAX(CA7:CC7)</f>
        <v>251</v>
      </c>
      <c r="IP7" s="116">
        <f>+MAX(CD7:CF7)</f>
        <v>228.4</v>
      </c>
      <c r="IQ7" s="116">
        <f>+MAX(CG7:CI7)</f>
        <v>205</v>
      </c>
      <c r="IR7" s="116">
        <f>+MAX(CJ7:CL7)</f>
        <v>224</v>
      </c>
      <c r="IS7" s="116">
        <f>+MAX(CM7:CO7)</f>
        <v>210.7</v>
      </c>
      <c r="IT7" s="116">
        <f>+MAX(CP7:CR7)</f>
        <v>180.05</v>
      </c>
      <c r="IU7" s="116">
        <f>+MAX(CS7:CU7)</f>
        <v>184.05</v>
      </c>
      <c r="IV7" s="116">
        <f>+MAX(CV7:CX7)</f>
        <v>164</v>
      </c>
      <c r="IW7" s="116">
        <f>+MAX(CY7:DA7)</f>
        <v>171</v>
      </c>
      <c r="IX7" s="116">
        <f>+MAX(DB7:DD7)</f>
        <v>171.8</v>
      </c>
      <c r="IY7" s="116">
        <f>+MAX(DE7:DG7)</f>
        <v>204.7</v>
      </c>
      <c r="IZ7" s="116">
        <f>+MAX(DH7:DJ7)</f>
        <v>228.8</v>
      </c>
      <c r="JA7" s="116">
        <f>+MAX(DK7:DM7)</f>
        <v>194.9</v>
      </c>
      <c r="JB7" s="116">
        <f>+MAX(DN7:DP7)</f>
        <v>194.45</v>
      </c>
      <c r="JC7" s="116">
        <f>+MAX(DQ7:DS7)</f>
        <v>239</v>
      </c>
      <c r="JD7" s="116">
        <f>+MAX(DT7:DV7)</f>
        <v>315.3</v>
      </c>
      <c r="JE7" s="116">
        <f>+MAX(DW7:DY7)</f>
        <v>347.9</v>
      </c>
      <c r="JF7" s="116">
        <f>+MAX(DZ7:EB7)</f>
        <v>294.5</v>
      </c>
      <c r="JG7" s="116">
        <f>+MAX(EC7:EE7)</f>
        <v>303.64999999999998</v>
      </c>
      <c r="JH7" s="116">
        <f>+MAX(EF7:EH7)</f>
        <v>421.85</v>
      </c>
      <c r="JI7" s="116">
        <f>+MAX(EI7:EK7)</f>
        <v>387.3</v>
      </c>
      <c r="JJ7" s="116">
        <f>+MAX(EL7:EN7)</f>
        <v>383.3</v>
      </c>
      <c r="JK7" s="116">
        <f>MAX(EO7:EQ7)</f>
        <v>360.9</v>
      </c>
      <c r="JL7" s="116">
        <f>MAX(ER7:ET7)</f>
        <v>373.45</v>
      </c>
      <c r="JM7" s="116">
        <f>MAX(EU7:EW7)</f>
        <v>343.7</v>
      </c>
      <c r="JN7" s="116">
        <f>MAX(EX7:EZ7)</f>
        <v>320.95</v>
      </c>
      <c r="JO7" s="116">
        <f>MAX(FA7:FC7)</f>
        <v>318</v>
      </c>
      <c r="JP7" s="116">
        <f>MAX(FD7:FF7)</f>
        <v>316.95</v>
      </c>
      <c r="JQ7" s="116">
        <f>MAX(FG7:FI7)</f>
        <v>267.5</v>
      </c>
      <c r="JR7" s="116">
        <f>MAX(FJ7:FL7)</f>
        <v>293.11</v>
      </c>
      <c r="JS7" s="116">
        <f>MAX(FM7:FO7)</f>
        <v>280.79000000000002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36.99</v>
      </c>
      <c r="D8" s="116" cm="1">
        <f t="array" ref="D8">_xll.EQNXTDZ($A$1,$B8,D$1)</f>
        <v>37.409999999999997</v>
      </c>
      <c r="E8" s="116" cm="1">
        <f t="array" ref="E8">_xll.EQNXTDZ($A$1,$B8,E$1)</f>
        <v>36.799999999999997</v>
      </c>
      <c r="F8" s="116" cm="1">
        <f t="array" ref="F8">_xll.EQNXTDZ($A$1,$B8,F$1)</f>
        <v>36.200000000000003</v>
      </c>
      <c r="G8" s="116" cm="1">
        <f t="array" ref="G8">_xll.EQNXTDZ($A$1,$B8,G$1)</f>
        <v>40.799999999999997</v>
      </c>
      <c r="H8" s="116" cm="1">
        <f t="array" ref="H8">_xll.EQNXTDZ($A$1,$B8,H$1)</f>
        <v>44.22</v>
      </c>
      <c r="I8" s="116" cm="1">
        <f t="array" ref="I8">_xll.EQNXTDZ($A$1,$B8,I$1)</f>
        <v>48.02</v>
      </c>
      <c r="J8" s="116" cm="1">
        <f t="array" ref="J8">_xll.EQNXTDZ($A$1,$B8,J$1)</f>
        <v>45.01</v>
      </c>
      <c r="K8" s="116" cm="1">
        <f t="array" ref="K8">_xll.EQNXTDZ($A$1,$B8,K$1)</f>
        <v>41.2</v>
      </c>
      <c r="L8" s="116" cm="1">
        <f t="array" ref="L8">_xll.EQNXTDZ($A$1,$B8,L$1)</f>
        <v>39.4</v>
      </c>
      <c r="M8" s="116" cm="1">
        <f t="array" ref="M8">_xll.EQNXTDZ($A$1,$B8,M$1)</f>
        <v>42.81</v>
      </c>
      <c r="N8" s="116" cm="1">
        <f t="array" ref="N8">_xll.EQNXTDZ($A$1,$B8,N$1)</f>
        <v>40.020000000000003</v>
      </c>
      <c r="O8" s="116" cm="1">
        <f t="array" ref="O8">_xll.EQNXTDZ($A$1,$B8,O$1)</f>
        <v>41.21</v>
      </c>
      <c r="P8" s="116" cm="1">
        <f t="array" ref="P8">_xll.EQNXTDZ($A$1,$B8,P$1)</f>
        <v>38.020000000000003</v>
      </c>
      <c r="Q8" s="116" cm="1">
        <f t="array" ref="Q8">_xll.EQNXTDZ($A$1,$B8,Q$1)</f>
        <v>33.15</v>
      </c>
      <c r="R8" s="116" cm="1">
        <f t="array" ref="R8">_xll.EQNXTDZ($A$1,$B8,R$1)</f>
        <v>34.6</v>
      </c>
      <c r="S8" s="116" cm="1">
        <f t="array" ref="S8">_xll.EQNXTDZ($A$1,$B8,S$1)</f>
        <v>34</v>
      </c>
      <c r="T8" s="116" cm="1">
        <f t="array" ref="T8">_xll.EQNXTDZ($A$1,$B8,T$1)</f>
        <v>33.6</v>
      </c>
      <c r="U8" s="116" cm="1">
        <f t="array" ref="U8">_xll.EQNXTDZ($A$1,$B8,U$1)</f>
        <v>35</v>
      </c>
      <c r="V8" s="116" cm="1">
        <f t="array" ref="V8">_xll.EQNXTDZ($A$1,$B8,V$1)</f>
        <v>33.96</v>
      </c>
      <c r="W8" s="116" cm="1">
        <f t="array" ref="W8">_xll.EQNXTDZ($A$1,$B8,W$1)</f>
        <v>34</v>
      </c>
      <c r="X8" s="116" cm="1">
        <f t="array" ref="X8">_xll.EQNXTDZ($A$1,$B8,X$1)</f>
        <v>33</v>
      </c>
      <c r="Y8" s="116" cm="1">
        <f t="array" ref="Y8">_xll.EQNXTDZ($A$1,$B8,Y$1)</f>
        <v>35.25</v>
      </c>
      <c r="Z8" s="116" cm="1">
        <f t="array" ref="Z8">_xll.EQNXTDZ($A$1,$B8,Z$1)</f>
        <v>38.01</v>
      </c>
      <c r="AA8" s="116" cm="1">
        <f t="array" ref="AA8">_xll.EQNXTDZ($A$1,$B8,AA$1)</f>
        <v>43.6</v>
      </c>
      <c r="AB8" s="116" cm="1">
        <f t="array" ref="AB8">_xll.EQNXTDZ($A$1,$B8,AB$1)</f>
        <v>43.01</v>
      </c>
      <c r="AC8" s="116" cm="1">
        <f t="array" ref="AC8">_xll.EQNXTDZ($A$1,$B8,AC$1)</f>
        <v>41.42</v>
      </c>
      <c r="AD8" s="116" cm="1">
        <f t="array" ref="AD8">_xll.EQNXTDZ($A$1,$B8,AD$1)</f>
        <v>43</v>
      </c>
      <c r="AE8" s="116" cm="1">
        <f t="array" ref="AE8">_xll.EQNXTDZ($A$1,$B8,AE$1)</f>
        <v>40.24</v>
      </c>
      <c r="AF8" s="116" cm="1">
        <f t="array" ref="AF8">_xll.EQNXTDZ($A$1,$B8,AF$1)</f>
        <v>42.2</v>
      </c>
      <c r="AG8" s="116" cm="1">
        <f t="array" ref="AG8">_xll.EQNXTDZ($A$1,$B8,AG$1)</f>
        <v>43.27</v>
      </c>
      <c r="AH8" s="116" cm="1">
        <f t="array" ref="AH8">_xll.EQNXTDZ($A$1,$B8,AH$1)</f>
        <v>44.61</v>
      </c>
      <c r="AI8" s="116" cm="1">
        <f t="array" ref="AI8">_xll.EQNXTDZ($A$1,$B8,AI$1)</f>
        <v>41.4</v>
      </c>
      <c r="AJ8" s="116" cm="1">
        <f t="array" ref="AJ8">_xll.EQNXTDZ($A$1,$B8,AJ$1)</f>
        <v>36.01</v>
      </c>
      <c r="AK8" s="116" cm="1">
        <f t="array" ref="AK8">_xll.EQNXTDZ($A$1,$B8,AK$1)</f>
        <v>36.21</v>
      </c>
      <c r="AL8" s="116" cm="1">
        <f t="array" ref="AL8">_xll.EQNXTDZ($A$1,$B8,AL$1)</f>
        <v>36.21</v>
      </c>
      <c r="AM8" s="116" cm="1">
        <f t="array" ref="AM8">_xll.EQNXTDZ($A$1,$B8,AM$1)</f>
        <v>36.26</v>
      </c>
      <c r="AN8" s="116" cm="1">
        <f t="array" ref="AN8">_xll.EQNXTDZ($A$1,$B8,AN$1)</f>
        <v>38.799999999999997</v>
      </c>
      <c r="AO8" s="116" cm="1">
        <f t="array" ref="AO8">_xll.EQNXTDZ($A$1,$B8,AO$1)</f>
        <v>37.82</v>
      </c>
      <c r="AP8" s="116" cm="1">
        <f t="array" ref="AP8">_xll.EQNXTDZ($A$1,$B8,AP$1)</f>
        <v>37.4</v>
      </c>
      <c r="AQ8" s="116" cm="1">
        <f t="array" ref="AQ8">_xll.EQNXTDZ($A$1,$B8,AQ$1)</f>
        <v>44.06</v>
      </c>
      <c r="AR8" s="116" cm="1">
        <f t="array" ref="AR8">_xll.EQNXTDZ($A$1,$B8,AR$1)</f>
        <v>43.45</v>
      </c>
      <c r="AS8" s="116" cm="1">
        <f t="array" ref="AS8">_xll.EQNXTDZ($A$1,$B8,AS$1)</f>
        <v>43</v>
      </c>
      <c r="AT8" s="116" cm="1">
        <f t="array" ref="AT8">_xll.EQNXTDZ($A$1,$B8,AT$1)</f>
        <v>40</v>
      </c>
      <c r="AU8" s="116" cm="1">
        <f t="array" ref="AU8">_xll.EQNXTDZ($A$1,$B8,AU$1)</f>
        <v>38.36</v>
      </c>
      <c r="AV8" s="116" cm="1">
        <f t="array" ref="AV8">_xll.EQNXTDZ($A$1,$B8,AV$1)</f>
        <v>44.2</v>
      </c>
      <c r="AW8" s="116" cm="1">
        <f t="array" ref="AW8">_xll.EQNXTDZ($A$1,$B8,AW$1)</f>
        <v>45.4</v>
      </c>
      <c r="AX8" s="116" cm="1">
        <f t="array" ref="AX8">_xll.EQNXTDZ($A$1,$B8,AX$1)</f>
        <v>45.24</v>
      </c>
      <c r="AY8" s="116" cm="1">
        <f t="array" ref="AY8">_xll.EQNXTDZ($A$1,$B8,AY$1)</f>
        <v>49.45</v>
      </c>
      <c r="AZ8" s="116" cm="1">
        <f t="array" ref="AZ8">_xll.EQNXTDZ($A$1,$B8,AZ$1)</f>
        <v>55.62</v>
      </c>
      <c r="BA8" s="116" cm="1">
        <f t="array" ref="BA8">_xll.EQNXTDZ($A$1,$B8,BA$1)</f>
        <v>75</v>
      </c>
      <c r="BB8" s="116" cm="1">
        <f t="array" ref="BB8">_xll.EQNXTDZ($A$1,$B8,BB$1)</f>
        <v>86.16</v>
      </c>
      <c r="BC8" s="116" cm="1">
        <f t="array" ref="BC8">_xll.EQNXTDZ($A$1,$B8,BC$1)</f>
        <v>98.01</v>
      </c>
      <c r="BD8" s="116" cm="1">
        <f t="array" ref="BD8">_xll.EQNXTDZ($A$1,$B8,BD$1)</f>
        <v>112.2</v>
      </c>
      <c r="BE8" s="116" cm="1">
        <f t="array" ref="BE8">_xll.EQNXTDZ($A$1,$B8,BE$1)</f>
        <v>131.55000000000001</v>
      </c>
      <c r="BF8" s="116" cm="1">
        <f t="array" ref="BF8">_xll.EQNXTDZ($A$1,$B8,BF$1)</f>
        <v>136.62</v>
      </c>
      <c r="BG8" s="116" cm="1">
        <f t="array" ref="BG8">_xll.EQNXTDZ($A$1,$B8,BG$1)</f>
        <v>143.37</v>
      </c>
      <c r="BH8" s="116" cm="1">
        <f t="array" ref="BH8">_xll.EQNXTDZ($A$1,$B8,BH$1)</f>
        <v>148.30000000000001</v>
      </c>
      <c r="BI8" s="116" cm="1">
        <f t="array" ref="BI8">_xll.EQNXTDZ($A$1,$B8,BI$1)</f>
        <v>140.01</v>
      </c>
      <c r="BJ8" s="116" cm="1">
        <f t="array" ref="BJ8">_xll.EQNXTDZ($A$1,$B8,BJ$1)</f>
        <v>141.01</v>
      </c>
      <c r="BK8" s="116" cm="1">
        <f t="array" ref="BK8">_xll.EQNXTDZ($A$1,$B8,BK$1)</f>
        <v>144.6</v>
      </c>
      <c r="BL8" s="116" cm="1">
        <f t="array" ref="BL8">_xll.EQNXTDZ($A$1,$B8,BL$1)</f>
        <v>144.06</v>
      </c>
      <c r="BM8" s="116" cm="1">
        <f t="array" ref="BM8">_xll.EQNXTDZ($A$1,$B8,BM$1)</f>
        <v>128.44999999999999</v>
      </c>
      <c r="BN8" s="116" cm="1">
        <f t="array" ref="BN8">_xll.EQNXTDZ($A$1,$B8,BN$1)</f>
        <v>136.65</v>
      </c>
      <c r="BO8" s="116" cm="1">
        <f t="array" ref="BO8">_xll.EQNXTDZ($A$1,$B8,BO$1)</f>
        <v>144.01</v>
      </c>
      <c r="BP8" s="116" cm="1">
        <f t="array" ref="BP8">_xll.EQNXTDZ($A$1,$B8,BP$1)</f>
        <v>146</v>
      </c>
      <c r="BQ8" s="116" cm="1">
        <f t="array" ref="BQ8">_xll.EQNXTDZ($A$1,$B8,BQ$1)</f>
        <v>155.19999999999999</v>
      </c>
      <c r="BR8" s="116" cm="1">
        <f t="array" ref="BR8">_xll.EQNXTDZ($A$1,$B8,BR$1)</f>
        <v>174.45</v>
      </c>
      <c r="BS8" s="116" cm="1">
        <f t="array" ref="BS8">_xll.EQNXTDZ($A$1,$B8,BS$1)</f>
        <v>167.41</v>
      </c>
      <c r="BT8" s="116" cm="1">
        <f t="array" ref="BT8">_xll.EQNXTDZ($A$1,$B8,BT$1)</f>
        <v>158.4</v>
      </c>
      <c r="BU8" s="116" cm="1">
        <f t="array" ref="BU8">_xll.EQNXTDZ($A$1,$B8,BU$1)</f>
        <v>170.92</v>
      </c>
      <c r="BV8" s="116" cm="1">
        <f t="array" ref="BV8">_xll.EQNXTDZ($A$1,$B8,BV$1)</f>
        <v>180.02</v>
      </c>
      <c r="BW8" s="116" cm="1">
        <f t="array" ref="BW8">_xll.EQNXTDZ($A$1,$B8,BW$1)</f>
        <v>166</v>
      </c>
      <c r="BX8" s="116" cm="1">
        <f t="array" ref="BX8">_xll.EQNXTDZ($A$1,$B8,BX$1)</f>
        <v>165.02</v>
      </c>
      <c r="BY8" s="116" cm="1">
        <f t="array" ref="BY8">_xll.EQNXTDZ($A$1,$B8,BY$1)</f>
        <v>172.42</v>
      </c>
      <c r="BZ8" s="116" cm="1">
        <f t="array" ref="BZ8">_xll.EQNXTDZ($A$1,$B8,BZ$1)</f>
        <v>194</v>
      </c>
      <c r="CA8" s="116" cm="1">
        <f t="array" ref="CA8">_xll.EQNXTDZ($A$1,$B8,CA$1)</f>
        <v>190</v>
      </c>
      <c r="CB8" s="116" cm="1">
        <f t="array" ref="CB8">_xll.EQNXTDZ($A$1,$B8,CB$1)</f>
        <v>216.11</v>
      </c>
      <c r="CC8" s="116" cm="1">
        <f t="array" ref="CC8">_xll.EQNXTDZ($A$1,$B8,CC$1)</f>
        <v>209.02</v>
      </c>
      <c r="CD8" s="116" cm="1">
        <f t="array" ref="CD8">_xll.EQNXTDZ($A$1,$B8,CD$1)</f>
        <v>195.61</v>
      </c>
      <c r="CE8" s="116" cm="1">
        <f t="array" ref="CE8">_xll.EQNXTDZ($A$1,$B8,CE$1)</f>
        <v>163.6</v>
      </c>
      <c r="CF8" s="116" cm="1">
        <f t="array" ref="CF8">_xll.EQNXTDZ($A$1,$B8,CF$1)</f>
        <v>172.83</v>
      </c>
      <c r="CG8" s="116" cm="1">
        <f t="array" ref="CG8">_xll.EQNXTDZ($A$1,$B8,CG$1)</f>
        <v>180.02</v>
      </c>
      <c r="CH8" s="116" cm="1">
        <f t="array" ref="CH8">_xll.EQNXTDZ($A$1,$B8,CH$1)</f>
        <v>177.43</v>
      </c>
      <c r="CI8" s="116" cm="1">
        <f t="array" ref="CI8">_xll.EQNXTDZ($A$1,$B8,CI$1)</f>
        <v>181.64</v>
      </c>
      <c r="CJ8" s="116" cm="1">
        <f t="array" ref="CJ8">_xll.EQNXTDZ($A$1,$B8,CJ$1)</f>
        <v>164.2</v>
      </c>
      <c r="CK8" s="116" cm="1">
        <f t="array" ref="CK8">_xll.EQNXTDZ($A$1,$B8,CK$1)</f>
        <v>160.32</v>
      </c>
      <c r="CL8" s="116" cm="1">
        <f t="array" ref="CL8">_xll.EQNXTDZ($A$1,$B8,CL$1)</f>
        <v>163.05000000000001</v>
      </c>
      <c r="CM8" s="116" cm="1">
        <f t="array" ref="CM8">_xll.EQNXTDZ($A$1,$B8,CM$1)</f>
        <v>168.3</v>
      </c>
      <c r="CN8" s="116" cm="1">
        <f t="array" ref="CN8">_xll.EQNXTDZ($A$1,$B8,CN$1)</f>
        <v>165.05</v>
      </c>
      <c r="CO8" s="116" cm="1">
        <f t="array" ref="CO8">_xll.EQNXTDZ($A$1,$B8,CO$1)</f>
        <v>160.75</v>
      </c>
      <c r="CP8" s="116" cm="1">
        <f t="array" ref="CP8">_xll.EQNXTDZ($A$1,$B8,CP$1)</f>
        <v>162.44999999999999</v>
      </c>
      <c r="CQ8" s="116" cm="1">
        <f t="array" ref="CQ8">_xll.EQNXTDZ($A$1,$B8,CQ$1)</f>
        <v>137.05000000000001</v>
      </c>
      <c r="CR8" s="116" cm="1">
        <f t="array" ref="CR8">_xll.EQNXTDZ($A$1,$B8,CR$1)</f>
        <v>80</v>
      </c>
      <c r="CS8" s="116" cm="1">
        <f t="array" ref="CS8">_xll.EQNXTDZ($A$1,$B8,CS$1)</f>
        <v>102.2</v>
      </c>
      <c r="CT8" s="116" cm="1">
        <f t="array" ref="CT8">_xll.EQNXTDZ($A$1,$B8,CT$1)</f>
        <v>116.7</v>
      </c>
      <c r="CU8" s="116" cm="1">
        <f t="array" ref="CU8">_xll.EQNXTDZ($A$1,$B8,CU$1)</f>
        <v>127.55</v>
      </c>
      <c r="CV8" s="116" cm="1">
        <f t="array" ref="CV8">_xll.EQNXTDZ($A$1,$B8,CV$1)</f>
        <v>143.5</v>
      </c>
      <c r="CW8" s="116" cm="1">
        <f t="array" ref="CW8">_xll.EQNXTDZ($A$1,$B8,CW$1)</f>
        <v>145</v>
      </c>
      <c r="CX8" s="116" cm="1">
        <f t="array" ref="CX8">_xll.EQNXTDZ($A$1,$B8,CX$1)</f>
        <v>132</v>
      </c>
      <c r="CY8" s="116" cm="1">
        <f t="array" ref="CY8">_xll.EQNXTDZ($A$1,$B8,CY$1)</f>
        <v>125.4</v>
      </c>
      <c r="CZ8" s="116" cm="1">
        <f t="array" ref="CZ8">_xll.EQNXTDZ($A$1,$B8,CZ$1)</f>
        <v>125.35</v>
      </c>
      <c r="DA8" s="116" cm="1">
        <f t="array" ref="DA8">_xll.EQNXTDZ($A$1,$B8,DA$1)</f>
        <v>140</v>
      </c>
      <c r="DB8" s="116" cm="1">
        <f t="array" ref="DB8">_xll.EQNXTDZ($A$1,$B8,DB$1)</f>
        <v>141.6</v>
      </c>
      <c r="DC8" s="116" cm="1">
        <f t="array" ref="DC8">_xll.EQNXTDZ($A$1,$B8,DC$1)</f>
        <v>136.69999999999999</v>
      </c>
      <c r="DD8" s="116" cm="1">
        <f t="array" ref="DD8">_xll.EQNXTDZ($A$1,$B8,DD$1)</f>
        <v>152</v>
      </c>
      <c r="DE8" s="116" cm="1">
        <f t="array" ref="DE8">_xll.EQNXTDZ($A$1,$B8,DE$1)</f>
        <v>145.65</v>
      </c>
      <c r="DF8" s="116" cm="1">
        <f t="array" ref="DF8">_xll.EQNXTDZ($A$1,$B8,DF$1)</f>
        <v>151</v>
      </c>
      <c r="DG8" s="116" cm="1">
        <f t="array" ref="DG8">_xll.EQNXTDZ($A$1,$B8,DG$1)</f>
        <v>165</v>
      </c>
      <c r="DH8" s="116" cm="1">
        <f t="array" ref="DH8">_xll.EQNXTDZ($A$1,$B8,DH$1)</f>
        <v>186.8</v>
      </c>
      <c r="DI8" s="116" cm="1">
        <f t="array" ref="DI8">_xll.EQNXTDZ($A$1,$B8,DI$1)</f>
        <v>168</v>
      </c>
      <c r="DJ8" s="116" cm="1">
        <f t="array" ref="DJ8">_xll.EQNXTDZ($A$1,$B8,DJ$1)</f>
        <v>170.5</v>
      </c>
      <c r="DK8" s="116" cm="1">
        <f t="array" ref="DK8">_xll.EQNXTDZ($A$1,$B8,DK$1)</f>
        <v>169.1</v>
      </c>
      <c r="DL8" s="116" cm="1">
        <f t="array" ref="DL8">_xll.EQNXTDZ($A$1,$B8,DL$1)</f>
        <v>155</v>
      </c>
      <c r="DM8" s="116" cm="1">
        <f t="array" ref="DM8">_xll.EQNXTDZ($A$1,$B8,DM$1)</f>
        <v>141.05000000000001</v>
      </c>
      <c r="DN8" s="116" cm="1">
        <f t="array" ref="DN8">_xll.EQNXTDZ($A$1,$B8,DN$1)</f>
        <v>147</v>
      </c>
      <c r="DO8" s="116" cm="1">
        <f t="array" ref="DO8">_xll.EQNXTDZ($A$1,$B8,DO$1)</f>
        <v>133.6</v>
      </c>
      <c r="DP8" s="116" cm="1">
        <f t="array" ref="DP8">_xll.EQNXTDZ($A$1,$B8,DP$1)</f>
        <v>138.75</v>
      </c>
      <c r="DQ8" s="116" cm="1">
        <f t="array" ref="DQ8">_xll.EQNXTDZ($A$1,$B8,DQ$1)</f>
        <v>174</v>
      </c>
      <c r="DR8" s="116" cm="1">
        <f t="array" ref="DR8">_xll.EQNXTDZ($A$1,$B8,DR$1)</f>
        <v>176.45</v>
      </c>
      <c r="DS8" s="116" cm="1">
        <f t="array" ref="DS8">_xll.EQNXTDZ($A$1,$B8,DS$1)</f>
        <v>160</v>
      </c>
      <c r="DT8" s="116" cm="1">
        <f t="array" ref="DT8">_xll.EQNXTDZ($A$1,$B8,DT$1)</f>
        <v>188</v>
      </c>
      <c r="DU8" s="116" cm="1">
        <f t="array" ref="DU8">_xll.EQNXTDZ($A$1,$B8,DU$1)</f>
        <v>214.5</v>
      </c>
      <c r="DV8" s="116" cm="1">
        <f t="array" ref="DV8">_xll.EQNXTDZ($A$1,$B8,DV$1)</f>
        <v>257.5</v>
      </c>
      <c r="DW8" s="116" cm="1">
        <f t="array" ref="DW8">_xll.EQNXTDZ($A$1,$B8,DW$1)</f>
        <v>267.25</v>
      </c>
      <c r="DX8" s="116" cm="1">
        <f t="array" ref="DX8">_xll.EQNXTDZ($A$1,$B8,DX$1)</f>
        <v>276.75</v>
      </c>
      <c r="DY8" s="116" cm="1">
        <f t="array" ref="DY8">_xll.EQNXTDZ($A$1,$B8,DY$1)</f>
        <v>241</v>
      </c>
      <c r="DZ8" s="116" cm="1">
        <f t="array" ref="DZ8">_xll.EQNXTDZ($A$1,$B8,DZ$1)</f>
        <v>262</v>
      </c>
      <c r="EA8" s="116" cm="1">
        <f t="array" ref="EA8">_xll.EQNXTDZ($A$1,$B8,EA$1)</f>
        <v>239</v>
      </c>
      <c r="EB8" s="116" cm="1">
        <f t="array" ref="EB8">_xll.EQNXTDZ($A$1,$B8,EB$1)</f>
        <v>220.1</v>
      </c>
      <c r="EC8" s="116" cm="1">
        <f t="array" ref="EC8">_xll.EQNXTDZ($A$1,$B8,EC$1)</f>
        <v>236.85</v>
      </c>
      <c r="ED8" s="116" cm="1">
        <f t="array" ref="ED8">_xll.EQNXTDZ($A$1,$B8,ED$1)</f>
        <v>264.35000000000002</v>
      </c>
      <c r="EE8" s="116" cm="1">
        <f t="array" ref="EE8">_xll.EQNXTDZ($A$1,$B8,EE$1)</f>
        <v>265.10000000000002</v>
      </c>
      <c r="EF8" s="116" cm="1">
        <f t="array" ref="EF8">_xll.EQNXTDZ($A$1,$B8,EF$1)</f>
        <v>265.45</v>
      </c>
      <c r="EG8" s="116" cm="1">
        <f t="array" ref="EG8">_xll.EQNXTDZ($A$1,$B8,EG$1)</f>
        <v>254.15</v>
      </c>
      <c r="EH8" s="116" cm="1">
        <f t="array" ref="EH8">_xll.EQNXTDZ($A$1,$B8,EH$1)</f>
        <v>309.89999999999998</v>
      </c>
      <c r="EI8" s="116" cm="1">
        <f t="array" ref="EI8">_xll.EQNXTDZ($A$1,$B8,EI$1)</f>
        <v>327.60000000000002</v>
      </c>
      <c r="EJ8" s="116" cm="1">
        <f t="array" ref="EJ8">_xll.EQNXTDZ($A$1,$B8,EJ$1)</f>
        <v>323.14999999999998</v>
      </c>
      <c r="EK8" s="116" cm="1">
        <f t="array" ref="EK8">_xll.EQNXTDZ($A$1,$B8,EK$1)</f>
        <v>332.85</v>
      </c>
      <c r="EL8" s="116" cm="1">
        <f t="array" ref="EL8">_xll.EQNXTDZ($A$1,$B8,EL$1)</f>
        <v>323.55</v>
      </c>
      <c r="EM8" s="116" cm="1">
        <f t="array" ref="EM8">_xll.EQNXTDZ($A$1,$B8,EM$1)</f>
        <v>315.10000000000002</v>
      </c>
      <c r="EN8" s="116" cm="1">
        <f t="array" ref="EN8">_xll.EQNXTDZ($A$1,$B8,EN$1)</f>
        <v>286.2</v>
      </c>
      <c r="EO8" s="116" cm="1">
        <f t="array" ref="EO8">_xll.EQNXTDZ($A$1,$B8,EO$1)</f>
        <v>294</v>
      </c>
      <c r="EP8" s="116" cm="1">
        <f t="array" ref="EP8">_xll.EQNXTDZ($A$1,$B8,EP$1)</f>
        <v>311</v>
      </c>
      <c r="EQ8" s="116" cm="1">
        <f t="array" ref="EQ8">_xll.EQNXTDZ($A$1,$B8,EQ$1)</f>
        <v>280</v>
      </c>
      <c r="ER8" s="116" cm="1">
        <f t="array" ref="ER8">_xll.EQNXTDZ($A$1,$B8,ER$1)</f>
        <v>325.10000000000002</v>
      </c>
      <c r="ES8" s="116" cm="1">
        <f t="array" ref="ES8">_xll.EQNXTDZ($A$1,$B8,ES$1)</f>
        <v>325.10000000000002</v>
      </c>
      <c r="ET8" s="116" cm="1">
        <f t="array" ref="ET8">_xll.EQNXTDZ($A$1,$B8,ET$1)</f>
        <v>336.15</v>
      </c>
      <c r="EU8" s="116" cm="1">
        <f t="array" ref="EU8">_xll.EQNXTDZ($A$1,$B8,EU$1)</f>
        <v>285.3</v>
      </c>
      <c r="EV8" s="116" cm="1">
        <f t="array" ref="EV8">_xll.EQNXTDZ($A$1,$B8,EV$1)</f>
        <v>279.3</v>
      </c>
      <c r="EW8" s="116" cm="1">
        <f t="array" ref="EW8">_xll.EQNXTDZ($A$1,$B8,EW$1)</f>
        <v>285</v>
      </c>
      <c r="EX8" s="116" cm="1">
        <f t="array" ref="EX8">_xll.EQNXTDZ($A$1,$B8,EX$1)</f>
        <v>277</v>
      </c>
      <c r="EY8" s="116" cm="1">
        <f t="array" ref="EY8">_xll.EQNXTDZ($A$1,$B8,EY$1)</f>
        <v>272</v>
      </c>
      <c r="EZ8" s="116" cm="1">
        <f t="array" ref="EZ8">_xll.EQNXTDZ($A$1,$B8,EZ$1)</f>
        <v>259</v>
      </c>
      <c r="FA8" s="116" cm="1">
        <f t="array" ref="FA8">_xll.EQNXTDZ($A$1,$B8,FA$1)</f>
        <v>256.25</v>
      </c>
      <c r="FB8" s="116" cm="1">
        <f t="array" ref="FB8">_xll.EQNXTDZ($A$1,$B8,FB$1)</f>
        <v>257.55</v>
      </c>
      <c r="FC8" s="116" cm="1">
        <f t="array" ref="FC8">_xll.EQNXTDZ($A$1,$B8,FC$1)</f>
        <v>275.8</v>
      </c>
      <c r="FD8" s="116" cm="1">
        <f t="array" ref="FD8">_xll.EQNXTDZ($A$1,$B8,FD$1)</f>
        <v>269.55</v>
      </c>
      <c r="FE8" s="116" cm="1">
        <f t="array" ref="FE8">_xll.EQNXTDZ($A$1,$B8,FE$1)</f>
        <v>258.7</v>
      </c>
      <c r="FF8" s="116" cm="1">
        <f t="array" ref="FF8">_xll.EQNXTDZ($A$1,$B8,FF$1)</f>
        <v>248.35</v>
      </c>
      <c r="FG8" s="116" cm="1">
        <f t="array" ref="FG8">_xll.EQNXTDZ($A$1,$B8,FG$1)</f>
        <v>250</v>
      </c>
      <c r="FH8" s="116" cm="1">
        <f t="array" ref="FH8">_xll.EQNXTDZ($A$1,$B8,FH$1)</f>
        <v>241.1</v>
      </c>
      <c r="FI8" s="116" cm="1">
        <f t="array" ref="FI8">_xll.EQNXTDZ($A$1,$B8,FI$1)</f>
        <v>226.19</v>
      </c>
      <c r="FJ8" s="116" cm="1">
        <f t="array" ref="FJ8">_xll.EQNXTDZ($A$1,$B8,FJ$1)</f>
        <v>211.59</v>
      </c>
      <c r="FK8" s="116" cm="1">
        <f t="array" ref="FK8">_xll.EQNXTDZ($A$1,$B8,FK$1)</f>
        <v>218.25</v>
      </c>
      <c r="FL8" s="116" cm="1">
        <f t="array" ref="FL8">_xll.EQNXTDZ($A$1,$B8,FL$1)</f>
        <v>239.15</v>
      </c>
      <c r="FM8" s="116" cm="1">
        <f t="array" ref="FM8">_xll.EQNXTDZ($A$1,$B8,FM$1)</f>
        <v>246.1</v>
      </c>
      <c r="FN8" s="116" cm="1">
        <f t="array" ref="FN8">_xll.EQNXTDZ($A$1,$B8,FN$1)</f>
        <v>223</v>
      </c>
      <c r="FO8" s="116" cm="1">
        <f t="array" ref="FO8">_xll.EQNXTDZ($A$1,$B8,FO$1)</f>
        <v>224.11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36.200000000000003</v>
      </c>
      <c r="HQ8" s="116">
        <f>+MIN(G8:I8)</f>
        <v>40.799999999999997</v>
      </c>
      <c r="HR8" s="116">
        <f>+MIN(J8:L8)</f>
        <v>39.4</v>
      </c>
      <c r="HS8" s="116">
        <f>+MIN(M8:O8)</f>
        <v>40.020000000000003</v>
      </c>
      <c r="HT8" s="116">
        <f>+MIN(P8:R8)</f>
        <v>33.15</v>
      </c>
      <c r="HU8" s="116">
        <f>+MIN(S8:U8)</f>
        <v>33.6</v>
      </c>
      <c r="HV8" s="116">
        <f>+MIN(V8:X8)</f>
        <v>33</v>
      </c>
      <c r="HW8" s="116">
        <f>+MIN(Y8:AA8)</f>
        <v>35.25</v>
      </c>
      <c r="HX8" s="116">
        <f>+MIN(AB8:AD8)</f>
        <v>41.42</v>
      </c>
      <c r="HY8" s="116">
        <f>+MIN(AE8:AG8)</f>
        <v>40.24</v>
      </c>
      <c r="HZ8" s="116">
        <f>+MIN(AH8:AJ8)</f>
        <v>36.01</v>
      </c>
      <c r="IA8" s="116">
        <f>+MIN(AK8:AM8)</f>
        <v>36.21</v>
      </c>
      <c r="IB8" s="116">
        <f>+MIN(AN8:AP8)</f>
        <v>37.4</v>
      </c>
      <c r="IC8" s="116">
        <f>+MIN(AQ8:AS8)</f>
        <v>43</v>
      </c>
      <c r="ID8" s="116">
        <f>+MIN(AT8:AV8)</f>
        <v>38.36</v>
      </c>
      <c r="IE8" s="116">
        <f>+MIN(AW8:AY8)</f>
        <v>45.24</v>
      </c>
      <c r="IF8" s="116">
        <f>+MIN(AZ8:BB8)</f>
        <v>55.62</v>
      </c>
      <c r="IG8" s="116">
        <f>+MIN(BC8:BE8)</f>
        <v>98.01</v>
      </c>
      <c r="IH8" s="116">
        <f>+MIN(BF8:BH8)</f>
        <v>136.62</v>
      </c>
      <c r="II8" s="116">
        <f>+MIN(BI8:BK8)</f>
        <v>140.01</v>
      </c>
      <c r="IJ8" s="116">
        <f>+MIN(BL8:BN8)</f>
        <v>128.44999999999999</v>
      </c>
      <c r="IK8" s="116">
        <f>+MIN(BO8:BQ8)</f>
        <v>144.01</v>
      </c>
      <c r="IL8" s="116">
        <f>+MIN(BR8:BT8)</f>
        <v>158.4</v>
      </c>
      <c r="IM8" s="116">
        <f>+MIN(BU8:BW8)</f>
        <v>166</v>
      </c>
      <c r="IN8" s="116">
        <f>+MIN(BX8:BZ8)</f>
        <v>165.02</v>
      </c>
      <c r="IO8" s="116">
        <f>+MIN(CA8:CC8)</f>
        <v>190</v>
      </c>
      <c r="IP8" s="116">
        <f>+MIN(CD8:CF8)</f>
        <v>163.6</v>
      </c>
      <c r="IQ8" s="116">
        <f>+MIN(CG8:CI8)</f>
        <v>177.43</v>
      </c>
      <c r="IR8" s="116">
        <f>+MIN(CJ8:CL8)</f>
        <v>160.32</v>
      </c>
      <c r="IS8" s="116">
        <f>+MIN(CM8:CO8)</f>
        <v>160.75</v>
      </c>
      <c r="IT8" s="116">
        <f>+MIN(CP8:CR8)</f>
        <v>80</v>
      </c>
      <c r="IU8" s="116">
        <f>+MIN(CS8:CU8)</f>
        <v>102.2</v>
      </c>
      <c r="IV8" s="116">
        <f>+MIN(CV8:CX8)</f>
        <v>132</v>
      </c>
      <c r="IW8" s="116">
        <f>+MIN(CY8:DA8)</f>
        <v>125.35</v>
      </c>
      <c r="IX8" s="116">
        <f>+MIN(DB8:DD8)</f>
        <v>136.69999999999999</v>
      </c>
      <c r="IY8" s="116">
        <f>+MIN(DE8:DG8)</f>
        <v>145.65</v>
      </c>
      <c r="IZ8" s="116">
        <f>+MIN(DH8:DJ8)</f>
        <v>168</v>
      </c>
      <c r="JA8" s="116">
        <f>+MIN(DK8:DM8)</f>
        <v>141.05000000000001</v>
      </c>
      <c r="JB8" s="116">
        <f>+MIN(DN8:DP8)</f>
        <v>133.6</v>
      </c>
      <c r="JC8" s="116">
        <f>+MIN(DQ8:DS8)</f>
        <v>160</v>
      </c>
      <c r="JD8" s="116">
        <f>+MIN(DT8:DV8)</f>
        <v>188</v>
      </c>
      <c r="JE8" s="116">
        <f>+MIN(DW8:DY8)</f>
        <v>241</v>
      </c>
      <c r="JF8" s="116">
        <f>+MIN(DZ8:EB8)</f>
        <v>220.1</v>
      </c>
      <c r="JG8" s="116">
        <f>+MIN(EC8:EE8)</f>
        <v>236.85</v>
      </c>
      <c r="JH8" s="116">
        <f>+MIN(EF8:EH8)</f>
        <v>254.15</v>
      </c>
      <c r="JI8" s="116">
        <f>+MIN(EI8:EK8)</f>
        <v>323.14999999999998</v>
      </c>
      <c r="JJ8" s="116">
        <f>+MIN(EL8:EN8)</f>
        <v>286.2</v>
      </c>
      <c r="JK8" s="116">
        <f>MIN(EO8:EQ8)</f>
        <v>280</v>
      </c>
      <c r="JL8" s="116">
        <f>MIN(ER8:ET8)</f>
        <v>325.10000000000002</v>
      </c>
      <c r="JM8" s="116">
        <f>MIN(EU8:EW8)</f>
        <v>279.3</v>
      </c>
      <c r="JN8" s="116">
        <f>MIN(EX8:EZ8)</f>
        <v>259</v>
      </c>
      <c r="JO8" s="116">
        <f>MIN(FA8:FC8)</f>
        <v>256.25</v>
      </c>
      <c r="JP8" s="116">
        <f>MIN(FD8:FF8)</f>
        <v>248.35</v>
      </c>
      <c r="JQ8" s="116">
        <f>MIN(FG8:FI8)</f>
        <v>226.19</v>
      </c>
      <c r="JR8" s="116">
        <f>MIN(FJ8:FL8)</f>
        <v>211.59</v>
      </c>
      <c r="JS8" s="116">
        <f>MIN(FM8:FO8)</f>
        <v>223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39.44</v>
      </c>
      <c r="D9" s="116" cm="1">
        <f t="array" ref="D9">_xll.EQNXTDZ($A$1,$B9,D$1)</f>
        <v>40.33</v>
      </c>
      <c r="E9" s="116" cm="1">
        <f t="array" ref="E9">_xll.EQNXTDZ($A$1,$B9,E$1)</f>
        <v>38.020000000000003</v>
      </c>
      <c r="F9" s="116" cm="1">
        <f t="array" ref="F9">_xll.EQNXTDZ($A$1,$B9,F$1)</f>
        <v>40.270000000000003</v>
      </c>
      <c r="G9" s="116" cm="1">
        <f t="array" ref="G9">_xll.EQNXTDZ($A$1,$B9,G$1)</f>
        <v>44.87</v>
      </c>
      <c r="H9" s="116" cm="1">
        <f t="array" ref="H9">_xll.EQNXTDZ($A$1,$B9,H$1)</f>
        <v>54.4</v>
      </c>
      <c r="I9" s="116" cm="1">
        <f t="array" ref="I9">_xll.EQNXTDZ($A$1,$B9,I$1)</f>
        <v>49</v>
      </c>
      <c r="J9" s="116" cm="1">
        <f t="array" ref="J9">_xll.EQNXTDZ($A$1,$B9,J$1)</f>
        <v>46.76</v>
      </c>
      <c r="K9" s="116" cm="1">
        <f t="array" ref="K9">_xll.EQNXTDZ($A$1,$B9,K$1)</f>
        <v>44.45</v>
      </c>
      <c r="L9" s="116" cm="1">
        <f t="array" ref="L9">_xll.EQNXTDZ($A$1,$B9,L$1)</f>
        <v>43.78</v>
      </c>
      <c r="M9" s="116" cm="1">
        <f t="array" ref="M9">_xll.EQNXTDZ($A$1,$B9,M$1)</f>
        <v>43.6</v>
      </c>
      <c r="N9" s="116" cm="1">
        <f t="array" ref="N9">_xll.EQNXTDZ($A$1,$B9,N$1)</f>
        <v>43.5</v>
      </c>
      <c r="O9" s="116" cm="1">
        <f t="array" ref="O9">_xll.EQNXTDZ($A$1,$B9,O$1)</f>
        <v>42.81</v>
      </c>
      <c r="P9" s="116" cm="1">
        <f t="array" ref="P9">_xll.EQNXTDZ($A$1,$B9,P$1)</f>
        <v>38.21</v>
      </c>
      <c r="Q9" s="116" cm="1">
        <f t="array" ref="Q9">_xll.EQNXTDZ($A$1,$B9,Q$1)</f>
        <v>36.4</v>
      </c>
      <c r="R9" s="116" cm="1">
        <f t="array" ref="R9">_xll.EQNXTDZ($A$1,$B9,R$1)</f>
        <v>36.200000000000003</v>
      </c>
      <c r="S9" s="116" cm="1">
        <f t="array" ref="S9">_xll.EQNXTDZ($A$1,$B9,S$1)</f>
        <v>36</v>
      </c>
      <c r="T9" s="116" cm="1">
        <f t="array" ref="T9">_xll.EQNXTDZ($A$1,$B9,T$1)</f>
        <v>36.65</v>
      </c>
      <c r="U9" s="116" cm="1">
        <f t="array" ref="U9">_xll.EQNXTDZ($A$1,$B9,U$1)</f>
        <v>37.4</v>
      </c>
      <c r="V9" s="116" cm="1">
        <f t="array" ref="V9">_xll.EQNXTDZ($A$1,$B9,V$1)</f>
        <v>34.020000000000003</v>
      </c>
      <c r="W9" s="116" cm="1">
        <f t="array" ref="W9">_xll.EQNXTDZ($A$1,$B9,W$1)</f>
        <v>34.200000000000003</v>
      </c>
      <c r="X9" s="116" cm="1">
        <f t="array" ref="X9">_xll.EQNXTDZ($A$1,$B9,X$1)</f>
        <v>35.82</v>
      </c>
      <c r="Y9" s="116" cm="1">
        <f t="array" ref="Y9">_xll.EQNXTDZ($A$1,$B9,Y$1)</f>
        <v>40</v>
      </c>
      <c r="Z9" s="116" cm="1">
        <f t="array" ref="Z9">_xll.EQNXTDZ($A$1,$B9,Z$1)</f>
        <v>44.09</v>
      </c>
      <c r="AA9" s="116" cm="1">
        <f t="array" ref="AA9">_xll.EQNXTDZ($A$1,$B9,AA$1)</f>
        <v>50.08</v>
      </c>
      <c r="AB9" s="116" cm="1">
        <f t="array" ref="AB9">_xll.EQNXTDZ($A$1,$B9,AB$1)</f>
        <v>43.51</v>
      </c>
      <c r="AC9" s="116" cm="1">
        <f t="array" ref="AC9">_xll.EQNXTDZ($A$1,$B9,AC$1)</f>
        <v>43</v>
      </c>
      <c r="AD9" s="116" cm="1">
        <f t="array" ref="AD9">_xll.EQNXTDZ($A$1,$B9,AD$1)</f>
        <v>46.39</v>
      </c>
      <c r="AE9" s="116" cm="1">
        <f t="array" ref="AE9">_xll.EQNXTDZ($A$1,$B9,AE$1)</f>
        <v>42.81</v>
      </c>
      <c r="AF9" s="116" cm="1">
        <f t="array" ref="AF9">_xll.EQNXTDZ($A$1,$B9,AF$1)</f>
        <v>50.1</v>
      </c>
      <c r="AG9" s="116" cm="1">
        <f t="array" ref="AG9">_xll.EQNXTDZ($A$1,$B9,AG$1)</f>
        <v>45.61</v>
      </c>
      <c r="AH9" s="116" cm="1">
        <f t="array" ref="AH9">_xll.EQNXTDZ($A$1,$B9,AH$1)</f>
        <v>48.22</v>
      </c>
      <c r="AI9" s="116" cm="1">
        <f t="array" ref="AI9">_xll.EQNXTDZ($A$1,$B9,AI$1)</f>
        <v>42.1</v>
      </c>
      <c r="AJ9" s="116" cm="1">
        <f t="array" ref="AJ9">_xll.EQNXTDZ($A$1,$B9,AJ$1)</f>
        <v>37.11</v>
      </c>
      <c r="AK9" s="116" cm="1">
        <f t="array" ref="AK9">_xll.EQNXTDZ($A$1,$B9,AK$1)</f>
        <v>37.51</v>
      </c>
      <c r="AL9" s="116" cm="1">
        <f t="array" ref="AL9">_xll.EQNXTDZ($A$1,$B9,AL$1)</f>
        <v>38.090000000000003</v>
      </c>
      <c r="AM9" s="116" cm="1">
        <f t="array" ref="AM9">_xll.EQNXTDZ($A$1,$B9,AM$1)</f>
        <v>39.65</v>
      </c>
      <c r="AN9" s="116" cm="1">
        <f t="array" ref="AN9">_xll.EQNXTDZ($A$1,$B9,AN$1)</f>
        <v>45.77</v>
      </c>
      <c r="AO9" s="116" cm="1">
        <f t="array" ref="AO9">_xll.EQNXTDZ($A$1,$B9,AO$1)</f>
        <v>39.049999999999997</v>
      </c>
      <c r="AP9" s="116" cm="1">
        <f t="array" ref="AP9">_xll.EQNXTDZ($A$1,$B9,AP$1)</f>
        <v>45.1</v>
      </c>
      <c r="AQ9" s="116" cm="1">
        <f t="array" ref="AQ9">_xll.EQNXTDZ($A$1,$B9,AQ$1)</f>
        <v>46.01</v>
      </c>
      <c r="AR9" s="116" cm="1">
        <f t="array" ref="AR9">_xll.EQNXTDZ($A$1,$B9,AR$1)</f>
        <v>46.44</v>
      </c>
      <c r="AS9" s="116" cm="1">
        <f t="array" ref="AS9">_xll.EQNXTDZ($A$1,$B9,AS$1)</f>
        <v>47.79</v>
      </c>
      <c r="AT9" s="116" cm="1">
        <f t="array" ref="AT9">_xll.EQNXTDZ($A$1,$B9,AT$1)</f>
        <v>43.6</v>
      </c>
      <c r="AU9" s="116" cm="1">
        <f t="array" ref="AU9">_xll.EQNXTDZ($A$1,$B9,AU$1)</f>
        <v>46.39</v>
      </c>
      <c r="AV9" s="116" cm="1">
        <f t="array" ref="AV9">_xll.EQNXTDZ($A$1,$B9,AV$1)</f>
        <v>45.6</v>
      </c>
      <c r="AW9" s="116" cm="1">
        <f t="array" ref="AW9">_xll.EQNXTDZ($A$1,$B9,AW$1)</f>
        <v>49</v>
      </c>
      <c r="AX9" s="116" cm="1">
        <f t="array" ref="AX9">_xll.EQNXTDZ($A$1,$B9,AX$1)</f>
        <v>53.86</v>
      </c>
      <c r="AY9" s="116" cm="1">
        <f t="array" ref="AY9">_xll.EQNXTDZ($A$1,$B9,AY$1)</f>
        <v>58.84</v>
      </c>
      <c r="AZ9" s="116" cm="1">
        <f t="array" ref="AZ9">_xll.EQNXTDZ($A$1,$B9,AZ$1)</f>
        <v>80.400000000000006</v>
      </c>
      <c r="BA9" s="116" cm="1">
        <f t="array" ref="BA9">_xll.EQNXTDZ($A$1,$B9,BA$1)</f>
        <v>92.17</v>
      </c>
      <c r="BB9" s="116" cm="1">
        <f t="array" ref="BB9">_xll.EQNXTDZ($A$1,$B9,BB$1)</f>
        <v>94.98</v>
      </c>
      <c r="BC9" s="116" cm="1">
        <f t="array" ref="BC9">_xll.EQNXTDZ($A$1,$B9,BC$1)</f>
        <v>125.49</v>
      </c>
      <c r="BD9" s="116" cm="1">
        <f t="array" ref="BD9">_xll.EQNXTDZ($A$1,$B9,BD$1)</f>
        <v>154.4</v>
      </c>
      <c r="BE9" s="116" cm="1">
        <f t="array" ref="BE9">_xll.EQNXTDZ($A$1,$B9,BE$1)</f>
        <v>137.79</v>
      </c>
      <c r="BF9" s="116" cm="1">
        <f t="array" ref="BF9">_xll.EQNXTDZ($A$1,$B9,BF$1)</f>
        <v>146</v>
      </c>
      <c r="BG9" s="116" cm="1">
        <f t="array" ref="BG9">_xll.EQNXTDZ($A$1,$B9,BG$1)</f>
        <v>155.21</v>
      </c>
      <c r="BH9" s="116" cm="1">
        <f t="array" ref="BH9">_xll.EQNXTDZ($A$1,$B9,BH$1)</f>
        <v>156.18</v>
      </c>
      <c r="BI9" s="116" cm="1">
        <f t="array" ref="BI9">_xll.EQNXTDZ($A$1,$B9,BI$1)</f>
        <v>143.25</v>
      </c>
      <c r="BJ9" s="116" cm="1">
        <f t="array" ref="BJ9">_xll.EQNXTDZ($A$1,$B9,BJ$1)</f>
        <v>157.6</v>
      </c>
      <c r="BK9" s="116" cm="1">
        <f t="array" ref="BK9">_xll.EQNXTDZ($A$1,$B9,BK$1)</f>
        <v>151.22999999999999</v>
      </c>
      <c r="BL9" s="116" cm="1">
        <f t="array" ref="BL9">_xll.EQNXTDZ($A$1,$B9,BL$1)</f>
        <v>147.88999999999999</v>
      </c>
      <c r="BM9" s="116" cm="1">
        <f t="array" ref="BM9">_xll.EQNXTDZ($A$1,$B9,BM$1)</f>
        <v>139.22</v>
      </c>
      <c r="BN9" s="116" cm="1">
        <f t="array" ref="BN9">_xll.EQNXTDZ($A$1,$B9,BN$1)</f>
        <v>147.04</v>
      </c>
      <c r="BO9" s="116" cm="1">
        <f t="array" ref="BO9">_xll.EQNXTDZ($A$1,$B9,BO$1)</f>
        <v>156.02000000000001</v>
      </c>
      <c r="BP9" s="116" cm="1">
        <f t="array" ref="BP9">_xll.EQNXTDZ($A$1,$B9,BP$1)</f>
        <v>165.21</v>
      </c>
      <c r="BQ9" s="116" cm="1">
        <f t="array" ref="BQ9">_xll.EQNXTDZ($A$1,$B9,BQ$1)</f>
        <v>178.79</v>
      </c>
      <c r="BR9" s="116" cm="1">
        <f t="array" ref="BR9">_xll.EQNXTDZ($A$1,$B9,BR$1)</f>
        <v>200.57</v>
      </c>
      <c r="BS9" s="116" cm="1">
        <f t="array" ref="BS9">_xll.EQNXTDZ($A$1,$B9,BS$1)</f>
        <v>174.92</v>
      </c>
      <c r="BT9" s="116" cm="1">
        <f t="array" ref="BT9">_xll.EQNXTDZ($A$1,$B9,BT$1)</f>
        <v>171.88</v>
      </c>
      <c r="BU9" s="116" cm="1">
        <f t="array" ref="BU9">_xll.EQNXTDZ($A$1,$B9,BU$1)</f>
        <v>188</v>
      </c>
      <c r="BV9" s="116" cm="1">
        <f t="array" ref="BV9">_xll.EQNXTDZ($A$1,$B9,BV$1)</f>
        <v>180.23</v>
      </c>
      <c r="BW9" s="116" cm="1">
        <f t="array" ref="BW9">_xll.EQNXTDZ($A$1,$B9,BW$1)</f>
        <v>178.85</v>
      </c>
      <c r="BX9" s="116" cm="1">
        <f t="array" ref="BX9">_xll.EQNXTDZ($A$1,$B9,BX$1)</f>
        <v>171.98</v>
      </c>
      <c r="BY9" s="116" cm="1">
        <f t="array" ref="BY9">_xll.EQNXTDZ($A$1,$B9,BY$1)</f>
        <v>215.53</v>
      </c>
      <c r="BZ9" s="116" cm="1">
        <f t="array" ref="BZ9">_xll.EQNXTDZ($A$1,$B9,BZ$1)</f>
        <v>212.85</v>
      </c>
      <c r="CA9" s="116" cm="1">
        <f t="array" ref="CA9">_xll.EQNXTDZ($A$1,$B9,CA$1)</f>
        <v>231.47</v>
      </c>
      <c r="CB9" s="116" cm="1">
        <f t="array" ref="CB9">_xll.EQNXTDZ($A$1,$B9,CB$1)</f>
        <v>229.42</v>
      </c>
      <c r="CC9" s="116" cm="1">
        <f t="array" ref="CC9">_xll.EQNXTDZ($A$1,$B9,CC$1)</f>
        <v>210.86</v>
      </c>
      <c r="CD9" s="116" cm="1">
        <f t="array" ref="CD9">_xll.EQNXTDZ($A$1,$B9,CD$1)</f>
        <v>206.35</v>
      </c>
      <c r="CE9" s="116" cm="1">
        <f t="array" ref="CE9">_xll.EQNXTDZ($A$1,$B9,CE$1)</f>
        <v>172.83</v>
      </c>
      <c r="CF9" s="116" cm="1">
        <f t="array" ref="CF9">_xll.EQNXTDZ($A$1,$B9,CF$1)</f>
        <v>187.87</v>
      </c>
      <c r="CG9" s="116" cm="1">
        <f t="array" ref="CG9">_xll.EQNXTDZ($A$1,$B9,CG$1)</f>
        <v>180.6</v>
      </c>
      <c r="CH9" s="116" cm="1">
        <f t="array" ref="CH9">_xll.EQNXTDZ($A$1,$B9,CH$1)</f>
        <v>200.64</v>
      </c>
      <c r="CI9" s="116" cm="1">
        <f t="array" ref="CI9">_xll.EQNXTDZ($A$1,$B9,CI$1)</f>
        <v>183.92</v>
      </c>
      <c r="CJ9" s="116" cm="1">
        <f t="array" ref="CJ9">_xll.EQNXTDZ($A$1,$B9,CJ$1)</f>
        <v>176.38</v>
      </c>
      <c r="CK9" s="116" cm="1">
        <f t="array" ref="CK9">_xll.EQNXTDZ($A$1,$B9,CK$1)</f>
        <v>174.65</v>
      </c>
      <c r="CL9" s="116" cm="1">
        <f t="array" ref="CL9">_xll.EQNXTDZ($A$1,$B9,CL$1)</f>
        <v>208.05</v>
      </c>
      <c r="CM9" s="116" cm="1">
        <f t="array" ref="CM9">_xll.EQNXTDZ($A$1,$B9,CM$1)</f>
        <v>183.3</v>
      </c>
      <c r="CN9" s="116" cm="1">
        <f t="array" ref="CN9">_xll.EQNXTDZ($A$1,$B9,CN$1)</f>
        <v>165.85</v>
      </c>
      <c r="CO9" s="116" cm="1">
        <f t="array" ref="CO9">_xll.EQNXTDZ($A$1,$B9,CO$1)</f>
        <v>169.5</v>
      </c>
      <c r="CP9" s="116" cm="1">
        <f t="array" ref="CP9">_xll.EQNXTDZ($A$1,$B9,CP$1)</f>
        <v>164</v>
      </c>
      <c r="CQ9" s="116" cm="1">
        <f t="array" ref="CQ9">_xll.EQNXTDZ($A$1,$B9,CQ$1)</f>
        <v>139.44999999999999</v>
      </c>
      <c r="CR9" s="116" cm="1">
        <f t="array" ref="CR9">_xll.EQNXTDZ($A$1,$B9,CR$1)</f>
        <v>104.8</v>
      </c>
      <c r="CS9" s="116" cm="1">
        <f t="array" ref="CS9">_xll.EQNXTDZ($A$1,$B9,CS$1)</f>
        <v>132.5</v>
      </c>
      <c r="CT9" s="116" cm="1">
        <f t="array" ref="CT9">_xll.EQNXTDZ($A$1,$B9,CT$1)</f>
        <v>123.85</v>
      </c>
      <c r="CU9" s="116" cm="1">
        <f t="array" ref="CU9">_xll.EQNXTDZ($A$1,$B9,CU$1)</f>
        <v>158.1</v>
      </c>
      <c r="CV9" s="116" cm="1">
        <f t="array" ref="CV9">_xll.EQNXTDZ($A$1,$B9,CV$1)</f>
        <v>148.35</v>
      </c>
      <c r="CW9" s="116" cm="1">
        <f t="array" ref="CW9">_xll.EQNXTDZ($A$1,$B9,CW$1)</f>
        <v>150.65</v>
      </c>
      <c r="CX9" s="116" cm="1">
        <f t="array" ref="CX9">_xll.EQNXTDZ($A$1,$B9,CX$1)</f>
        <v>136.4</v>
      </c>
      <c r="CY9" s="116" cm="1">
        <f t="array" ref="CY9">_xll.EQNXTDZ($A$1,$B9,CY$1)</f>
        <v>128.6</v>
      </c>
      <c r="CZ9" s="116" cm="1">
        <f t="array" ref="CZ9">_xll.EQNXTDZ($A$1,$B9,CZ$1)</f>
        <v>141.94999999999999</v>
      </c>
      <c r="DA9" s="116" cm="1">
        <f t="array" ref="DA9">_xll.EQNXTDZ($A$1,$B9,DA$1)</f>
        <v>151.15</v>
      </c>
      <c r="DB9" s="116" cm="1">
        <f t="array" ref="DB9">_xll.EQNXTDZ($A$1,$B9,DB$1)</f>
        <v>143.9</v>
      </c>
      <c r="DC9" s="116" cm="1">
        <f t="array" ref="DC9">_xll.EQNXTDZ($A$1,$B9,DC$1)</f>
        <v>157.15</v>
      </c>
      <c r="DD9" s="116" cm="1">
        <f t="array" ref="DD9">_xll.EQNXTDZ($A$1,$B9,DD$1)</f>
        <v>161.80000000000001</v>
      </c>
      <c r="DE9" s="116" cm="1">
        <f t="array" ref="DE9">_xll.EQNXTDZ($A$1,$B9,DE$1)</f>
        <v>152.94999999999999</v>
      </c>
      <c r="DF9" s="116" cm="1">
        <f t="array" ref="DF9">_xll.EQNXTDZ($A$1,$B9,DF$1)</f>
        <v>173.2</v>
      </c>
      <c r="DG9" s="116" cm="1">
        <f t="array" ref="DG9">_xll.EQNXTDZ($A$1,$B9,DG$1)</f>
        <v>198.6</v>
      </c>
      <c r="DH9" s="116" cm="1">
        <f t="array" ref="DH9">_xll.EQNXTDZ($A$1,$B9,DH$1)</f>
        <v>203.1</v>
      </c>
      <c r="DI9" s="116" cm="1">
        <f t="array" ref="DI9">_xll.EQNXTDZ($A$1,$B9,DI$1)</f>
        <v>175.85</v>
      </c>
      <c r="DJ9" s="116" cm="1">
        <f t="array" ref="DJ9">_xll.EQNXTDZ($A$1,$B9,DJ$1)</f>
        <v>184.7</v>
      </c>
      <c r="DK9" s="116" cm="1">
        <f t="array" ref="DK9">_xll.EQNXTDZ($A$1,$B9,DK$1)</f>
        <v>174.75</v>
      </c>
      <c r="DL9" s="116" cm="1">
        <f t="array" ref="DL9">_xll.EQNXTDZ($A$1,$B9,DL$1)</f>
        <v>159.1</v>
      </c>
      <c r="DM9" s="116" cm="1">
        <f t="array" ref="DM9">_xll.EQNXTDZ($A$1,$B9,DM$1)</f>
        <v>149.35</v>
      </c>
      <c r="DN9" s="116" cm="1">
        <f t="array" ref="DN9">_xll.EQNXTDZ($A$1,$B9,DN$1)</f>
        <v>149.6</v>
      </c>
      <c r="DO9" s="116" cm="1">
        <f t="array" ref="DO9">_xll.EQNXTDZ($A$1,$B9,DO$1)</f>
        <v>142.1</v>
      </c>
      <c r="DP9" s="116" cm="1">
        <f t="array" ref="DP9">_xll.EQNXTDZ($A$1,$B9,DP$1)</f>
        <v>174.55</v>
      </c>
      <c r="DQ9" s="116" cm="1">
        <f t="array" ref="DQ9">_xll.EQNXTDZ($A$1,$B9,DQ$1)</f>
        <v>202.4</v>
      </c>
      <c r="DR9" s="116" cm="1">
        <f t="array" ref="DR9">_xll.EQNXTDZ($A$1,$B9,DR$1)</f>
        <v>186.55</v>
      </c>
      <c r="DS9" s="116" cm="1">
        <f t="array" ref="DS9">_xll.EQNXTDZ($A$1,$B9,DS$1)</f>
        <v>186.55</v>
      </c>
      <c r="DT9" s="116" cm="1">
        <f t="array" ref="DT9">_xll.EQNXTDZ($A$1,$B9,DT$1)</f>
        <v>214.1</v>
      </c>
      <c r="DU9" s="116" cm="1">
        <f t="array" ref="DU9">_xll.EQNXTDZ($A$1,$B9,DU$1)</f>
        <v>288.85000000000002</v>
      </c>
      <c r="DV9" s="116" cm="1">
        <f t="array" ref="DV9">_xll.EQNXTDZ($A$1,$B9,DV$1)</f>
        <v>273.64999999999998</v>
      </c>
      <c r="DW9" s="116" cm="1">
        <f t="array" ref="DW9">_xll.EQNXTDZ($A$1,$B9,DW$1)</f>
        <v>329.45</v>
      </c>
      <c r="DX9" s="116" cm="1">
        <f t="array" ref="DX9">_xll.EQNXTDZ($A$1,$B9,DX$1)</f>
        <v>287.10000000000002</v>
      </c>
      <c r="DY9" s="116" cm="1">
        <f t="array" ref="DY9">_xll.EQNXTDZ($A$1,$B9,DY$1)</f>
        <v>279.85000000000002</v>
      </c>
      <c r="DZ9" s="116" cm="1">
        <f t="array" ref="DZ9">_xll.EQNXTDZ($A$1,$B9,DZ$1)</f>
        <v>285.95</v>
      </c>
      <c r="EA9" s="116" cm="1">
        <f t="array" ref="EA9">_xll.EQNXTDZ($A$1,$B9,EA$1)</f>
        <v>240.7</v>
      </c>
      <c r="EB9" s="116" cm="1">
        <f t="array" ref="EB9">_xll.EQNXTDZ($A$1,$B9,EB$1)</f>
        <v>235.7</v>
      </c>
      <c r="EC9" s="116" cm="1">
        <f t="array" ref="EC9">_xll.EQNXTDZ($A$1,$B9,EC$1)</f>
        <v>280.7</v>
      </c>
      <c r="ED9" s="116" cm="1">
        <f t="array" ref="ED9">_xll.EQNXTDZ($A$1,$B9,ED$1)</f>
        <v>280.60000000000002</v>
      </c>
      <c r="EE9" s="116" cm="1">
        <f t="array" ref="EE9">_xll.EQNXTDZ($A$1,$B9,EE$1)</f>
        <v>281.10000000000002</v>
      </c>
      <c r="EF9" s="116" cm="1">
        <f t="array" ref="EF9">_xll.EQNXTDZ($A$1,$B9,EF$1)</f>
        <v>276.60000000000002</v>
      </c>
      <c r="EG9" s="116" cm="1">
        <f t="array" ref="EG9">_xll.EQNXTDZ($A$1,$B9,EG$1)</f>
        <v>312.5</v>
      </c>
      <c r="EH9" s="116" cm="1">
        <f t="array" ref="EH9">_xll.EQNXTDZ($A$1,$B9,EH$1)</f>
        <v>384.45</v>
      </c>
      <c r="EI9" s="116" cm="1">
        <f t="array" ref="EI9">_xll.EQNXTDZ($A$1,$B9,EI$1)</f>
        <v>347.05</v>
      </c>
      <c r="EJ9" s="116" cm="1">
        <f t="array" ref="EJ9">_xll.EQNXTDZ($A$1,$B9,EJ$1)</f>
        <v>333.3</v>
      </c>
      <c r="EK9" s="116" cm="1">
        <f t="array" ref="EK9">_xll.EQNXTDZ($A$1,$B9,EK$1)</f>
        <v>354.15</v>
      </c>
      <c r="EL9" s="116" cm="1">
        <f t="array" ref="EL9">_xll.EQNXTDZ($A$1,$B9,EL$1)</f>
        <v>345.2</v>
      </c>
      <c r="EM9" s="116" cm="1">
        <f t="array" ref="EM9">_xll.EQNXTDZ($A$1,$B9,EM$1)</f>
        <v>329.3</v>
      </c>
      <c r="EN9" s="116" cm="1">
        <f t="array" ref="EN9">_xll.EQNXTDZ($A$1,$B9,EN$1)</f>
        <v>294.25</v>
      </c>
      <c r="EO9" s="116" cm="1">
        <f t="array" ref="EO9">_xll.EQNXTDZ($A$1,$B9,EO$1)</f>
        <v>335.85</v>
      </c>
      <c r="EP9" s="116" cm="1">
        <f t="array" ref="EP9">_xll.EQNXTDZ($A$1,$B9,EP$1)</f>
        <v>320.05</v>
      </c>
      <c r="EQ9" s="116" cm="1">
        <f t="array" ref="EQ9">_xll.EQNXTDZ($A$1,$B9,EQ$1)</f>
        <v>331.9</v>
      </c>
      <c r="ER9" s="116" cm="1">
        <f t="array" ref="ER9">_xll.EQNXTDZ($A$1,$B9,ER$1)</f>
        <v>355.1</v>
      </c>
      <c r="ES9" s="116" cm="1">
        <f t="array" ref="ES9">_xll.EQNXTDZ($A$1,$B9,ES$1)</f>
        <v>351.25</v>
      </c>
      <c r="ET9" s="116" cm="1">
        <f t="array" ref="ET9">_xll.EQNXTDZ($A$1,$B9,ET$1)</f>
        <v>341.95</v>
      </c>
      <c r="EU9" s="116" cm="1">
        <f t="array" ref="EU9">_xll.EQNXTDZ($A$1,$B9,EU$1)</f>
        <v>309.10000000000002</v>
      </c>
      <c r="EV9" s="116" cm="1">
        <f t="array" ref="EV9">_xll.EQNXTDZ($A$1,$B9,EV$1)</f>
        <v>307</v>
      </c>
      <c r="EW9" s="116" cm="1">
        <f t="array" ref="EW9">_xll.EQNXTDZ($A$1,$B9,EW$1)</f>
        <v>305.05</v>
      </c>
      <c r="EX9" s="116" cm="1">
        <f t="array" ref="EX9">_xll.EQNXTDZ($A$1,$B9,EX$1)</f>
        <v>292.85000000000002</v>
      </c>
      <c r="EY9" s="116" cm="1">
        <f t="array" ref="EY9">_xll.EQNXTDZ($A$1,$B9,EY$1)</f>
        <v>274.10000000000002</v>
      </c>
      <c r="EZ9" s="116" cm="1">
        <f t="array" ref="EZ9">_xll.EQNXTDZ($A$1,$B9,EZ$1)</f>
        <v>260.05</v>
      </c>
      <c r="FA9" s="116" cm="1">
        <f t="array" ref="FA9">_xll.EQNXTDZ($A$1,$B9,FA$1)</f>
        <v>269.39999999999998</v>
      </c>
      <c r="FB9" s="116" cm="1">
        <f t="array" ref="FB9">_xll.EQNXTDZ($A$1,$B9,FB$1)</f>
        <v>287.75</v>
      </c>
      <c r="FC9" s="116" cm="1">
        <f t="array" ref="FC9">_xll.EQNXTDZ($A$1,$B9,FC$1)</f>
        <v>297.10000000000002</v>
      </c>
      <c r="FD9" s="116" cm="1">
        <f t="array" ref="FD9">_xll.EQNXTDZ($A$1,$B9,FD$1)</f>
        <v>271.10000000000002</v>
      </c>
      <c r="FE9" s="116" cm="1">
        <f t="array" ref="FE9">_xll.EQNXTDZ($A$1,$B9,FE$1)</f>
        <v>265.55</v>
      </c>
      <c r="FF9" s="116" cm="1">
        <f t="array" ref="FF9">_xll.EQNXTDZ($A$1,$B9,FF$1)</f>
        <v>252.25</v>
      </c>
      <c r="FG9" s="116" cm="1">
        <f t="array" ref="FG9">_xll.EQNXTDZ($A$1,$B9,FG$1)</f>
        <v>255.4</v>
      </c>
      <c r="FH9" s="116" cm="1">
        <f t="array" ref="FH9">_xll.EQNXTDZ($A$1,$B9,FH$1)</f>
        <v>242.7</v>
      </c>
      <c r="FI9" s="116" cm="1">
        <f t="array" ref="FI9">_xll.EQNXTDZ($A$1,$B9,FI$1)</f>
        <v>235.91</v>
      </c>
      <c r="FJ9" s="116" cm="1">
        <f t="array" ref="FJ9">_xll.EQNXTDZ($A$1,$B9,FJ$1)</f>
        <v>226.3</v>
      </c>
      <c r="FK9" s="116" cm="1">
        <f t="array" ref="FK9">_xll.EQNXTDZ($A$1,$B9,FK$1)</f>
        <v>271.86</v>
      </c>
      <c r="FL9" s="116" cm="1">
        <f t="array" ref="FL9">_xll.EQNXTDZ($A$1,$B9,FL$1)</f>
        <v>246.55</v>
      </c>
      <c r="FM9" s="116" cm="1">
        <f t="array" ref="FM9">_xll.EQNXTDZ($A$1,$B9,FM$1)</f>
        <v>268.08999999999997</v>
      </c>
      <c r="FN9" s="116" cm="1">
        <f t="array" ref="FN9">_xll.EQNXTDZ($A$1,$B9,FN$1)</f>
        <v>233.85</v>
      </c>
      <c r="FO9" s="116" cm="1">
        <f t="array" ref="FO9">_xll.EQNXTDZ($A$1,$B9,FO$1)</f>
        <v>227.81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40.270000000000003</v>
      </c>
      <c r="HQ9" s="116">
        <f>+I9</f>
        <v>49</v>
      </c>
      <c r="HR9" s="116">
        <f>+L9</f>
        <v>43.78</v>
      </c>
      <c r="HS9" s="116">
        <f>+O9</f>
        <v>42.81</v>
      </c>
      <c r="HT9" s="116">
        <f>+R9</f>
        <v>36.200000000000003</v>
      </c>
      <c r="HU9" s="116">
        <f>+U9</f>
        <v>37.4</v>
      </c>
      <c r="HV9" s="116">
        <f>+X9</f>
        <v>35.82</v>
      </c>
      <c r="HW9" s="116">
        <f>+AA9</f>
        <v>50.08</v>
      </c>
      <c r="HX9" s="116">
        <f>+AD9</f>
        <v>46.39</v>
      </c>
      <c r="HY9" s="116">
        <f>+AG9</f>
        <v>45.61</v>
      </c>
      <c r="HZ9" s="116">
        <f>+AJ9</f>
        <v>37.11</v>
      </c>
      <c r="IA9" s="116">
        <f>+AM9</f>
        <v>39.65</v>
      </c>
      <c r="IB9" s="116">
        <f>+AP9</f>
        <v>45.1</v>
      </c>
      <c r="IC9" s="116">
        <f>+AS9</f>
        <v>47.79</v>
      </c>
      <c r="ID9" s="116">
        <f>+AV9</f>
        <v>45.6</v>
      </c>
      <c r="IE9" s="116">
        <f>+AY9</f>
        <v>58.84</v>
      </c>
      <c r="IF9" s="116">
        <f>+BB9</f>
        <v>94.98</v>
      </c>
      <c r="IG9" s="116">
        <f>+BE9</f>
        <v>137.79</v>
      </c>
      <c r="IH9" s="116">
        <f>+BH9</f>
        <v>156.18</v>
      </c>
      <c r="II9" s="116">
        <f>+BK9</f>
        <v>151.22999999999999</v>
      </c>
      <c r="IJ9" s="116">
        <f>+BN9</f>
        <v>147.04</v>
      </c>
      <c r="IK9" s="116">
        <f>+BQ9</f>
        <v>178.79</v>
      </c>
      <c r="IL9" s="116">
        <f>+BT9</f>
        <v>171.88</v>
      </c>
      <c r="IM9" s="116">
        <f>+BW9</f>
        <v>178.85</v>
      </c>
      <c r="IN9" s="116">
        <f>+BZ9</f>
        <v>212.85</v>
      </c>
      <c r="IO9" s="116">
        <f>+CC9</f>
        <v>210.86</v>
      </c>
      <c r="IP9" s="116">
        <f>+CF9</f>
        <v>187.87</v>
      </c>
      <c r="IQ9" s="116">
        <f>+CI9</f>
        <v>183.92</v>
      </c>
      <c r="IR9" s="116">
        <f>+CL9</f>
        <v>208.05</v>
      </c>
      <c r="IS9" s="116">
        <f>+CO9</f>
        <v>169.5</v>
      </c>
      <c r="IT9" s="116">
        <f>+CR9</f>
        <v>104.8</v>
      </c>
      <c r="IU9" s="116">
        <f>+CU9</f>
        <v>158.1</v>
      </c>
      <c r="IV9" s="116">
        <f>+CX9</f>
        <v>136.4</v>
      </c>
      <c r="IW9" s="116">
        <f>+DA9</f>
        <v>151.15</v>
      </c>
      <c r="IX9" s="116">
        <f>+DD9</f>
        <v>161.80000000000001</v>
      </c>
      <c r="IY9" s="116">
        <f>+DG9</f>
        <v>198.6</v>
      </c>
      <c r="IZ9" s="116">
        <f>+DJ9</f>
        <v>184.7</v>
      </c>
      <c r="JA9" s="116">
        <f>+DM9</f>
        <v>149.35</v>
      </c>
      <c r="JB9" s="116">
        <f>+DP9</f>
        <v>174.55</v>
      </c>
      <c r="JC9" s="116">
        <f>+DS9</f>
        <v>186.55</v>
      </c>
      <c r="JD9" s="116">
        <f>+DV9</f>
        <v>273.64999999999998</v>
      </c>
      <c r="JE9" s="116">
        <f>+DY9</f>
        <v>279.85000000000002</v>
      </c>
      <c r="JF9" s="116">
        <f>+EB9</f>
        <v>235.7</v>
      </c>
      <c r="JG9" s="116">
        <f>+EE9</f>
        <v>281.10000000000002</v>
      </c>
      <c r="JH9" s="116">
        <f>+EH9</f>
        <v>384.45</v>
      </c>
      <c r="JI9" s="116">
        <f>+EK9</f>
        <v>354.15</v>
      </c>
      <c r="JJ9" s="116">
        <f>+EN9</f>
        <v>294.25</v>
      </c>
      <c r="JK9" s="116">
        <f>EQ9</f>
        <v>331.9</v>
      </c>
      <c r="JL9" s="116">
        <f>ET9</f>
        <v>341.95</v>
      </c>
      <c r="JM9" s="116">
        <f>EW9</f>
        <v>305.05</v>
      </c>
      <c r="JN9" s="116">
        <f>EZ9</f>
        <v>260.05</v>
      </c>
      <c r="JO9" s="116">
        <f>FC9</f>
        <v>297.10000000000002</v>
      </c>
      <c r="JP9" s="116">
        <f>FF9</f>
        <v>252.25</v>
      </c>
      <c r="JQ9" s="116">
        <f>FI9</f>
        <v>235.91</v>
      </c>
      <c r="JR9" s="116">
        <f>FL9</f>
        <v>246.55</v>
      </c>
      <c r="JS9" s="116">
        <f>FO9</f>
        <v>227.81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39.4</v>
      </c>
      <c r="D13" cm="1">
        <f t="array" ref="D13">_xll.EQNXTDZ($A$1,$B13,D$1)</f>
        <v>40.619999999999997</v>
      </c>
      <c r="E13" cm="1">
        <f t="array" ref="E13">_xll.EQNXTDZ($A$1,$B13,E$1)</f>
        <v>40.93</v>
      </c>
      <c r="F13" cm="1">
        <f t="array" ref="F13">_xll.EQNXTDZ($A$1,$B13,F$1)</f>
        <v>40.520000000000003</v>
      </c>
      <c r="G13" cm="1">
        <f t="array" ref="G13">_xll.EQNXTDZ($A$1,$B13,G$1)</f>
        <v>40</v>
      </c>
      <c r="H13" cm="1">
        <f t="array" ref="H13">_xll.EQNXTDZ($A$1,$B13,H$1)</f>
        <v>44.42</v>
      </c>
      <c r="I13" cm="1">
        <f t="array" ref="I13">_xll.EQNXTDZ($A$1,$B13,I$1)</f>
        <v>54</v>
      </c>
      <c r="J13" cm="1">
        <f t="array" ref="J13">_xll.EQNXTDZ($A$1,$B13,J$1)</f>
        <v>51.53</v>
      </c>
      <c r="K13" cm="1">
        <f t="array" ref="K13">_xll.EQNXTDZ($A$1,$B13,K$1)</f>
        <v>46.99</v>
      </c>
      <c r="L13" cm="1">
        <f t="array" ref="L13">_xll.EQNXTDZ($A$1,$B13,L$1)</f>
        <v>46</v>
      </c>
      <c r="M13" cm="1">
        <f t="array" ref="M13">_xll.EQNXTDZ($A$1,$B13,M$1)</f>
        <v>44.75</v>
      </c>
      <c r="N13" cm="1">
        <f t="array" ref="N13">_xll.EQNXTDZ($A$1,$B13,N$1)</f>
        <v>44</v>
      </c>
      <c r="O13" cm="1">
        <f t="array" ref="O13">_xll.EQNXTDZ($A$1,$B13,O$1)</f>
        <v>44</v>
      </c>
      <c r="P13" cm="1">
        <f t="array" ref="P13">_xll.EQNXTDZ($A$1,$B13,P$1)</f>
        <v>43.69</v>
      </c>
      <c r="Q13" cm="1">
        <f t="array" ref="Q13">_xll.EQNXTDZ($A$1,$B13,Q$1)</f>
        <v>38.01</v>
      </c>
      <c r="R13" cm="1">
        <f t="array" ref="R13">_xll.EQNXTDZ($A$1,$B13,R$1)</f>
        <v>37.979999999999997</v>
      </c>
      <c r="S13" cm="1">
        <f t="array" ref="S13">_xll.EQNXTDZ($A$1,$B13,S$1)</f>
        <v>39</v>
      </c>
      <c r="T13" cm="1">
        <f t="array" ref="T13">_xll.EQNXTDZ($A$1,$B13,T$1)</f>
        <v>35.979999999999997</v>
      </c>
      <c r="U13" cm="1">
        <f t="array" ref="U13">_xll.EQNXTDZ($A$1,$B13,U$1)</f>
        <v>39.6</v>
      </c>
      <c r="V13" cm="1">
        <f t="array" ref="V13">_xll.EQNXTDZ($A$1,$B13,V$1)</f>
        <v>37.799999999999997</v>
      </c>
      <c r="W13" cm="1">
        <f t="array" ref="W13">_xll.EQNXTDZ($A$1,$B13,W$1)</f>
        <v>36.96</v>
      </c>
      <c r="X13" cm="1">
        <f t="array" ref="X13">_xll.EQNXTDZ($A$1,$B13,X$1)</f>
        <v>35.4</v>
      </c>
      <c r="Y13" cm="1">
        <f t="array" ref="Y13">_xll.EQNXTDZ($A$1,$B13,Y$1)</f>
        <v>38.200000000000003</v>
      </c>
      <c r="Z13" cm="1">
        <f t="array" ref="Z13">_xll.EQNXTDZ($A$1,$B13,Z$1)</f>
        <v>41.79</v>
      </c>
      <c r="AA13" cm="1">
        <f t="array" ref="AA13">_xll.EQNXTDZ($A$1,$B13,AA$1)</f>
        <v>45</v>
      </c>
      <c r="AB13" cm="1">
        <f t="array" ref="AB13">_xll.EQNXTDZ($A$1,$B13,AB$1)</f>
        <v>51.59</v>
      </c>
      <c r="AC13" cm="1">
        <f t="array" ref="AC13">_xll.EQNXTDZ($A$1,$B13,AC$1)</f>
        <v>42.24</v>
      </c>
      <c r="AD13" cm="1">
        <f t="array" ref="AD13">_xll.EQNXTDZ($A$1,$B13,AD$1)</f>
        <v>44</v>
      </c>
      <c r="AE13" cm="1">
        <f t="array" ref="AE13">_xll.EQNXTDZ($A$1,$B13,AE$1)</f>
        <v>46.2</v>
      </c>
      <c r="AF13" cm="1">
        <f t="array" ref="AF13">_xll.EQNXTDZ($A$1,$B13,AF$1)</f>
        <v>45.75</v>
      </c>
      <c r="AG13" cm="1">
        <f t="array" ref="AG13">_xll.EQNXTDZ($A$1,$B13,AG$1)</f>
        <v>51</v>
      </c>
      <c r="AH13" cm="1">
        <f t="array" ref="AH13">_xll.EQNXTDZ($A$1,$B13,AH$1)</f>
        <v>45.8</v>
      </c>
      <c r="AI13" cm="1">
        <f t="array" ref="AI13">_xll.EQNXTDZ($A$1,$B13,AI$1)</f>
        <v>48.9</v>
      </c>
      <c r="AJ13" cm="1">
        <f t="array" ref="AJ13">_xll.EQNXTDZ($A$1,$B13,AJ$1)</f>
        <v>43.86</v>
      </c>
      <c r="AK13" cm="1">
        <f t="array" ref="AK13">_xll.EQNXTDZ($A$1,$B13,AK$1)</f>
        <v>37.22</v>
      </c>
      <c r="AL13" cm="1">
        <f t="array" ref="AL13">_xll.EQNXTDZ($A$1,$B13,AL$1)</f>
        <v>35.92</v>
      </c>
      <c r="AM13" cm="1">
        <f t="array" ref="AM13">_xll.EQNXTDZ($A$1,$B13,AM$1)</f>
        <v>36.46</v>
      </c>
      <c r="AN13" cm="1">
        <f t="array" ref="AN13">_xll.EQNXTDZ($A$1,$B13,AN$1)</f>
        <v>40.78</v>
      </c>
      <c r="AO13" cm="1">
        <f t="array" ref="AO13">_xll.EQNXTDZ($A$1,$B13,AO$1)</f>
        <v>46.2</v>
      </c>
      <c r="AP13" cm="1">
        <f t="array" ref="AP13">_xll.EQNXTDZ($A$1,$B13,AP$1)</f>
        <v>40</v>
      </c>
      <c r="AQ13" cm="1">
        <f t="array" ref="AQ13">_xll.EQNXTDZ($A$1,$B13,AQ$1)</f>
        <v>47</v>
      </c>
      <c r="AR13" cm="1">
        <f t="array" ref="AR13">_xll.EQNXTDZ($A$1,$B13,AR$1)</f>
        <v>44.4</v>
      </c>
      <c r="AS13" cm="1">
        <f t="array" ref="AS13">_xll.EQNXTDZ($A$1,$B13,AS$1)</f>
        <v>46.58</v>
      </c>
      <c r="AT13" cm="1">
        <f t="array" ref="AT13">_xll.EQNXTDZ($A$1,$B13,AT$1)</f>
        <v>48.8</v>
      </c>
      <c r="AU13" cm="1">
        <f t="array" ref="AU13">_xll.EQNXTDZ($A$1,$B13,AU$1)</f>
        <v>43.2</v>
      </c>
      <c r="AV13" cm="1">
        <f t="array" ref="AV13">_xll.EQNXTDZ($A$1,$B13,AV$1)</f>
        <v>44.5</v>
      </c>
      <c r="AW13" cm="1">
        <f t="array" ref="AW13">_xll.EQNXTDZ($A$1,$B13,AW$1)</f>
        <v>47.8</v>
      </c>
      <c r="AX13" cm="1">
        <f t="array" ref="AX13">_xll.EQNXTDZ($A$1,$B13,AX$1)</f>
        <v>50</v>
      </c>
      <c r="AY13" cm="1">
        <f t="array" ref="AY13">_xll.EQNXTDZ($A$1,$B13,AY$1)</f>
        <v>52.6</v>
      </c>
      <c r="AZ13" cm="1">
        <f t="array" ref="AZ13">_xll.EQNXTDZ($A$1,$B13,AZ$1)</f>
        <v>58.8</v>
      </c>
      <c r="BA13" cm="1">
        <f t="array" ref="BA13">_xll.EQNXTDZ($A$1,$B13,BA$1)</f>
        <v>80.599999999999994</v>
      </c>
      <c r="BB13" cm="1">
        <f t="array" ref="BB13">_xll.EQNXTDZ($A$1,$B13,BB$1)</f>
        <v>93</v>
      </c>
      <c r="BC13" cm="1">
        <f t="array" ref="BC13">_xll.EQNXTDZ($A$1,$B13,BC$1)</f>
        <v>96</v>
      </c>
      <c r="BD13" cm="1">
        <f t="array" ref="BD13">_xll.EQNXTDZ($A$1,$B13,BD$1)</f>
        <v>127</v>
      </c>
      <c r="BE13" cm="1">
        <f t="array" ref="BE13">_xll.EQNXTDZ($A$1,$B13,BE$1)</f>
        <v>153.47</v>
      </c>
      <c r="BF13" cm="1">
        <f t="array" ref="BF13">_xll.EQNXTDZ($A$1,$B13,BF$1)</f>
        <v>138.69</v>
      </c>
      <c r="BG13" cm="1">
        <f t="array" ref="BG13">_xll.EQNXTDZ($A$1,$B13,BG$1)</f>
        <v>146</v>
      </c>
      <c r="BH13" cm="1">
        <f t="array" ref="BH13">_xll.EQNXTDZ($A$1,$B13,BH$1)</f>
        <v>153.19999999999999</v>
      </c>
      <c r="BI13" cm="1">
        <f t="array" ref="BI13">_xll.EQNXTDZ($A$1,$B13,BI$1)</f>
        <v>160.78</v>
      </c>
      <c r="BJ13" cm="1">
        <f t="array" ref="BJ13">_xll.EQNXTDZ($A$1,$B13,BJ$1)</f>
        <v>144</v>
      </c>
      <c r="BK13" cm="1">
        <f t="array" ref="BK13">_xll.EQNXTDZ($A$1,$B13,BK$1)</f>
        <v>158.97999999999999</v>
      </c>
      <c r="BL13" cm="1">
        <f t="array" ref="BL13">_xll.EQNXTDZ($A$1,$B13,BL$1)</f>
        <v>150.15</v>
      </c>
      <c r="BM13" cm="1">
        <f t="array" ref="BM13">_xll.EQNXTDZ($A$1,$B13,BM$1)</f>
        <v>146.19999999999999</v>
      </c>
      <c r="BN13" cm="1">
        <f t="array" ref="BN13">_xll.EQNXTDZ($A$1,$B13,BN$1)</f>
        <v>140.4</v>
      </c>
      <c r="BO13" cm="1">
        <f t="array" ref="BO13">_xll.EQNXTDZ($A$1,$B13,BO$1)</f>
        <v>146.6</v>
      </c>
      <c r="BP13" cm="1">
        <f t="array" ref="BP13">_xll.EQNXTDZ($A$1,$B13,BP$1)</f>
        <v>155.4</v>
      </c>
      <c r="BQ13" cm="1">
        <f t="array" ref="BQ13">_xll.EQNXTDZ($A$1,$B13,BQ$1)</f>
        <v>163.63999999999999</v>
      </c>
      <c r="BR13" cm="1">
        <f t="array" ref="BR13">_xll.EQNXTDZ($A$1,$B13,BR$1)</f>
        <v>178.25</v>
      </c>
      <c r="BS13" cm="1">
        <f t="array" ref="BS13">_xll.EQNXTDZ($A$1,$B13,BS$1)</f>
        <v>200.56</v>
      </c>
      <c r="BT13" cm="1">
        <f t="array" ref="BT13">_xll.EQNXTDZ($A$1,$B13,BT$1)</f>
        <v>176.83</v>
      </c>
      <c r="BU13" cm="1">
        <f t="array" ref="BU13">_xll.EQNXTDZ($A$1,$B13,BU$1)</f>
        <v>172.32</v>
      </c>
      <c r="BV13" cm="1">
        <f t="array" ref="BV13">_xll.EQNXTDZ($A$1,$B13,BV$1)</f>
        <v>185.45</v>
      </c>
      <c r="BW13" cm="1">
        <f t="array" ref="BW13">_xll.EQNXTDZ($A$1,$B13,BW$1)</f>
        <v>179</v>
      </c>
      <c r="BX13" cm="1">
        <f t="array" ref="BX13">_xll.EQNXTDZ($A$1,$B13,BX$1)</f>
        <v>176</v>
      </c>
      <c r="BY13" cm="1">
        <f t="array" ref="BY13">_xll.EQNXTDZ($A$1,$B13,BY$1)</f>
        <v>173</v>
      </c>
      <c r="BZ13" cm="1">
        <f t="array" ref="BZ13">_xll.EQNXTDZ($A$1,$B13,BZ$1)</f>
        <v>219.8</v>
      </c>
      <c r="CA13" cm="1">
        <f t="array" ref="CA13">_xll.EQNXTDZ($A$1,$B13,CA$1)</f>
        <v>202.2</v>
      </c>
      <c r="CB13" cm="1">
        <f t="array" ref="CB13">_xll.EQNXTDZ($A$1,$B13,CB$1)</f>
        <v>232.44</v>
      </c>
      <c r="CC13" cm="1">
        <f t="array" ref="CC13">_xll.EQNXTDZ($A$1,$B13,CC$1)</f>
        <v>224.6</v>
      </c>
      <c r="CD13" cm="1">
        <f t="array" ref="CD13">_xll.EQNXTDZ($A$1,$B13,CD$1)</f>
        <v>212.71</v>
      </c>
      <c r="CE13" cm="1">
        <f t="array" ref="CE13">_xll.EQNXTDZ($A$1,$B13,CE$1)</f>
        <v>206</v>
      </c>
      <c r="CF13" cm="1">
        <f t="array" ref="CF13">_xll.EQNXTDZ($A$1,$B13,CF$1)</f>
        <v>179.7</v>
      </c>
      <c r="CG13" cm="1">
        <f t="array" ref="CG13">_xll.EQNXTDZ($A$1,$B13,CG$1)</f>
        <v>189</v>
      </c>
      <c r="CH13" cm="1">
        <f t="array" ref="CH13">_xll.EQNXTDZ($A$1,$B13,CH$1)</f>
        <v>188</v>
      </c>
      <c r="CI13" cm="1">
        <f t="array" ref="CI13">_xll.EQNXTDZ($A$1,$B13,CI$1)</f>
        <v>198.2</v>
      </c>
      <c r="CJ13" cm="1">
        <f t="array" ref="CJ13">_xll.EQNXTDZ($A$1,$B13,CJ$1)</f>
        <v>184.4</v>
      </c>
      <c r="CK13" cm="1">
        <f t="array" ref="CK13">_xll.EQNXTDZ($A$1,$B13,CK$1)</f>
        <v>172.4</v>
      </c>
      <c r="CL13" cm="1">
        <f t="array" ref="CL13">_xll.EQNXTDZ($A$1,$B13,CL$1)</f>
        <v>170.6</v>
      </c>
      <c r="CM13" cm="1">
        <f t="array" ref="CM13">_xll.EQNXTDZ($A$1,$B13,CM$1)</f>
        <v>211</v>
      </c>
      <c r="CN13" cm="1">
        <f t="array" ref="CN13">_xll.EQNXTDZ($A$1,$B13,CN$1)</f>
        <v>178</v>
      </c>
      <c r="CO13" cm="1">
        <f t="array" ref="CO13">_xll.EQNXTDZ($A$1,$B13,CO$1)</f>
        <v>165</v>
      </c>
      <c r="CP13" cm="1">
        <f t="array" ref="CP13">_xll.EQNXTDZ($A$1,$B13,CP$1)</f>
        <v>170.5</v>
      </c>
      <c r="CQ13" cm="1">
        <f t="array" ref="CQ13">_xll.EQNXTDZ($A$1,$B13,CQ$1)</f>
        <v>163.05000000000001</v>
      </c>
      <c r="CR13" cm="1">
        <f t="array" ref="CR13">_xll.EQNXTDZ($A$1,$B13,CR$1)</f>
        <v>140.4</v>
      </c>
      <c r="CS13" cm="1">
        <f t="array" ref="CS13">_xll.EQNXTDZ($A$1,$B13,CS$1)</f>
        <v>104</v>
      </c>
      <c r="CT13" cm="1">
        <f t="array" ref="CT13">_xll.EQNXTDZ($A$1,$B13,CT$1)</f>
        <v>127.2</v>
      </c>
      <c r="CU13" cm="1">
        <f t="array" ref="CU13">_xll.EQNXTDZ($A$1,$B13,CU$1)</f>
        <v>135</v>
      </c>
      <c r="CV13" cm="1">
        <f t="array" ref="CV13">_xll.EQNXTDZ($A$1,$B13,CV$1)</f>
        <v>158.85</v>
      </c>
      <c r="CW13" cm="1">
        <f t="array" ref="CW13">_xll.EQNXTDZ($A$1,$B13,CW$1)</f>
        <v>147.9</v>
      </c>
      <c r="CX13" cm="1">
        <f t="array" ref="CX13">_xll.EQNXTDZ($A$1,$B13,CX$1)</f>
        <v>151.15</v>
      </c>
      <c r="CY13" cm="1">
        <f t="array" ref="CY13">_xll.EQNXTDZ($A$1,$B13,CY$1)</f>
        <v>138</v>
      </c>
      <c r="CZ13" cm="1">
        <f t="array" ref="CZ13">_xll.EQNXTDZ($A$1,$B13,CZ$1)</f>
        <v>127.5</v>
      </c>
      <c r="DA13" cm="1">
        <f t="array" ref="DA13">_xll.EQNXTDZ($A$1,$B13,DA$1)</f>
        <v>143</v>
      </c>
      <c r="DB13" cm="1">
        <f t="array" ref="DB13">_xll.EQNXTDZ($A$1,$B13,DB$1)</f>
        <v>154.4</v>
      </c>
      <c r="DC13" cm="1">
        <f t="array" ref="DC13">_xll.EQNXTDZ($A$1,$B13,DC$1)</f>
        <v>141.55000000000001</v>
      </c>
      <c r="DD13" cm="1">
        <f t="array" ref="DD13">_xll.EQNXTDZ($A$1,$B13,DD$1)</f>
        <v>156</v>
      </c>
      <c r="DE13" cm="1">
        <f t="array" ref="DE13">_xll.EQNXTDZ($A$1,$B13,DE$1)</f>
        <v>164.5</v>
      </c>
      <c r="DF13" cm="1">
        <f t="array" ref="DF13">_xll.EQNXTDZ($A$1,$B13,DF$1)</f>
        <v>151.15</v>
      </c>
      <c r="DG13" cm="1">
        <f t="array" ref="DG13">_xll.EQNXTDZ($A$1,$B13,DG$1)</f>
        <v>173.6</v>
      </c>
      <c r="DH13" cm="1">
        <f t="array" ref="DH13">_xll.EQNXTDZ($A$1,$B13,DH$1)</f>
        <v>198.35</v>
      </c>
      <c r="DI13" cm="1">
        <f t="array" ref="DI13">_xll.EQNXTDZ($A$1,$B13,DI$1)</f>
        <v>206.15</v>
      </c>
      <c r="DJ13" cm="1">
        <f t="array" ref="DJ13">_xll.EQNXTDZ($A$1,$B13,DJ$1)</f>
        <v>176.25</v>
      </c>
      <c r="DK13" cm="1">
        <f t="array" ref="DK13">_xll.EQNXTDZ($A$1,$B13,DK$1)</f>
        <v>184.55</v>
      </c>
      <c r="DL13" cm="1">
        <f t="array" ref="DL13">_xll.EQNXTDZ($A$1,$B13,DL$1)</f>
        <v>175.5</v>
      </c>
      <c r="DM13" cm="1">
        <f t="array" ref="DM13">_xll.EQNXTDZ($A$1,$B13,DM$1)</f>
        <v>158.85</v>
      </c>
      <c r="DN13" cm="1">
        <f t="array" ref="DN13">_xll.EQNXTDZ($A$1,$B13,DN$1)</f>
        <v>149.44999999999999</v>
      </c>
      <c r="DO13" cm="1">
        <f t="array" ref="DO13">_xll.EQNXTDZ($A$1,$B13,DO$1)</f>
        <v>148.55000000000001</v>
      </c>
      <c r="DP13" cm="1">
        <f t="array" ref="DP13">_xll.EQNXTDZ($A$1,$B13,DP$1)</f>
        <v>140</v>
      </c>
      <c r="DQ13" cm="1">
        <f t="array" ref="DQ13">_xll.EQNXTDZ($A$1,$B13,DQ$1)</f>
        <v>175.35</v>
      </c>
      <c r="DR13" cm="1">
        <f t="array" ref="DR13">_xll.EQNXTDZ($A$1,$B13,DR$1)</f>
        <v>202.5</v>
      </c>
      <c r="DS13" cm="1">
        <f t="array" ref="DS13">_xll.EQNXTDZ($A$1,$B13,DS$1)</f>
        <v>187.6</v>
      </c>
      <c r="DT13" cm="1">
        <f t="array" ref="DT13">_xll.EQNXTDZ($A$1,$B13,DT$1)</f>
        <v>190.95</v>
      </c>
      <c r="DU13" cm="1">
        <f t="array" ref="DU13">_xll.EQNXTDZ($A$1,$B13,DU$1)</f>
        <v>217.95</v>
      </c>
      <c r="DV13" cm="1">
        <f t="array" ref="DV13">_xll.EQNXTDZ($A$1,$B13,DV$1)</f>
        <v>288.8</v>
      </c>
      <c r="DW13" cm="1">
        <f t="array" ref="DW13">_xll.EQNXTDZ($A$1,$B13,DW$1)</f>
        <v>274.10000000000002</v>
      </c>
      <c r="DX13" cm="1">
        <f t="array" ref="DX13">_xll.EQNXTDZ($A$1,$B13,DX$1)</f>
        <v>328.85</v>
      </c>
      <c r="DY13" cm="1">
        <f t="array" ref="DY13">_xll.EQNXTDZ($A$1,$B13,DY$1)</f>
        <v>291.5</v>
      </c>
      <c r="DZ13" cm="1">
        <f t="array" ref="DZ13">_xll.EQNXTDZ($A$1,$B13,DZ$1)</f>
        <v>297</v>
      </c>
      <c r="EA13" cm="1">
        <f t="array" ref="EA13">_xll.EQNXTDZ($A$1,$B13,EA$1)</f>
        <v>287.39999999999998</v>
      </c>
      <c r="EB13" cm="1">
        <f t="array" ref="EB13">_xll.EQNXTDZ($A$1,$B13,EB$1)</f>
        <v>240.1</v>
      </c>
      <c r="EC13" cm="1">
        <f t="array" ref="EC13">_xll.EQNXTDZ($A$1,$B13,EC$1)</f>
        <v>243</v>
      </c>
      <c r="ED13" cm="1">
        <f t="array" ref="ED13">_xll.EQNXTDZ($A$1,$B13,ED$1)</f>
        <v>295</v>
      </c>
      <c r="EE13" cm="1">
        <f t="array" ref="EE13">_xll.EQNXTDZ($A$1,$B13,EE$1)</f>
        <v>276.10000000000002</v>
      </c>
      <c r="EF13" cm="1">
        <f t="array" ref="EF13">_xll.EQNXTDZ($A$1,$B13,EF$1)</f>
        <v>275.45</v>
      </c>
      <c r="EG13" cm="1">
        <f t="array" ref="EG13">_xll.EQNXTDZ($A$1,$B13,EG$1)</f>
        <v>278.75</v>
      </c>
      <c r="EH13" cm="1">
        <f t="array" ref="EH13">_xll.EQNXTDZ($A$1,$B13,EH$1)</f>
        <v>314.8</v>
      </c>
      <c r="EI13" cm="1">
        <f t="array" ref="EI13">_xll.EQNXTDZ($A$1,$B13,EI$1)</f>
        <v>388.95</v>
      </c>
      <c r="EJ13" cm="1">
        <f t="array" ref="EJ13">_xll.EQNXTDZ($A$1,$B13,EJ$1)</f>
        <v>354.15</v>
      </c>
      <c r="EK13" cm="1">
        <f t="array" ref="EK13">_xll.EQNXTDZ($A$1,$B13,EK$1)</f>
        <v>325.55</v>
      </c>
      <c r="EL13" cm="1">
        <f t="array" ref="EL13">_xll.EQNXTDZ($A$1,$B13,EL$1)</f>
        <v>355.8</v>
      </c>
      <c r="EM13" cm="1">
        <f t="array" ref="EM13">_xll.EQNXTDZ($A$1,$B13,EM$1)</f>
        <v>346</v>
      </c>
      <c r="EN13" cm="1">
        <f t="array" ref="EN13">_xll.EQNXTDZ($A$1,$B13,EN$1)</f>
        <v>331.1</v>
      </c>
      <c r="EO13" cm="1">
        <f t="array" ref="EO13">_xll.EQNXTDZ($A$1,$B13,EO$1)</f>
        <v>290.75</v>
      </c>
      <c r="EP13" cm="1">
        <f t="array" ref="EP13">_xll.EQNXTDZ($A$1,$B13,EP$1)</f>
        <v>334</v>
      </c>
      <c r="EQ13" cm="1">
        <f t="array" ref="EQ13">_xll.EQNXTDZ($A$1,$B13,EQ$1)</f>
        <v>328</v>
      </c>
      <c r="ER13" cm="1">
        <f t="array" ref="ER13">_xll.EQNXTDZ($A$1,$B13,ER$1)</f>
        <v>338.1</v>
      </c>
      <c r="ES13" cm="1">
        <f t="array" ref="ES13">_xll.EQNXTDZ($A$1,$B13,ES$1)</f>
        <v>353.95</v>
      </c>
      <c r="ET13" cm="1">
        <f t="array" ref="ET13">_xll.EQNXTDZ($A$1,$B13,ET$1)</f>
        <v>351.15</v>
      </c>
      <c r="EU13" cm="1">
        <f t="array" ref="EU13">_xll.EQNXTDZ($A$1,$B13,EU$1)</f>
        <v>340</v>
      </c>
      <c r="EV13" cm="1">
        <f t="array" ref="EV13">_xll.EQNXTDZ($A$1,$B13,EV$1)</f>
        <v>308.85000000000002</v>
      </c>
      <c r="EW13" cm="1">
        <f t="array" ref="EW13">_xll.EQNXTDZ($A$1,$B13,EW$1)</f>
        <v>289</v>
      </c>
      <c r="EX13" cm="1">
        <f t="array" ref="EX13">_xll.EQNXTDZ($A$1,$B13,EX$1)</f>
        <v>340.6</v>
      </c>
      <c r="EY13" cm="1">
        <f t="array" ref="EY13">_xll.EQNXTDZ($A$1,$B13,EY$1)</f>
        <v>286.14999999999998</v>
      </c>
      <c r="EZ13" cm="1">
        <f t="array" ref="EZ13">_xll.EQNXTDZ($A$1,$B13,EZ$1)</f>
        <v>275</v>
      </c>
      <c r="FA13" cm="1">
        <f t="array" ref="FA13">_xll.EQNXTDZ($A$1,$B13,FA$1)</f>
        <v>262.60000000000002</v>
      </c>
      <c r="FB13" cm="1">
        <f t="array" ref="FB13">_xll.EQNXTDZ($A$1,$B13,FB$1)</f>
        <v>270.14999999999998</v>
      </c>
      <c r="FC13" cm="1">
        <f t="array" ref="FC13">_xll.EQNXTDZ($A$1,$B13,FC$1)</f>
        <v>295.3</v>
      </c>
      <c r="FD13" cm="1">
        <f t="array" ref="FD13">_xll.EQNXTDZ($A$1,$B13,FD$1)</f>
        <v>299.14999999999998</v>
      </c>
      <c r="FE13" cm="1">
        <f t="array" ref="FE13">_xll.EQNXTDZ($A$1,$B13,FE$1)</f>
        <v>270.10000000000002</v>
      </c>
      <c r="FF13" cm="1">
        <f t="array" ref="FF13">_xll.EQNXTDZ($A$1,$B13,FF$1)</f>
        <v>266</v>
      </c>
      <c r="FG13" cm="1">
        <f t="array" ref="FG13">_xll.EQNXTDZ($A$1,$B13,FG$1)</f>
        <v>253.6</v>
      </c>
      <c r="FH13" cm="1">
        <f t="array" ref="FH13">_xll.EQNXTDZ($A$1,$B13,FH$1)</f>
        <v>256</v>
      </c>
      <c r="FI13" cm="1">
        <f t="array" ref="FI13">_xll.EQNXTDZ($A$1,$B13,FI$1)</f>
        <v>244</v>
      </c>
      <c r="FJ13" cm="1">
        <f t="array" ref="FJ13">_xll.EQNXTDZ($A$1,$B13,FJ$1)</f>
        <v>236.1</v>
      </c>
      <c r="FK13" cm="1">
        <f t="array" ref="FK13">_xll.EQNXTDZ($A$1,$B13,FK$1)</f>
        <v>226.25</v>
      </c>
      <c r="FL13" cm="1">
        <f t="array" ref="FL13">_xll.EQNXTDZ($A$1,$B13,FL$1)</f>
        <v>265.10000000000002</v>
      </c>
      <c r="FM13" cm="1">
        <f t="array" ref="FM13">_xll.EQNXTDZ($A$1,$B13,FM$1)</f>
        <v>262</v>
      </c>
      <c r="FN13" cm="1">
        <f t="array" ref="FN13">_xll.EQNXTDZ($A$1,$B13,FN$1)</f>
        <v>271.3</v>
      </c>
      <c r="FO13" cm="1">
        <f t="array" ref="FO13">_xll.EQNXTDZ($A$1,$B13,FO$1)</f>
        <v>239.95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42.2</v>
      </c>
      <c r="D14" s="116" cm="1">
        <f t="array" ref="D14">_xll.EQNXTDZ($A$1,$B14,D$1)</f>
        <v>43.4</v>
      </c>
      <c r="E14" s="116" cm="1">
        <f t="array" ref="E14">_xll.EQNXTDZ($A$1,$B14,E$1)</f>
        <v>42.39</v>
      </c>
      <c r="F14" s="116" cm="1">
        <f t="array" ref="F14">_xll.EQNXTDZ($A$1,$B14,F$1)</f>
        <v>41.8</v>
      </c>
      <c r="G14" s="116" cm="1">
        <f t="array" ref="G14">_xll.EQNXTDZ($A$1,$B14,G$1)</f>
        <v>52</v>
      </c>
      <c r="H14" s="116" cm="1">
        <f t="array" ref="H14">_xll.EQNXTDZ($A$1,$B14,H$1)</f>
        <v>58.2</v>
      </c>
      <c r="I14" s="116" cm="1">
        <f t="array" ref="I14">_xll.EQNXTDZ($A$1,$B14,I$1)</f>
        <v>54.99</v>
      </c>
      <c r="J14" s="116" cm="1">
        <f t="array" ref="J14">_xll.EQNXTDZ($A$1,$B14,J$1)</f>
        <v>51.6</v>
      </c>
      <c r="K14" s="116" cm="1">
        <f t="array" ref="K14">_xll.EQNXTDZ($A$1,$B14,K$1)</f>
        <v>50</v>
      </c>
      <c r="L14" s="116" cm="1">
        <f t="array" ref="L14">_xll.EQNXTDZ($A$1,$B14,L$1)</f>
        <v>54.5</v>
      </c>
      <c r="M14" s="116" cm="1">
        <f t="array" ref="M14">_xll.EQNXTDZ($A$1,$B14,M$1)</f>
        <v>46.8</v>
      </c>
      <c r="N14" s="116" cm="1">
        <f t="array" ref="N14">_xll.EQNXTDZ($A$1,$B14,N$1)</f>
        <v>49</v>
      </c>
      <c r="O14" s="116" cm="1">
        <f t="array" ref="O14">_xll.EQNXTDZ($A$1,$B14,O$1)</f>
        <v>48.4</v>
      </c>
      <c r="P14" s="116" cm="1">
        <f t="array" ref="P14">_xll.EQNXTDZ($A$1,$B14,P$1)</f>
        <v>45.98</v>
      </c>
      <c r="Q14" s="116" cm="1">
        <f t="array" ref="Q14">_xll.EQNXTDZ($A$1,$B14,Q$1)</f>
        <v>38.200000000000003</v>
      </c>
      <c r="R14" s="116" cm="1">
        <f t="array" ref="R14">_xll.EQNXTDZ($A$1,$B14,R$1)</f>
        <v>40</v>
      </c>
      <c r="S14" s="116" cm="1">
        <f t="array" ref="S14">_xll.EQNXTDZ($A$1,$B14,S$1)</f>
        <v>41.57</v>
      </c>
      <c r="T14" s="116" cm="1">
        <f t="array" ref="T14">_xll.EQNXTDZ($A$1,$B14,T$1)</f>
        <v>39.799999999999997</v>
      </c>
      <c r="U14" s="116" cm="1">
        <f t="array" ref="U14">_xll.EQNXTDZ($A$1,$B14,U$1)</f>
        <v>39.799999999999997</v>
      </c>
      <c r="V14" s="116" cm="1">
        <f t="array" ref="V14">_xll.EQNXTDZ($A$1,$B14,V$1)</f>
        <v>38</v>
      </c>
      <c r="W14" s="116" cm="1">
        <f t="array" ref="W14">_xll.EQNXTDZ($A$1,$B14,W$1)</f>
        <v>38.36</v>
      </c>
      <c r="X14" s="116" cm="1">
        <f t="array" ref="X14">_xll.EQNXTDZ($A$1,$B14,X$1)</f>
        <v>38</v>
      </c>
      <c r="Y14" s="116" cm="1">
        <f t="array" ref="Y14">_xll.EQNXTDZ($A$1,$B14,Y$1)</f>
        <v>42</v>
      </c>
      <c r="Z14" s="116" cm="1">
        <f t="array" ref="Z14">_xll.EQNXTDZ($A$1,$B14,Z$1)</f>
        <v>45.4</v>
      </c>
      <c r="AA14" s="116" cm="1">
        <f t="array" ref="AA14">_xll.EQNXTDZ($A$1,$B14,AA$1)</f>
        <v>53.78</v>
      </c>
      <c r="AB14" s="116" cm="1">
        <f t="array" ref="AB14">_xll.EQNXTDZ($A$1,$B14,AB$1)</f>
        <v>51.6</v>
      </c>
      <c r="AC14" s="116" cm="1">
        <f t="array" ref="AC14">_xll.EQNXTDZ($A$1,$B14,AC$1)</f>
        <v>46</v>
      </c>
      <c r="AD14" s="116" cm="1">
        <f t="array" ref="AD14">_xll.EQNXTDZ($A$1,$B14,AD$1)</f>
        <v>57.34</v>
      </c>
      <c r="AE14" s="116" cm="1">
        <f t="array" ref="AE14">_xll.EQNXTDZ($A$1,$B14,AE$1)</f>
        <v>47</v>
      </c>
      <c r="AF14" s="116" cm="1">
        <f t="array" ref="AF14">_xll.EQNXTDZ($A$1,$B14,AF$1)</f>
        <v>57.6</v>
      </c>
      <c r="AG14" s="116" cm="1">
        <f t="array" ref="AG14">_xll.EQNXTDZ($A$1,$B14,AG$1)</f>
        <v>53</v>
      </c>
      <c r="AH14" s="116" cm="1">
        <f t="array" ref="AH14">_xll.EQNXTDZ($A$1,$B14,AH$1)</f>
        <v>52.04</v>
      </c>
      <c r="AI14" s="116" cm="1">
        <f t="array" ref="AI14">_xll.EQNXTDZ($A$1,$B14,AI$1)</f>
        <v>48.9</v>
      </c>
      <c r="AJ14" s="116" cm="1">
        <f t="array" ref="AJ14">_xll.EQNXTDZ($A$1,$B14,AJ$1)</f>
        <v>43.86</v>
      </c>
      <c r="AK14" s="116" cm="1">
        <f t="array" ref="AK14">_xll.EQNXTDZ($A$1,$B14,AK$1)</f>
        <v>41</v>
      </c>
      <c r="AL14" s="116" cm="1">
        <f t="array" ref="AL14">_xll.EQNXTDZ($A$1,$B14,AL$1)</f>
        <v>39.58</v>
      </c>
      <c r="AM14" s="116" cm="1">
        <f t="array" ref="AM14">_xll.EQNXTDZ($A$1,$B14,AM$1)</f>
        <v>49</v>
      </c>
      <c r="AN14" s="116" cm="1">
        <f t="array" ref="AN14">_xll.EQNXTDZ($A$1,$B14,AN$1)</f>
        <v>47.2</v>
      </c>
      <c r="AO14" s="116" cm="1">
        <f t="array" ref="AO14">_xll.EQNXTDZ($A$1,$B14,AO$1)</f>
        <v>51.4</v>
      </c>
      <c r="AP14" s="116" cm="1">
        <f t="array" ref="AP14">_xll.EQNXTDZ($A$1,$B14,AP$1)</f>
        <v>55</v>
      </c>
      <c r="AQ14" s="116" cm="1">
        <f t="array" ref="AQ14">_xll.EQNXTDZ($A$1,$B14,AQ$1)</f>
        <v>48.38</v>
      </c>
      <c r="AR14" s="116" cm="1">
        <f t="array" ref="AR14">_xll.EQNXTDZ($A$1,$B14,AR$1)</f>
        <v>47</v>
      </c>
      <c r="AS14" s="116" cm="1">
        <f t="array" ref="AS14">_xll.EQNXTDZ($A$1,$B14,AS$1)</f>
        <v>48</v>
      </c>
      <c r="AT14" s="116" cm="1">
        <f t="array" ref="AT14">_xll.EQNXTDZ($A$1,$B14,AT$1)</f>
        <v>49.98</v>
      </c>
      <c r="AU14" s="116" cm="1">
        <f t="array" ref="AU14">_xll.EQNXTDZ($A$1,$B14,AU$1)</f>
        <v>48</v>
      </c>
      <c r="AV14" s="116" cm="1">
        <f t="array" ref="AV14">_xll.EQNXTDZ($A$1,$B14,AV$1)</f>
        <v>56.4</v>
      </c>
      <c r="AW14" s="116" cm="1">
        <f t="array" ref="AW14">_xll.EQNXTDZ($A$1,$B14,AW$1)</f>
        <v>50.4</v>
      </c>
      <c r="AX14" s="116" cm="1">
        <f t="array" ref="AX14">_xll.EQNXTDZ($A$1,$B14,AX$1)</f>
        <v>57.55</v>
      </c>
      <c r="AY14" s="116" cm="1">
        <f t="array" ref="AY14">_xll.EQNXTDZ($A$1,$B14,AY$1)</f>
        <v>61</v>
      </c>
      <c r="AZ14" s="116" cm="1">
        <f t="array" ref="AZ14">_xll.EQNXTDZ($A$1,$B14,AZ$1)</f>
        <v>91.39</v>
      </c>
      <c r="BA14" s="116" cm="1">
        <f t="array" ref="BA14">_xll.EQNXTDZ($A$1,$B14,BA$1)</f>
        <v>98</v>
      </c>
      <c r="BB14" s="116" cm="1">
        <f t="array" ref="BB14">_xll.EQNXTDZ($A$1,$B14,BB$1)</f>
        <v>102.35</v>
      </c>
      <c r="BC14" s="116" cm="1">
        <f t="array" ref="BC14">_xll.EQNXTDZ($A$1,$B14,BC$1)</f>
        <v>133.38</v>
      </c>
      <c r="BD14" s="116" cm="1">
        <f t="array" ref="BD14">_xll.EQNXTDZ($A$1,$B14,BD$1)</f>
        <v>168</v>
      </c>
      <c r="BE14" s="116" cm="1">
        <f t="array" ref="BE14">_xll.EQNXTDZ($A$1,$B14,BE$1)</f>
        <v>154.79</v>
      </c>
      <c r="BF14" s="116" cm="1">
        <f t="array" ref="BF14">_xll.EQNXTDZ($A$1,$B14,BF$1)</f>
        <v>157</v>
      </c>
      <c r="BG14" s="116" cm="1">
        <f t="array" ref="BG14">_xll.EQNXTDZ($A$1,$B14,BG$1)</f>
        <v>176</v>
      </c>
      <c r="BH14" s="116" cm="1">
        <f t="array" ref="BH14">_xll.EQNXTDZ($A$1,$B14,BH$1)</f>
        <v>166.96</v>
      </c>
      <c r="BI14" s="116" cm="1">
        <f t="array" ref="BI14">_xll.EQNXTDZ($A$1,$B14,BI$1)</f>
        <v>169.4</v>
      </c>
      <c r="BJ14" s="116" cm="1">
        <f t="array" ref="BJ14">_xll.EQNXTDZ($A$1,$B14,BJ$1)</f>
        <v>165</v>
      </c>
      <c r="BK14" s="116" cm="1">
        <f t="array" ref="BK14">_xll.EQNXTDZ($A$1,$B14,BK$1)</f>
        <v>159.37</v>
      </c>
      <c r="BL14" s="116" cm="1">
        <f t="array" ref="BL14">_xll.EQNXTDZ($A$1,$B14,BL$1)</f>
        <v>165.58</v>
      </c>
      <c r="BM14" s="116" cm="1">
        <f t="array" ref="BM14">_xll.EQNXTDZ($A$1,$B14,BM$1)</f>
        <v>147.5</v>
      </c>
      <c r="BN14" s="116" cm="1">
        <f t="array" ref="BN14">_xll.EQNXTDZ($A$1,$B14,BN$1)</f>
        <v>151.69999999999999</v>
      </c>
      <c r="BO14" s="116" cm="1">
        <f t="array" ref="BO14">_xll.EQNXTDZ($A$1,$B14,BO$1)</f>
        <v>167.74</v>
      </c>
      <c r="BP14" s="116" cm="1">
        <f t="array" ref="BP14">_xll.EQNXTDZ($A$1,$B14,BP$1)</f>
        <v>174.76</v>
      </c>
      <c r="BQ14" s="116" cm="1">
        <f t="array" ref="BQ14">_xll.EQNXTDZ($A$1,$B14,BQ$1)</f>
        <v>190</v>
      </c>
      <c r="BR14" s="116" cm="1">
        <f t="array" ref="BR14">_xll.EQNXTDZ($A$1,$B14,BR$1)</f>
        <v>245</v>
      </c>
      <c r="BS14" s="116" cm="1">
        <f t="array" ref="BS14">_xll.EQNXTDZ($A$1,$B14,BS$1)</f>
        <v>203.36</v>
      </c>
      <c r="BT14" s="116" cm="1">
        <f t="array" ref="BT14">_xll.EQNXTDZ($A$1,$B14,BT$1)</f>
        <v>180</v>
      </c>
      <c r="BU14" s="116" cm="1">
        <f t="array" ref="BU14">_xll.EQNXTDZ($A$1,$B14,BU$1)</f>
        <v>190.94</v>
      </c>
      <c r="BV14" s="116" cm="1">
        <f t="array" ref="BV14">_xll.EQNXTDZ($A$1,$B14,BV$1)</f>
        <v>200.6</v>
      </c>
      <c r="BW14" s="116" cm="1">
        <f t="array" ref="BW14">_xll.EQNXTDZ($A$1,$B14,BW$1)</f>
        <v>188.16</v>
      </c>
      <c r="BX14" s="116" cm="1">
        <f t="array" ref="BX14">_xll.EQNXTDZ($A$1,$B14,BX$1)</f>
        <v>180</v>
      </c>
      <c r="BY14" s="116" cm="1">
        <f t="array" ref="BY14">_xll.EQNXTDZ($A$1,$B14,BY$1)</f>
        <v>227</v>
      </c>
      <c r="BZ14" s="116" cm="1">
        <f t="array" ref="BZ14">_xll.EQNXTDZ($A$1,$B14,BZ$1)</f>
        <v>265.60000000000002</v>
      </c>
      <c r="CA14" s="116" cm="1">
        <f t="array" ref="CA14">_xll.EQNXTDZ($A$1,$B14,CA$1)</f>
        <v>244</v>
      </c>
      <c r="CB14" s="116" cm="1">
        <f t="array" ref="CB14">_xll.EQNXTDZ($A$1,$B14,CB$1)</f>
        <v>250.69</v>
      </c>
      <c r="CC14" s="116" cm="1">
        <f t="array" ref="CC14">_xll.EQNXTDZ($A$1,$B14,CC$1)</f>
        <v>236.88</v>
      </c>
      <c r="CD14" s="116" cm="1">
        <f t="array" ref="CD14">_xll.EQNXTDZ($A$1,$B14,CD$1)</f>
        <v>224.79</v>
      </c>
      <c r="CE14" s="116" cm="1">
        <f t="array" ref="CE14">_xll.EQNXTDZ($A$1,$B14,CE$1)</f>
        <v>208.22</v>
      </c>
      <c r="CF14" s="116" cm="1">
        <f t="array" ref="CF14">_xll.EQNXTDZ($A$1,$B14,CF$1)</f>
        <v>203</v>
      </c>
      <c r="CG14" s="116" cm="1">
        <f t="array" ref="CG14">_xll.EQNXTDZ($A$1,$B14,CG$1)</f>
        <v>197.8</v>
      </c>
      <c r="CH14" s="116" cm="1">
        <f t="array" ref="CH14">_xll.EQNXTDZ($A$1,$B14,CH$1)</f>
        <v>203</v>
      </c>
      <c r="CI14" s="116" cm="1">
        <f t="array" ref="CI14">_xll.EQNXTDZ($A$1,$B14,CI$1)</f>
        <v>201.6</v>
      </c>
      <c r="CJ14" s="116" cm="1">
        <f t="array" ref="CJ14">_xll.EQNXTDZ($A$1,$B14,CJ$1)</f>
        <v>201.95</v>
      </c>
      <c r="CK14" s="116" cm="1">
        <f t="array" ref="CK14">_xll.EQNXTDZ($A$1,$B14,CK$1)</f>
        <v>186.95</v>
      </c>
      <c r="CL14" s="116" cm="1">
        <f t="array" ref="CL14">_xll.EQNXTDZ($A$1,$B14,CL$1)</f>
        <v>225.7</v>
      </c>
      <c r="CM14" s="116" cm="1">
        <f t="array" ref="CM14">_xll.EQNXTDZ($A$1,$B14,CM$1)</f>
        <v>211</v>
      </c>
      <c r="CN14" s="116" cm="1">
        <f t="array" ref="CN14">_xll.EQNXTDZ($A$1,$B14,CN$1)</f>
        <v>194</v>
      </c>
      <c r="CO14" s="116" cm="1">
        <f t="array" ref="CO14">_xll.EQNXTDZ($A$1,$B14,CO$1)</f>
        <v>183.1</v>
      </c>
      <c r="CP14" s="116" cm="1">
        <f t="array" ref="CP14">_xll.EQNXTDZ($A$1,$B14,CP$1)</f>
        <v>181.7</v>
      </c>
      <c r="CQ14" s="116" cm="1">
        <f t="array" ref="CQ14">_xll.EQNXTDZ($A$1,$B14,CQ$1)</f>
        <v>167</v>
      </c>
      <c r="CR14" s="116" cm="1">
        <f t="array" ref="CR14">_xll.EQNXTDZ($A$1,$B14,CR$1)</f>
        <v>147.94999999999999</v>
      </c>
      <c r="CS14" s="116" cm="1">
        <f t="array" ref="CS14">_xll.EQNXTDZ($A$1,$B14,CS$1)</f>
        <v>156.94999999999999</v>
      </c>
      <c r="CT14" s="116" cm="1">
        <f t="array" ref="CT14">_xll.EQNXTDZ($A$1,$B14,CT$1)</f>
        <v>137.75</v>
      </c>
      <c r="CU14" s="116" cm="1">
        <f t="array" ref="CU14">_xll.EQNXTDZ($A$1,$B14,CU$1)</f>
        <v>183.7</v>
      </c>
      <c r="CV14" s="116" cm="1">
        <f t="array" ref="CV14">_xll.EQNXTDZ($A$1,$B14,CV$1)</f>
        <v>163</v>
      </c>
      <c r="CW14" s="116" cm="1">
        <f t="array" ref="CW14">_xll.EQNXTDZ($A$1,$B14,CW$1)</f>
        <v>161.15</v>
      </c>
      <c r="CX14" s="116" cm="1">
        <f t="array" ref="CX14">_xll.EQNXTDZ($A$1,$B14,CX$1)</f>
        <v>153</v>
      </c>
      <c r="CY14" s="116" cm="1">
        <f t="array" ref="CY14">_xll.EQNXTDZ($A$1,$B14,CY$1)</f>
        <v>138.94999999999999</v>
      </c>
      <c r="CZ14" s="116" cm="1">
        <f t="array" ref="CZ14">_xll.EQNXTDZ($A$1,$B14,CZ$1)</f>
        <v>144.5</v>
      </c>
      <c r="DA14" s="116" cm="1">
        <f t="array" ref="DA14">_xll.EQNXTDZ($A$1,$B14,DA$1)</f>
        <v>170</v>
      </c>
      <c r="DB14" s="116" cm="1">
        <f t="array" ref="DB14">_xll.EQNXTDZ($A$1,$B14,DB$1)</f>
        <v>161.55000000000001</v>
      </c>
      <c r="DC14" s="116" cm="1">
        <f t="array" ref="DC14">_xll.EQNXTDZ($A$1,$B14,DC$1)</f>
        <v>164.9</v>
      </c>
      <c r="DD14" s="116" cm="1">
        <f t="array" ref="DD14">_xll.EQNXTDZ($A$1,$B14,DD$1)</f>
        <v>172.6</v>
      </c>
      <c r="DE14" s="116" cm="1">
        <f t="array" ref="DE14">_xll.EQNXTDZ($A$1,$B14,DE$1)</f>
        <v>174</v>
      </c>
      <c r="DF14" s="116" cm="1">
        <f t="array" ref="DF14">_xll.EQNXTDZ($A$1,$B14,DF$1)</f>
        <v>192.95</v>
      </c>
      <c r="DG14" s="116" cm="1">
        <f t="array" ref="DG14">_xll.EQNXTDZ($A$1,$B14,DG$1)</f>
        <v>203.3</v>
      </c>
      <c r="DH14" s="116" cm="1">
        <f t="array" ref="DH14">_xll.EQNXTDZ($A$1,$B14,DH$1)</f>
        <v>230</v>
      </c>
      <c r="DI14" s="116" cm="1">
        <f t="array" ref="DI14">_xll.EQNXTDZ($A$1,$B14,DI$1)</f>
        <v>212.1</v>
      </c>
      <c r="DJ14" s="116" cm="1">
        <f t="array" ref="DJ14">_xll.EQNXTDZ($A$1,$B14,DJ$1)</f>
        <v>216</v>
      </c>
      <c r="DK14" s="116" cm="1">
        <f t="array" ref="DK14">_xll.EQNXTDZ($A$1,$B14,DK$1)</f>
        <v>204.95</v>
      </c>
      <c r="DL14" s="116" cm="1">
        <f t="array" ref="DL14">_xll.EQNXTDZ($A$1,$B14,DL$1)</f>
        <v>179</v>
      </c>
      <c r="DM14" s="116" cm="1">
        <f t="array" ref="DM14">_xll.EQNXTDZ($A$1,$B14,DM$1)</f>
        <v>166.7</v>
      </c>
      <c r="DN14" s="116" cm="1">
        <f t="array" ref="DN14">_xll.EQNXTDZ($A$1,$B14,DN$1)</f>
        <v>173</v>
      </c>
      <c r="DO14" s="116" cm="1">
        <f t="array" ref="DO14">_xll.EQNXTDZ($A$1,$B14,DO$1)</f>
        <v>153</v>
      </c>
      <c r="DP14" s="116" cm="1">
        <f t="array" ref="DP14">_xll.EQNXTDZ($A$1,$B14,DP$1)</f>
        <v>194.05</v>
      </c>
      <c r="DQ14" s="116" cm="1">
        <f t="array" ref="DQ14">_xll.EQNXTDZ($A$1,$B14,DQ$1)</f>
        <v>238.95</v>
      </c>
      <c r="DR14" s="116" cm="1">
        <f t="array" ref="DR14">_xll.EQNXTDZ($A$1,$B14,DR$1)</f>
        <v>212.2</v>
      </c>
      <c r="DS14" s="116" cm="1">
        <f t="array" ref="DS14">_xll.EQNXTDZ($A$1,$B14,DS$1)</f>
        <v>203.65</v>
      </c>
      <c r="DT14" s="116" cm="1">
        <f t="array" ref="DT14">_xll.EQNXTDZ($A$1,$B14,DT$1)</f>
        <v>225</v>
      </c>
      <c r="DU14" s="116" cm="1">
        <f t="array" ref="DU14">_xll.EQNXTDZ($A$1,$B14,DU$1)</f>
        <v>299.7</v>
      </c>
      <c r="DV14" s="116" cm="1">
        <f t="array" ref="DV14">_xll.EQNXTDZ($A$1,$B14,DV$1)</f>
        <v>315</v>
      </c>
      <c r="DW14" s="116" cm="1">
        <f t="array" ref="DW14">_xll.EQNXTDZ($A$1,$B14,DW$1)</f>
        <v>349</v>
      </c>
      <c r="DX14" s="116" cm="1">
        <f t="array" ref="DX14">_xll.EQNXTDZ($A$1,$B14,DX$1)</f>
        <v>333</v>
      </c>
      <c r="DY14" s="116" cm="1">
        <f t="array" ref="DY14">_xll.EQNXTDZ($A$1,$B14,DY$1)</f>
        <v>306.7</v>
      </c>
      <c r="DZ14" s="116" cm="1">
        <f t="array" ref="DZ14">_xll.EQNXTDZ($A$1,$B14,DZ$1)</f>
        <v>297</v>
      </c>
      <c r="EA14" s="116" cm="1">
        <f t="array" ref="EA14">_xll.EQNXTDZ($A$1,$B14,EA$1)</f>
        <v>288.3</v>
      </c>
      <c r="EB14" s="116" cm="1">
        <f t="array" ref="EB14">_xll.EQNXTDZ($A$1,$B14,EB$1)</f>
        <v>266</v>
      </c>
      <c r="EC14" s="116" cm="1">
        <f t="array" ref="EC14">_xll.EQNXTDZ($A$1,$B14,EC$1)</f>
        <v>286.5</v>
      </c>
      <c r="ED14" s="116" cm="1">
        <f t="array" ref="ED14">_xll.EQNXTDZ($A$1,$B14,ED$1)</f>
        <v>300</v>
      </c>
      <c r="EE14" s="116" cm="1">
        <f t="array" ref="EE14">_xll.EQNXTDZ($A$1,$B14,EE$1)</f>
        <v>287.85000000000002</v>
      </c>
      <c r="EF14" s="116" cm="1">
        <f t="array" ref="EF14">_xll.EQNXTDZ($A$1,$B14,EF$1)</f>
        <v>309.89999999999998</v>
      </c>
      <c r="EG14" s="116" cm="1">
        <f t="array" ref="EG14">_xll.EQNXTDZ($A$1,$B14,EG$1)</f>
        <v>321.2</v>
      </c>
      <c r="EH14" s="116" cm="1">
        <f t="array" ref="EH14">_xll.EQNXTDZ($A$1,$B14,EH$1)</f>
        <v>421.75</v>
      </c>
      <c r="EI14" s="116" cm="1">
        <f t="array" ref="EI14">_xll.EQNXTDZ($A$1,$B14,EI$1)</f>
        <v>389.9</v>
      </c>
      <c r="EJ14" s="116" cm="1">
        <f t="array" ref="EJ14">_xll.EQNXTDZ($A$1,$B14,EJ$1)</f>
        <v>354.15</v>
      </c>
      <c r="EK14" s="116" cm="1">
        <f t="array" ref="EK14">_xll.EQNXTDZ($A$1,$B14,EK$1)</f>
        <v>374.95</v>
      </c>
      <c r="EL14" s="116" cm="1">
        <f t="array" ref="EL14">_xll.EQNXTDZ($A$1,$B14,EL$1)</f>
        <v>382</v>
      </c>
      <c r="EM14" s="116" cm="1">
        <f t="array" ref="EM14">_xll.EQNXTDZ($A$1,$B14,EM$1)</f>
        <v>375.8</v>
      </c>
      <c r="EN14" s="116" cm="1">
        <f t="array" ref="EN14">_xll.EQNXTDZ($A$1,$B14,EN$1)</f>
        <v>347.9</v>
      </c>
      <c r="EO14" s="116" cm="1">
        <f t="array" ref="EO14">_xll.EQNXTDZ($A$1,$B14,EO$1)</f>
        <v>354</v>
      </c>
      <c r="EP14" s="116" cm="1">
        <f t="array" ref="EP14">_xll.EQNXTDZ($A$1,$B14,EP$1)</f>
        <v>345.6</v>
      </c>
      <c r="EQ14" s="116" cm="1">
        <f t="array" ref="EQ14">_xll.EQNXTDZ($A$1,$B14,EQ$1)</f>
        <v>360.35</v>
      </c>
      <c r="ER14" s="116" cm="1">
        <f t="array" ref="ER14">_xll.EQNXTDZ($A$1,$B14,ER$1)</f>
        <v>371.75</v>
      </c>
      <c r="ES14" s="116" cm="1">
        <f t="array" ref="ES14">_xll.EQNXTDZ($A$1,$B14,ES$1)</f>
        <v>373.5</v>
      </c>
      <c r="ET14" s="116" cm="1">
        <f t="array" ref="ET14">_xll.EQNXTDZ($A$1,$B14,ET$1)</f>
        <v>370.55</v>
      </c>
      <c r="EU14" s="116" cm="1">
        <f t="array" ref="EU14">_xll.EQNXTDZ($A$1,$B14,EU$1)</f>
        <v>343.8</v>
      </c>
      <c r="EV14" s="116" cm="1">
        <f t="array" ref="EV14">_xll.EQNXTDZ($A$1,$B14,EV$1)</f>
        <v>321</v>
      </c>
      <c r="EW14" s="116" cm="1">
        <f t="array" ref="EW14">_xll.EQNXTDZ($A$1,$B14,EW$1)</f>
        <v>359</v>
      </c>
      <c r="EX14" s="116" cm="1">
        <f t="array" ref="EX14">_xll.EQNXTDZ($A$1,$B14,EX$1)</f>
        <v>353.9</v>
      </c>
      <c r="EY14" s="116" cm="1">
        <f t="array" ref="EY14">_xll.EQNXTDZ($A$1,$B14,EY$1)</f>
        <v>318.95</v>
      </c>
      <c r="EZ14" s="116" cm="1">
        <f t="array" ref="EZ14">_xll.EQNXTDZ($A$1,$B14,EZ$1)</f>
        <v>297</v>
      </c>
      <c r="FA14" s="116" cm="1">
        <f t="array" ref="FA14">_xll.EQNXTDZ($A$1,$B14,FA$1)</f>
        <v>287</v>
      </c>
      <c r="FB14" s="116" cm="1">
        <f t="array" ref="FB14">_xll.EQNXTDZ($A$1,$B14,FB$1)</f>
        <v>307</v>
      </c>
      <c r="FC14" s="116" cm="1">
        <f t="array" ref="FC14">_xll.EQNXTDZ($A$1,$B14,FC$1)</f>
        <v>323.8</v>
      </c>
      <c r="FD14" s="116" cm="1">
        <f t="array" ref="FD14">_xll.EQNXTDZ($A$1,$B14,FD$1)</f>
        <v>315.2</v>
      </c>
      <c r="FE14" s="116" cm="1">
        <f t="array" ref="FE14">_xll.EQNXTDZ($A$1,$B14,FE$1)</f>
        <v>285.35000000000002</v>
      </c>
      <c r="FF14" s="116" cm="1">
        <f t="array" ref="FF14">_xll.EQNXTDZ($A$1,$B14,FF$1)</f>
        <v>284.35000000000002</v>
      </c>
      <c r="FG14" s="116" cm="1">
        <f t="array" ref="FG14">_xll.EQNXTDZ($A$1,$B14,FG$1)</f>
        <v>266.7</v>
      </c>
      <c r="FH14" s="116" cm="1">
        <f t="array" ref="FH14">_xll.EQNXTDZ($A$1,$B14,FH$1)</f>
        <v>264.89999999999998</v>
      </c>
      <c r="FI14" s="116" cm="1">
        <f t="array" ref="FI14">_xll.EQNXTDZ($A$1,$B14,FI$1)</f>
        <v>247.7</v>
      </c>
      <c r="FJ14" s="116" cm="1">
        <f t="array" ref="FJ14">_xll.EQNXTDZ($A$1,$B14,FJ$1)</f>
        <v>273.89999999999998</v>
      </c>
      <c r="FK14" s="116" cm="1">
        <f t="array" ref="FK14">_xll.EQNXTDZ($A$1,$B14,FK$1)</f>
        <v>311</v>
      </c>
      <c r="FL14" s="116" cm="1">
        <f t="array" ref="FL14">_xll.EQNXTDZ($A$1,$B14,FL$1)</f>
        <v>269.7</v>
      </c>
      <c r="FM14" s="116" cm="1">
        <f t="array" ref="FM14">_xll.EQNXTDZ($A$1,$B14,FM$1)</f>
        <v>278.5</v>
      </c>
      <c r="FN14" s="116" cm="1">
        <f t="array" ref="FN14">_xll.EQNXTDZ($A$1,$B14,FN$1)</f>
        <v>274</v>
      </c>
      <c r="FO14" s="116" cm="1">
        <f t="array" ref="FO14">_xll.EQNXTDZ($A$1,$B14,FO$1)</f>
        <v>239.95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43.4</v>
      </c>
      <c r="HQ14" s="116">
        <f>+MAX(G14:I14)</f>
        <v>58.2</v>
      </c>
      <c r="HR14" s="116">
        <f>+MAX(J14:L14)</f>
        <v>54.5</v>
      </c>
      <c r="HS14" s="116">
        <f>+MAX(M14:O14)</f>
        <v>49</v>
      </c>
      <c r="HT14" s="116">
        <f>+MAX(P14:R14)</f>
        <v>45.98</v>
      </c>
      <c r="HU14" s="116">
        <f>+MAX(S14:U14)</f>
        <v>41.57</v>
      </c>
      <c r="HV14" s="116">
        <f>+MAX(V14:X14)</f>
        <v>38.36</v>
      </c>
      <c r="HW14" s="116">
        <f>+MAX(Y14:AA14)</f>
        <v>53.78</v>
      </c>
      <c r="HX14" s="116">
        <f>+MAX(AB14:AD14)</f>
        <v>57.34</v>
      </c>
      <c r="HY14" s="116">
        <f>+MAX(AE14:AG14)</f>
        <v>57.6</v>
      </c>
      <c r="HZ14" s="116">
        <f>+MAX(AH14:AJ14)</f>
        <v>52.04</v>
      </c>
      <c r="IA14" s="116">
        <f>+MAX(AK14:AM14)</f>
        <v>49</v>
      </c>
      <c r="IB14" s="116">
        <f>+MAX(AN14:AP14)</f>
        <v>55</v>
      </c>
      <c r="IC14" s="116">
        <f>+MAX(AQ14:AS14)</f>
        <v>48.38</v>
      </c>
      <c r="ID14" s="116">
        <f>+MAX(AT14:AV14)</f>
        <v>56.4</v>
      </c>
      <c r="IE14" s="116">
        <f>+MAX(AW14:AY14)</f>
        <v>61</v>
      </c>
      <c r="IF14" s="116">
        <f>+MAX(AZ14:BB14)</f>
        <v>102.35</v>
      </c>
      <c r="IG14" s="116">
        <f>+MAX(BC14:BE14)</f>
        <v>168</v>
      </c>
      <c r="IH14" s="116">
        <f>+MAX(BF14:BH14)</f>
        <v>176</v>
      </c>
      <c r="II14" s="116">
        <f>+MAX(BI14:BK14)</f>
        <v>169.4</v>
      </c>
      <c r="IJ14" s="116">
        <f>+MAX(BL14:BN14)</f>
        <v>165.58</v>
      </c>
      <c r="IK14" s="116">
        <f>+MAX(BO14:BQ14)</f>
        <v>190</v>
      </c>
      <c r="IL14" s="116">
        <f>+MAX(BR14:BT14)</f>
        <v>245</v>
      </c>
      <c r="IM14" s="116">
        <f>+MAX(BU14:BW14)</f>
        <v>200.6</v>
      </c>
      <c r="IN14" s="116">
        <f>+MAX(BX14:BZ14)</f>
        <v>265.60000000000002</v>
      </c>
      <c r="IO14" s="116">
        <f>+MAX(CA14:CC14)</f>
        <v>250.69</v>
      </c>
      <c r="IP14" s="116">
        <f>+MAX(CD14:CF14)</f>
        <v>224.79</v>
      </c>
      <c r="IQ14" s="116">
        <f>+MAX(CG14:CI14)</f>
        <v>203</v>
      </c>
      <c r="IR14" s="116">
        <f>+MAX(CJ14:CL14)</f>
        <v>225.7</v>
      </c>
      <c r="IS14" s="116">
        <f>+MAX(CM14:CO14)</f>
        <v>211</v>
      </c>
      <c r="IT14" s="116">
        <f>+MAX(CP14:CR14)</f>
        <v>181.7</v>
      </c>
      <c r="IU14" s="116">
        <f>+MAX(CS14:CU14)</f>
        <v>183.7</v>
      </c>
      <c r="IV14" s="116">
        <f>+MAX(CV14:CX14)</f>
        <v>163</v>
      </c>
      <c r="IW14" s="116">
        <f>+MAX(CY14:DA14)</f>
        <v>170</v>
      </c>
      <c r="IX14" s="116">
        <f>+MAX(DB14:DD14)</f>
        <v>172.6</v>
      </c>
      <c r="IY14" s="116">
        <f>+MAX(DE14:DG14)</f>
        <v>203.3</v>
      </c>
      <c r="IZ14" s="116">
        <f>+MAX(DH14:DJ14)</f>
        <v>230</v>
      </c>
      <c r="JA14" s="116">
        <f>+MAX(DK14:DM14)</f>
        <v>204.95</v>
      </c>
      <c r="JB14" s="116">
        <f>+MAX(DN14:DP14)</f>
        <v>194.05</v>
      </c>
      <c r="JC14" s="116">
        <f>+MAX(DQ14:DS14)</f>
        <v>238.95</v>
      </c>
      <c r="JD14" s="116">
        <f>+MAX(DT14:DV14)</f>
        <v>315</v>
      </c>
      <c r="JE14" s="116">
        <f>+MAX(DW14:DY14)</f>
        <v>349</v>
      </c>
      <c r="JF14" s="116">
        <f>+MAX(DZ14:EB14)</f>
        <v>297</v>
      </c>
      <c r="JG14" s="116">
        <f>+MAX(EC14:EE14)</f>
        <v>300</v>
      </c>
      <c r="JH14" s="116">
        <f>+MAX(EF14:EH14)</f>
        <v>421.75</v>
      </c>
      <c r="JI14" s="116">
        <f>+MAX(EI14:EK14)</f>
        <v>389.9</v>
      </c>
      <c r="JJ14" s="116">
        <f>+MAX(EL14:EN14)</f>
        <v>382</v>
      </c>
      <c r="JK14" s="116">
        <f>MAX(EO14:EQ14)</f>
        <v>360.35</v>
      </c>
      <c r="JL14" s="116">
        <f>MAX(ER14:ET14)</f>
        <v>373.5</v>
      </c>
      <c r="JM14" s="116">
        <f>MAX(EU14:EW14)</f>
        <v>359</v>
      </c>
      <c r="JN14" s="116">
        <f>MAX(EX14:EZ14)</f>
        <v>353.9</v>
      </c>
      <c r="JO14" s="116">
        <f>MAX(FA14:FC14)</f>
        <v>323.8</v>
      </c>
      <c r="JP14" s="116">
        <f>MAX(FD14:FF14)</f>
        <v>315.2</v>
      </c>
      <c r="JQ14" s="116">
        <f>MAX(FG14:FI14)</f>
        <v>266.7</v>
      </c>
      <c r="JR14" s="116">
        <f>MAX(FJ14:FL14)</f>
        <v>311</v>
      </c>
      <c r="JS14" s="116">
        <f>MAX(FM14:FO14)</f>
        <v>278.5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37.4</v>
      </c>
      <c r="D15" s="116" cm="1">
        <f t="array" ref="D15">_xll.EQNXTDZ($A$1,$B15,D$1)</f>
        <v>37.4</v>
      </c>
      <c r="E15" s="116" cm="1">
        <f t="array" ref="E15">_xll.EQNXTDZ($A$1,$B15,E$1)</f>
        <v>37.020000000000003</v>
      </c>
      <c r="F15" s="116" cm="1">
        <f t="array" ref="F15">_xll.EQNXTDZ($A$1,$B15,F$1)</f>
        <v>37.4</v>
      </c>
      <c r="G15" s="116" cm="1">
        <f t="array" ref="G15">_xll.EQNXTDZ($A$1,$B15,G$1)</f>
        <v>40</v>
      </c>
      <c r="H15" s="116" cm="1">
        <f t="array" ref="H15">_xll.EQNXTDZ($A$1,$B15,H$1)</f>
        <v>44.25</v>
      </c>
      <c r="I15" s="116" cm="1">
        <f t="array" ref="I15">_xll.EQNXTDZ($A$1,$B15,I$1)</f>
        <v>48.4</v>
      </c>
      <c r="J15" s="116" cm="1">
        <f t="array" ref="J15">_xll.EQNXTDZ($A$1,$B15,J$1)</f>
        <v>44.21</v>
      </c>
      <c r="K15" s="116" cm="1">
        <f t="array" ref="K15">_xll.EQNXTDZ($A$1,$B15,K$1)</f>
        <v>42.4</v>
      </c>
      <c r="L15" s="116" cm="1">
        <f t="array" ref="L15">_xll.EQNXTDZ($A$1,$B15,L$1)</f>
        <v>39.64</v>
      </c>
      <c r="M15" s="116" cm="1">
        <f t="array" ref="M15">_xll.EQNXTDZ($A$1,$B15,M$1)</f>
        <v>42</v>
      </c>
      <c r="N15" s="116" cm="1">
        <f t="array" ref="N15">_xll.EQNXTDZ($A$1,$B15,N$1)</f>
        <v>39.78</v>
      </c>
      <c r="O15" s="116" cm="1">
        <f t="array" ref="O15">_xll.EQNXTDZ($A$1,$B15,O$1)</f>
        <v>41.1</v>
      </c>
      <c r="P15" s="116" cm="1">
        <f t="array" ref="P15">_xll.EQNXTDZ($A$1,$B15,P$1)</f>
        <v>37.64</v>
      </c>
      <c r="Q15" s="116" cm="1">
        <f t="array" ref="Q15">_xll.EQNXTDZ($A$1,$B15,Q$1)</f>
        <v>33.4</v>
      </c>
      <c r="R15" s="116" cm="1">
        <f t="array" ref="R15">_xll.EQNXTDZ($A$1,$B15,R$1)</f>
        <v>34.799999999999997</v>
      </c>
      <c r="S15" s="116" cm="1">
        <f t="array" ref="S15">_xll.EQNXTDZ($A$1,$B15,S$1)</f>
        <v>34</v>
      </c>
      <c r="T15" s="116" cm="1">
        <f t="array" ref="T15">_xll.EQNXTDZ($A$1,$B15,T$1)</f>
        <v>34</v>
      </c>
      <c r="U15" s="116" cm="1">
        <f t="array" ref="U15">_xll.EQNXTDZ($A$1,$B15,U$1)</f>
        <v>34.869999999999997</v>
      </c>
      <c r="V15" s="116" cm="1">
        <f t="array" ref="V15">_xll.EQNXTDZ($A$1,$B15,V$1)</f>
        <v>34.25</v>
      </c>
      <c r="W15" s="116" cm="1">
        <f t="array" ref="W15">_xll.EQNXTDZ($A$1,$B15,W$1)</f>
        <v>34.01</v>
      </c>
      <c r="X15" s="116" cm="1">
        <f t="array" ref="X15">_xll.EQNXTDZ($A$1,$B15,X$1)</f>
        <v>33.200000000000003</v>
      </c>
      <c r="Y15" s="116" cm="1">
        <f t="array" ref="Y15">_xll.EQNXTDZ($A$1,$B15,Y$1)</f>
        <v>35</v>
      </c>
      <c r="Z15" s="116" cm="1">
        <f t="array" ref="Z15">_xll.EQNXTDZ($A$1,$B15,Z$1)</f>
        <v>38.1</v>
      </c>
      <c r="AA15" s="116" cm="1">
        <f t="array" ref="AA15">_xll.EQNXTDZ($A$1,$B15,AA$1)</f>
        <v>43.8</v>
      </c>
      <c r="AB15" s="116" cm="1">
        <f t="array" ref="AB15">_xll.EQNXTDZ($A$1,$B15,AB$1)</f>
        <v>43</v>
      </c>
      <c r="AC15" s="116" cm="1">
        <f t="array" ref="AC15">_xll.EQNXTDZ($A$1,$B15,AC$1)</f>
        <v>42.02</v>
      </c>
      <c r="AD15" s="116" cm="1">
        <f t="array" ref="AD15">_xll.EQNXTDZ($A$1,$B15,AD$1)</f>
        <v>44</v>
      </c>
      <c r="AE15" s="116" cm="1">
        <f t="array" ref="AE15">_xll.EQNXTDZ($A$1,$B15,AE$1)</f>
        <v>40.4</v>
      </c>
      <c r="AF15" s="116" cm="1">
        <f t="array" ref="AF15">_xll.EQNXTDZ($A$1,$B15,AF$1)</f>
        <v>42</v>
      </c>
      <c r="AG15" s="116" cm="1">
        <f t="array" ref="AG15">_xll.EQNXTDZ($A$1,$B15,AG$1)</f>
        <v>43.8</v>
      </c>
      <c r="AH15" s="116" cm="1">
        <f t="array" ref="AH15">_xll.EQNXTDZ($A$1,$B15,AH$1)</f>
        <v>45</v>
      </c>
      <c r="AI15" s="116" cm="1">
        <f t="array" ref="AI15">_xll.EQNXTDZ($A$1,$B15,AI$1)</f>
        <v>42</v>
      </c>
      <c r="AJ15" s="116" cm="1">
        <f t="array" ref="AJ15">_xll.EQNXTDZ($A$1,$B15,AJ$1)</f>
        <v>34.92</v>
      </c>
      <c r="AK15" s="116" cm="1">
        <f t="array" ref="AK15">_xll.EQNXTDZ($A$1,$B15,AK$1)</f>
        <v>36</v>
      </c>
      <c r="AL15" s="116" cm="1">
        <f t="array" ref="AL15">_xll.EQNXTDZ($A$1,$B15,AL$1)</f>
        <v>35.92</v>
      </c>
      <c r="AM15" s="116" cm="1">
        <f t="array" ref="AM15">_xll.EQNXTDZ($A$1,$B15,AM$1)</f>
        <v>36.46</v>
      </c>
      <c r="AN15" s="116" cm="1">
        <f t="array" ref="AN15">_xll.EQNXTDZ($A$1,$B15,AN$1)</f>
        <v>39.340000000000003</v>
      </c>
      <c r="AO15" s="116" cm="1">
        <f t="array" ref="AO15">_xll.EQNXTDZ($A$1,$B15,AO$1)</f>
        <v>38</v>
      </c>
      <c r="AP15" s="116" cm="1">
        <f t="array" ref="AP15">_xll.EQNXTDZ($A$1,$B15,AP$1)</f>
        <v>37.58</v>
      </c>
      <c r="AQ15" s="116" cm="1">
        <f t="array" ref="AQ15">_xll.EQNXTDZ($A$1,$B15,AQ$1)</f>
        <v>44.02</v>
      </c>
      <c r="AR15" s="116" cm="1">
        <f t="array" ref="AR15">_xll.EQNXTDZ($A$1,$B15,AR$1)</f>
        <v>42.26</v>
      </c>
      <c r="AS15" s="116" cm="1">
        <f t="array" ref="AS15">_xll.EQNXTDZ($A$1,$B15,AS$1)</f>
        <v>42.68</v>
      </c>
      <c r="AT15" s="116" cm="1">
        <f t="array" ref="AT15">_xll.EQNXTDZ($A$1,$B15,AT$1)</f>
        <v>40.06</v>
      </c>
      <c r="AU15" s="116" cm="1">
        <f t="array" ref="AU15">_xll.EQNXTDZ($A$1,$B15,AU$1)</f>
        <v>39.200000000000003</v>
      </c>
      <c r="AV15" s="116" cm="1">
        <f t="array" ref="AV15">_xll.EQNXTDZ($A$1,$B15,AV$1)</f>
        <v>44</v>
      </c>
      <c r="AW15" s="116" cm="1">
        <f t="array" ref="AW15">_xll.EQNXTDZ($A$1,$B15,AW$1)</f>
        <v>45.64</v>
      </c>
      <c r="AX15" s="116" cm="1">
        <f t="array" ref="AX15">_xll.EQNXTDZ($A$1,$B15,AX$1)</f>
        <v>45.6</v>
      </c>
      <c r="AY15" s="116" cm="1">
        <f t="array" ref="AY15">_xll.EQNXTDZ($A$1,$B15,AY$1)</f>
        <v>50.6</v>
      </c>
      <c r="AZ15" s="116" cm="1">
        <f t="array" ref="AZ15">_xll.EQNXTDZ($A$1,$B15,AZ$1)</f>
        <v>54</v>
      </c>
      <c r="BA15" s="116" cm="1">
        <f t="array" ref="BA15">_xll.EQNXTDZ($A$1,$B15,BA$1)</f>
        <v>76.3</v>
      </c>
      <c r="BB15" s="116" cm="1">
        <f t="array" ref="BB15">_xll.EQNXTDZ($A$1,$B15,BB$1)</f>
        <v>89</v>
      </c>
      <c r="BC15" s="116" cm="1">
        <f t="array" ref="BC15">_xll.EQNXTDZ($A$1,$B15,BC$1)</f>
        <v>96</v>
      </c>
      <c r="BD15" s="116" cm="1">
        <f t="array" ref="BD15">_xll.EQNXTDZ($A$1,$B15,BD$1)</f>
        <v>109</v>
      </c>
      <c r="BE15" s="116" cm="1">
        <f t="array" ref="BE15">_xll.EQNXTDZ($A$1,$B15,BE$1)</f>
        <v>132</v>
      </c>
      <c r="BF15" s="116" cm="1">
        <f t="array" ref="BF15">_xll.EQNXTDZ($A$1,$B15,BF$1)</f>
        <v>137</v>
      </c>
      <c r="BG15" s="116" cm="1">
        <f t="array" ref="BG15">_xll.EQNXTDZ($A$1,$B15,BG$1)</f>
        <v>143.22</v>
      </c>
      <c r="BH15" s="116" cm="1">
        <f t="array" ref="BH15">_xll.EQNXTDZ($A$1,$B15,BH$1)</f>
        <v>148.21</v>
      </c>
      <c r="BI15" s="116" cm="1">
        <f t="array" ref="BI15">_xll.EQNXTDZ($A$1,$B15,BI$1)</f>
        <v>140.32</v>
      </c>
      <c r="BJ15" s="116" cm="1">
        <f t="array" ref="BJ15">_xll.EQNXTDZ($A$1,$B15,BJ$1)</f>
        <v>142</v>
      </c>
      <c r="BK15" s="116" cm="1">
        <f t="array" ref="BK15">_xll.EQNXTDZ($A$1,$B15,BK$1)</f>
        <v>144.09</v>
      </c>
      <c r="BL15" s="116" cm="1">
        <f t="array" ref="BL15">_xll.EQNXTDZ($A$1,$B15,BL$1)</f>
        <v>144.19999999999999</v>
      </c>
      <c r="BM15" s="116" cm="1">
        <f t="array" ref="BM15">_xll.EQNXTDZ($A$1,$B15,BM$1)</f>
        <v>130</v>
      </c>
      <c r="BN15" s="116" cm="1">
        <f t="array" ref="BN15">_xll.EQNXTDZ($A$1,$B15,BN$1)</f>
        <v>138.55000000000001</v>
      </c>
      <c r="BO15" s="116" cm="1">
        <f t="array" ref="BO15">_xll.EQNXTDZ($A$1,$B15,BO$1)</f>
        <v>139.35</v>
      </c>
      <c r="BP15" s="116" cm="1">
        <f t="array" ref="BP15">_xll.EQNXTDZ($A$1,$B15,BP$1)</f>
        <v>145.49</v>
      </c>
      <c r="BQ15" s="116" cm="1">
        <f t="array" ref="BQ15">_xll.EQNXTDZ($A$1,$B15,BQ$1)</f>
        <v>157</v>
      </c>
      <c r="BR15" s="116" cm="1">
        <f t="array" ref="BR15">_xll.EQNXTDZ($A$1,$B15,BR$1)</f>
        <v>175</v>
      </c>
      <c r="BS15" s="116" cm="1">
        <f t="array" ref="BS15">_xll.EQNXTDZ($A$1,$B15,BS$1)</f>
        <v>168</v>
      </c>
      <c r="BT15" s="116" cm="1">
        <f t="array" ref="BT15">_xll.EQNXTDZ($A$1,$B15,BT$1)</f>
        <v>160.09</v>
      </c>
      <c r="BU15" s="116" cm="1">
        <f t="array" ref="BU15">_xll.EQNXTDZ($A$1,$B15,BU$1)</f>
        <v>172</v>
      </c>
      <c r="BV15" s="116" cm="1">
        <f t="array" ref="BV15">_xll.EQNXTDZ($A$1,$B15,BV$1)</f>
        <v>178</v>
      </c>
      <c r="BW15" s="116" cm="1">
        <f t="array" ref="BW15">_xll.EQNXTDZ($A$1,$B15,BW$1)</f>
        <v>163.61000000000001</v>
      </c>
      <c r="BX15" s="116" cm="1">
        <f t="array" ref="BX15">_xll.EQNXTDZ($A$1,$B15,BX$1)</f>
        <v>160.01</v>
      </c>
      <c r="BY15" s="116" cm="1">
        <f t="array" ref="BY15">_xll.EQNXTDZ($A$1,$B15,BY$1)</f>
        <v>173</v>
      </c>
      <c r="BZ15" s="116" cm="1">
        <f t="array" ref="BZ15">_xll.EQNXTDZ($A$1,$B15,BZ$1)</f>
        <v>192.18</v>
      </c>
      <c r="CA15" s="116" cm="1">
        <f t="array" ref="CA15">_xll.EQNXTDZ($A$1,$B15,CA$1)</f>
        <v>192</v>
      </c>
      <c r="CB15" s="116" cm="1">
        <f t="array" ref="CB15">_xll.EQNXTDZ($A$1,$B15,CB$1)</f>
        <v>214.63</v>
      </c>
      <c r="CC15" s="116" cm="1">
        <f t="array" ref="CC15">_xll.EQNXTDZ($A$1,$B15,CC$1)</f>
        <v>210</v>
      </c>
      <c r="CD15" s="116" cm="1">
        <f t="array" ref="CD15">_xll.EQNXTDZ($A$1,$B15,CD$1)</f>
        <v>196.8</v>
      </c>
      <c r="CE15" s="116" cm="1">
        <f t="array" ref="CE15">_xll.EQNXTDZ($A$1,$B15,CE$1)</f>
        <v>164.38</v>
      </c>
      <c r="CF15" s="116" cm="1">
        <f t="array" ref="CF15">_xll.EQNXTDZ($A$1,$B15,CF$1)</f>
        <v>175.74</v>
      </c>
      <c r="CG15" s="116" cm="1">
        <f t="array" ref="CG15">_xll.EQNXTDZ($A$1,$B15,CG$1)</f>
        <v>176</v>
      </c>
      <c r="CH15" s="116" cm="1">
        <f t="array" ref="CH15">_xll.EQNXTDZ($A$1,$B15,CH$1)</f>
        <v>177.6</v>
      </c>
      <c r="CI15" s="116" cm="1">
        <f t="array" ref="CI15">_xll.EQNXTDZ($A$1,$B15,CI$1)</f>
        <v>180.69</v>
      </c>
      <c r="CJ15" s="116" cm="1">
        <f t="array" ref="CJ15">_xll.EQNXTDZ($A$1,$B15,CJ$1)</f>
        <v>163.1</v>
      </c>
      <c r="CK15" s="116" cm="1">
        <f t="array" ref="CK15">_xll.EQNXTDZ($A$1,$B15,CK$1)</f>
        <v>160.01</v>
      </c>
      <c r="CL15" s="116" cm="1">
        <f t="array" ref="CL15">_xll.EQNXTDZ($A$1,$B15,CL$1)</f>
        <v>164</v>
      </c>
      <c r="CM15" s="116" cm="1">
        <f t="array" ref="CM15">_xll.EQNXTDZ($A$1,$B15,CM$1)</f>
        <v>165.1</v>
      </c>
      <c r="CN15" s="116" cm="1">
        <f t="array" ref="CN15">_xll.EQNXTDZ($A$1,$B15,CN$1)</f>
        <v>163</v>
      </c>
      <c r="CO15" s="116" cm="1">
        <f t="array" ref="CO15">_xll.EQNXTDZ($A$1,$B15,CO$1)</f>
        <v>161</v>
      </c>
      <c r="CP15" s="116" cm="1">
        <f t="array" ref="CP15">_xll.EQNXTDZ($A$1,$B15,CP$1)</f>
        <v>162.65</v>
      </c>
      <c r="CQ15" s="116" cm="1">
        <f t="array" ref="CQ15">_xll.EQNXTDZ($A$1,$B15,CQ$1)</f>
        <v>137</v>
      </c>
      <c r="CR15" s="116" cm="1">
        <f t="array" ref="CR15">_xll.EQNXTDZ($A$1,$B15,CR$1)</f>
        <v>82.05</v>
      </c>
      <c r="CS15" s="116" cm="1">
        <f t="array" ref="CS15">_xll.EQNXTDZ($A$1,$B15,CS$1)</f>
        <v>102.85</v>
      </c>
      <c r="CT15" s="116" cm="1">
        <f t="array" ref="CT15">_xll.EQNXTDZ($A$1,$B15,CT$1)</f>
        <v>118</v>
      </c>
      <c r="CU15" s="116" cm="1">
        <f t="array" ref="CU15">_xll.EQNXTDZ($A$1,$B15,CU$1)</f>
        <v>127.35</v>
      </c>
      <c r="CV15" s="116" cm="1">
        <f t="array" ref="CV15">_xll.EQNXTDZ($A$1,$B15,CV$1)</f>
        <v>144.05000000000001</v>
      </c>
      <c r="CW15" s="116" cm="1">
        <f t="array" ref="CW15">_xll.EQNXTDZ($A$1,$B15,CW$1)</f>
        <v>144.9</v>
      </c>
      <c r="CX15" s="116" cm="1">
        <f t="array" ref="CX15">_xll.EQNXTDZ($A$1,$B15,CX$1)</f>
        <v>132.35</v>
      </c>
      <c r="CY15" s="116" cm="1">
        <f t="array" ref="CY15">_xll.EQNXTDZ($A$1,$B15,CY$1)</f>
        <v>126</v>
      </c>
      <c r="CZ15" s="116" cm="1">
        <f t="array" ref="CZ15">_xll.EQNXTDZ($A$1,$B15,CZ$1)</f>
        <v>126</v>
      </c>
      <c r="DA15" s="116" cm="1">
        <f t="array" ref="DA15">_xll.EQNXTDZ($A$1,$B15,DA$1)</f>
        <v>140</v>
      </c>
      <c r="DB15" s="116" cm="1">
        <f t="array" ref="DB15">_xll.EQNXTDZ($A$1,$B15,DB$1)</f>
        <v>142.25</v>
      </c>
      <c r="DC15" s="116" cm="1">
        <f t="array" ref="DC15">_xll.EQNXTDZ($A$1,$B15,DC$1)</f>
        <v>137</v>
      </c>
      <c r="DD15" s="116" cm="1">
        <f t="array" ref="DD15">_xll.EQNXTDZ($A$1,$B15,DD$1)</f>
        <v>150.6</v>
      </c>
      <c r="DE15" s="116" cm="1">
        <f t="array" ref="DE15">_xll.EQNXTDZ($A$1,$B15,DE$1)</f>
        <v>145.85</v>
      </c>
      <c r="DF15" s="116" cm="1">
        <f t="array" ref="DF15">_xll.EQNXTDZ($A$1,$B15,DF$1)</f>
        <v>150.1</v>
      </c>
      <c r="DG15" s="116" cm="1">
        <f t="array" ref="DG15">_xll.EQNXTDZ($A$1,$B15,DG$1)</f>
        <v>164.15</v>
      </c>
      <c r="DH15" s="116" cm="1">
        <f t="array" ref="DH15">_xll.EQNXTDZ($A$1,$B15,DH$1)</f>
        <v>188.1</v>
      </c>
      <c r="DI15" s="116" cm="1">
        <f t="array" ref="DI15">_xll.EQNXTDZ($A$1,$B15,DI$1)</f>
        <v>165.25</v>
      </c>
      <c r="DJ15" s="116" cm="1">
        <f t="array" ref="DJ15">_xll.EQNXTDZ($A$1,$B15,DJ$1)</f>
        <v>170.9</v>
      </c>
      <c r="DK15" s="116" cm="1">
        <f t="array" ref="DK15">_xll.EQNXTDZ($A$1,$B15,DK$1)</f>
        <v>169.75</v>
      </c>
      <c r="DL15" s="116" cm="1">
        <f t="array" ref="DL15">_xll.EQNXTDZ($A$1,$B15,DL$1)</f>
        <v>155</v>
      </c>
      <c r="DM15" s="116" cm="1">
        <f t="array" ref="DM15">_xll.EQNXTDZ($A$1,$B15,DM$1)</f>
        <v>140.69999999999999</v>
      </c>
      <c r="DN15" s="116" cm="1">
        <f t="array" ref="DN15">_xll.EQNXTDZ($A$1,$B15,DN$1)</f>
        <v>147.15</v>
      </c>
      <c r="DO15" s="116" cm="1">
        <f t="array" ref="DO15">_xll.EQNXTDZ($A$1,$B15,DO$1)</f>
        <v>133.94999999999999</v>
      </c>
      <c r="DP15" s="116" cm="1">
        <f t="array" ref="DP15">_xll.EQNXTDZ($A$1,$B15,DP$1)</f>
        <v>137.15</v>
      </c>
      <c r="DQ15" s="116" cm="1">
        <f t="array" ref="DQ15">_xll.EQNXTDZ($A$1,$B15,DQ$1)</f>
        <v>174</v>
      </c>
      <c r="DR15" s="116" cm="1">
        <f t="array" ref="DR15">_xll.EQNXTDZ($A$1,$B15,DR$1)</f>
        <v>172.4</v>
      </c>
      <c r="DS15" s="116" cm="1">
        <f t="array" ref="DS15">_xll.EQNXTDZ($A$1,$B15,DS$1)</f>
        <v>160</v>
      </c>
      <c r="DT15" s="116" cm="1">
        <f t="array" ref="DT15">_xll.EQNXTDZ($A$1,$B15,DT$1)</f>
        <v>186.6</v>
      </c>
      <c r="DU15" s="116" cm="1">
        <f t="array" ref="DU15">_xll.EQNXTDZ($A$1,$B15,DU$1)</f>
        <v>217.95</v>
      </c>
      <c r="DV15" s="116" cm="1">
        <f t="array" ref="DV15">_xll.EQNXTDZ($A$1,$B15,DV$1)</f>
        <v>257.55</v>
      </c>
      <c r="DW15" s="116" cm="1">
        <f t="array" ref="DW15">_xll.EQNXTDZ($A$1,$B15,DW$1)</f>
        <v>267.95</v>
      </c>
      <c r="DX15" s="116" cm="1">
        <f t="array" ref="DX15">_xll.EQNXTDZ($A$1,$B15,DX$1)</f>
        <v>277</v>
      </c>
      <c r="DY15" s="116" cm="1">
        <f t="array" ref="DY15">_xll.EQNXTDZ($A$1,$B15,DY$1)</f>
        <v>240.55</v>
      </c>
      <c r="DZ15" s="116" cm="1">
        <f t="array" ref="DZ15">_xll.EQNXTDZ($A$1,$B15,DZ$1)</f>
        <v>262.25</v>
      </c>
      <c r="EA15" s="116" cm="1">
        <f t="array" ref="EA15">_xll.EQNXTDZ($A$1,$B15,EA$1)</f>
        <v>240</v>
      </c>
      <c r="EB15" s="116" cm="1">
        <f t="array" ref="EB15">_xll.EQNXTDZ($A$1,$B15,EB$1)</f>
        <v>220</v>
      </c>
      <c r="EC15" s="116" cm="1">
        <f t="array" ref="EC15">_xll.EQNXTDZ($A$1,$B15,EC$1)</f>
        <v>236.95</v>
      </c>
      <c r="ED15" s="116" cm="1">
        <f t="array" ref="ED15">_xll.EQNXTDZ($A$1,$B15,ED$1)</f>
        <v>264.35000000000002</v>
      </c>
      <c r="EE15" s="116" cm="1">
        <f t="array" ref="EE15">_xll.EQNXTDZ($A$1,$B15,EE$1)</f>
        <v>265.45</v>
      </c>
      <c r="EF15" s="116" cm="1">
        <f t="array" ref="EF15">_xll.EQNXTDZ($A$1,$B15,EF$1)</f>
        <v>265</v>
      </c>
      <c r="EG15" s="116" cm="1">
        <f t="array" ref="EG15">_xll.EQNXTDZ($A$1,$B15,EG$1)</f>
        <v>255.1</v>
      </c>
      <c r="EH15" s="116" cm="1">
        <f t="array" ref="EH15">_xll.EQNXTDZ($A$1,$B15,EH$1)</f>
        <v>310</v>
      </c>
      <c r="EI15" s="116" cm="1">
        <f t="array" ref="EI15">_xll.EQNXTDZ($A$1,$B15,EI$1)</f>
        <v>327.95</v>
      </c>
      <c r="EJ15" s="116" cm="1">
        <f t="array" ref="EJ15">_xll.EQNXTDZ($A$1,$B15,EJ$1)</f>
        <v>323.25</v>
      </c>
      <c r="EK15" s="116" cm="1">
        <f t="array" ref="EK15">_xll.EQNXTDZ($A$1,$B15,EK$1)</f>
        <v>325.55</v>
      </c>
      <c r="EL15" s="116" cm="1">
        <f t="array" ref="EL15">_xll.EQNXTDZ($A$1,$B15,EL$1)</f>
        <v>324</v>
      </c>
      <c r="EM15" s="116" cm="1">
        <f t="array" ref="EM15">_xll.EQNXTDZ($A$1,$B15,EM$1)</f>
        <v>314.7</v>
      </c>
      <c r="EN15" s="116" cm="1">
        <f t="array" ref="EN15">_xll.EQNXTDZ($A$1,$B15,EN$1)</f>
        <v>289</v>
      </c>
      <c r="EO15" s="116" cm="1">
        <f t="array" ref="EO15">_xll.EQNXTDZ($A$1,$B15,EO$1)</f>
        <v>290.75</v>
      </c>
      <c r="EP15" s="116" cm="1">
        <f t="array" ref="EP15">_xll.EQNXTDZ($A$1,$B15,EP$1)</f>
        <v>311</v>
      </c>
      <c r="EQ15" s="116" cm="1">
        <f t="array" ref="EQ15">_xll.EQNXTDZ($A$1,$B15,EQ$1)</f>
        <v>280.5</v>
      </c>
      <c r="ER15" s="116" cm="1">
        <f t="array" ref="ER15">_xll.EQNXTDZ($A$1,$B15,ER$1)</f>
        <v>325</v>
      </c>
      <c r="ES15" s="116" cm="1">
        <f t="array" ref="ES15">_xll.EQNXTDZ($A$1,$B15,ES$1)</f>
        <v>324.14999999999998</v>
      </c>
      <c r="ET15" s="116" cm="1">
        <f t="array" ref="ET15">_xll.EQNXTDZ($A$1,$B15,ET$1)</f>
        <v>335.05</v>
      </c>
      <c r="EU15" s="116" cm="1">
        <f t="array" ref="EU15">_xll.EQNXTDZ($A$1,$B15,EU$1)</f>
        <v>288.95</v>
      </c>
      <c r="EV15" s="116" cm="1">
        <f t="array" ref="EV15">_xll.EQNXTDZ($A$1,$B15,EV$1)</f>
        <v>278.35000000000002</v>
      </c>
      <c r="EW15" s="116" cm="1">
        <f t="array" ref="EW15">_xll.EQNXTDZ($A$1,$B15,EW$1)</f>
        <v>289</v>
      </c>
      <c r="EX15" s="116" cm="1">
        <f t="array" ref="EX15">_xll.EQNXTDZ($A$1,$B15,EX$1)</f>
        <v>278</v>
      </c>
      <c r="EY15" s="116" cm="1">
        <f t="array" ref="EY15">_xll.EQNXTDZ($A$1,$B15,EY$1)</f>
        <v>270</v>
      </c>
      <c r="EZ15" s="116" cm="1">
        <f t="array" ref="EZ15">_xll.EQNXTDZ($A$1,$B15,EZ$1)</f>
        <v>251.05</v>
      </c>
      <c r="FA15" s="116" cm="1">
        <f t="array" ref="FA15">_xll.EQNXTDZ($A$1,$B15,FA$1)</f>
        <v>255.15</v>
      </c>
      <c r="FB15" s="116" cm="1">
        <f t="array" ref="FB15">_xll.EQNXTDZ($A$1,$B15,FB$1)</f>
        <v>256.45</v>
      </c>
      <c r="FC15" s="116" cm="1">
        <f t="array" ref="FC15">_xll.EQNXTDZ($A$1,$B15,FC$1)</f>
        <v>274.95</v>
      </c>
      <c r="FD15" s="116" cm="1">
        <f t="array" ref="FD15">_xll.EQNXTDZ($A$1,$B15,FD$1)</f>
        <v>270.10000000000002</v>
      </c>
      <c r="FE15" s="116" cm="1">
        <f t="array" ref="FE15">_xll.EQNXTDZ($A$1,$B15,FE$1)</f>
        <v>259.2</v>
      </c>
      <c r="FF15" s="116" cm="1">
        <f t="array" ref="FF15">_xll.EQNXTDZ($A$1,$B15,FF$1)</f>
        <v>246.3</v>
      </c>
      <c r="FG15" s="116" cm="1">
        <f t="array" ref="FG15">_xll.EQNXTDZ($A$1,$B15,FG$1)</f>
        <v>249.3</v>
      </c>
      <c r="FH15" s="116" cm="1">
        <f t="array" ref="FH15">_xll.EQNXTDZ($A$1,$B15,FH$1)</f>
        <v>240</v>
      </c>
      <c r="FI15" s="116" cm="1">
        <f t="array" ref="FI15">_xll.EQNXTDZ($A$1,$B15,FI$1)</f>
        <v>227.1</v>
      </c>
      <c r="FJ15" s="116" cm="1">
        <f t="array" ref="FJ15">_xll.EQNXTDZ($A$1,$B15,FJ$1)</f>
        <v>213</v>
      </c>
      <c r="FK15" s="116" cm="1">
        <f t="array" ref="FK15">_xll.EQNXTDZ($A$1,$B15,FK$1)</f>
        <v>213</v>
      </c>
      <c r="FL15" s="116" cm="1">
        <f t="array" ref="FL15">_xll.EQNXTDZ($A$1,$B15,FL$1)</f>
        <v>239.5</v>
      </c>
      <c r="FM15" s="116" cm="1">
        <f t="array" ref="FM15">_xll.EQNXTDZ($A$1,$B15,FM$1)</f>
        <v>247.8</v>
      </c>
      <c r="FN15" s="116" cm="1">
        <f t="array" ref="FN15">_xll.EQNXTDZ($A$1,$B15,FN$1)</f>
        <v>222.7</v>
      </c>
      <c r="FO15" s="116" cm="1">
        <f t="array" ref="FO15">_xll.EQNXTDZ($A$1,$B15,FO$1)</f>
        <v>224.65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37.020000000000003</v>
      </c>
      <c r="HQ15" s="116">
        <f>+MIN(G15:I15)</f>
        <v>40</v>
      </c>
      <c r="HR15" s="116">
        <f>+MIN(J15:L15)</f>
        <v>39.64</v>
      </c>
      <c r="HS15" s="116">
        <f>+MIN(M15:O15)</f>
        <v>39.78</v>
      </c>
      <c r="HT15" s="116">
        <f>+MIN(P15:R15)</f>
        <v>33.4</v>
      </c>
      <c r="HU15" s="116">
        <f>+MIN(S15:U15)</f>
        <v>34</v>
      </c>
      <c r="HV15" s="116">
        <f>+MIN(V15:X15)</f>
        <v>33.200000000000003</v>
      </c>
      <c r="HW15" s="116">
        <f>+MIN(Y15:AA15)</f>
        <v>35</v>
      </c>
      <c r="HX15" s="116">
        <f>+MIN(AB15:AD15)</f>
        <v>42.02</v>
      </c>
      <c r="HY15" s="116">
        <f>+MIN(AE15:AG15)</f>
        <v>40.4</v>
      </c>
      <c r="HZ15" s="116">
        <f>+MIN(AH15:AJ15)</f>
        <v>34.92</v>
      </c>
      <c r="IA15" s="116">
        <f>+MIN(AK15:AM15)</f>
        <v>35.92</v>
      </c>
      <c r="IB15" s="116">
        <f>+MIN(AN15:AP15)</f>
        <v>37.58</v>
      </c>
      <c r="IC15" s="116">
        <f>+MIN(AQ15:AS15)</f>
        <v>42.26</v>
      </c>
      <c r="ID15" s="116">
        <f>+MIN(AT15:AV15)</f>
        <v>39.200000000000003</v>
      </c>
      <c r="IE15" s="116">
        <f>+MIN(AW15:AY15)</f>
        <v>45.6</v>
      </c>
      <c r="IF15" s="116">
        <f>+MIN(AZ15:BB15)</f>
        <v>54</v>
      </c>
      <c r="IG15" s="116">
        <f>+MIN(BC15:BE15)</f>
        <v>96</v>
      </c>
      <c r="IH15" s="116">
        <f>+MIN(BF15:BH15)</f>
        <v>137</v>
      </c>
      <c r="II15" s="116">
        <f>+MIN(BI15:BK15)</f>
        <v>140.32</v>
      </c>
      <c r="IJ15" s="116">
        <f>+MIN(BL15:BN15)</f>
        <v>130</v>
      </c>
      <c r="IK15" s="116">
        <f>+MIN(BO15:BQ15)</f>
        <v>139.35</v>
      </c>
      <c r="IL15" s="116">
        <f>+MIN(BR15:BT15)</f>
        <v>160.09</v>
      </c>
      <c r="IM15" s="116">
        <f>+MIN(BU15:BW15)</f>
        <v>163.61000000000001</v>
      </c>
      <c r="IN15" s="116">
        <f>+MIN(BX15:BZ15)</f>
        <v>160.01</v>
      </c>
      <c r="IO15" s="116">
        <f>+MIN(CA15:CC15)</f>
        <v>192</v>
      </c>
      <c r="IP15" s="116">
        <f>+MIN(CD15:CF15)</f>
        <v>164.38</v>
      </c>
      <c r="IQ15" s="116">
        <f>+MIN(CG15:CI15)</f>
        <v>176</v>
      </c>
      <c r="IR15" s="116">
        <f>+MIN(CJ15:CL15)</f>
        <v>160.01</v>
      </c>
      <c r="IS15" s="116">
        <f>+MIN(CM15:CO15)</f>
        <v>161</v>
      </c>
      <c r="IT15" s="116">
        <f>+MIN(CP15:CR15)</f>
        <v>82.05</v>
      </c>
      <c r="IU15" s="116">
        <f>+MIN(CS15:CU15)</f>
        <v>102.85</v>
      </c>
      <c r="IV15" s="116">
        <f>+MIN(CV15:CX15)</f>
        <v>132.35</v>
      </c>
      <c r="IW15" s="116">
        <f>+MIN(CY15:DA15)</f>
        <v>126</v>
      </c>
      <c r="IX15" s="116">
        <f>+MIN(DB15:DD15)</f>
        <v>137</v>
      </c>
      <c r="IY15" s="116">
        <f>+MIN(DE15:DG15)</f>
        <v>145.85</v>
      </c>
      <c r="IZ15" s="116">
        <f>+MIN(DH15:DJ15)</f>
        <v>165.25</v>
      </c>
      <c r="JA15" s="116">
        <f>+MIN(DK15:DM15)</f>
        <v>140.69999999999999</v>
      </c>
      <c r="JB15" s="116">
        <f>+MIN(DN15:DP15)</f>
        <v>133.94999999999999</v>
      </c>
      <c r="JC15" s="116">
        <f>+MIN(DQ15:DS15)</f>
        <v>160</v>
      </c>
      <c r="JD15" s="116">
        <f>+MIN(DT15:DV15)</f>
        <v>186.6</v>
      </c>
      <c r="JE15" s="116">
        <f>+MIN(DW15:DY15)</f>
        <v>240.55</v>
      </c>
      <c r="JF15" s="116">
        <f>+MIN(DZ15:EB15)</f>
        <v>220</v>
      </c>
      <c r="JG15" s="116">
        <f>+MIN(EC15:EE15)</f>
        <v>236.95</v>
      </c>
      <c r="JH15" s="116">
        <f>+MIN(EF15:EH15)</f>
        <v>255.1</v>
      </c>
      <c r="JI15" s="116">
        <f>+MIN(EI15:EK15)</f>
        <v>323.25</v>
      </c>
      <c r="JJ15" s="116">
        <f>+MIN(EL15:EN15)</f>
        <v>289</v>
      </c>
      <c r="JK15" s="116">
        <f>MIN(EO15:EQ15)</f>
        <v>280.5</v>
      </c>
      <c r="JL15" s="116">
        <f>MIN(ER15:ET15)</f>
        <v>324.14999999999998</v>
      </c>
      <c r="JM15" s="116">
        <f>MIN(EU15:EW15)</f>
        <v>278.35000000000002</v>
      </c>
      <c r="JN15" s="116">
        <f>MIN(EX15:EZ15)</f>
        <v>251.05</v>
      </c>
      <c r="JO15" s="116">
        <f>MIN(FA15:FC15)</f>
        <v>255.15</v>
      </c>
      <c r="JP15" s="116">
        <f>MIN(FD15:FF15)</f>
        <v>246.3</v>
      </c>
      <c r="JQ15" s="116">
        <f>MIN(FG15:FI15)</f>
        <v>227.1</v>
      </c>
      <c r="JR15" s="116">
        <f>MIN(FJ15:FL15)</f>
        <v>213</v>
      </c>
      <c r="JS15" s="116">
        <f>MIN(FM15:FO15)</f>
        <v>222.7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39.4</v>
      </c>
      <c r="D16" s="116" cm="1">
        <f t="array" ref="D16">_xll.EQNXTDZ($A$1,$B16,D$1)</f>
        <v>40.6</v>
      </c>
      <c r="E16" s="116" cm="1">
        <f t="array" ref="E16">_xll.EQNXTDZ($A$1,$B16,E$1)</f>
        <v>38.01</v>
      </c>
      <c r="F16" s="116" cm="1">
        <f t="array" ref="F16">_xll.EQNXTDZ($A$1,$B16,F$1)</f>
        <v>40.75</v>
      </c>
      <c r="G16" s="116" cm="1">
        <f t="array" ref="G16">_xll.EQNXTDZ($A$1,$B16,G$1)</f>
        <v>44.98</v>
      </c>
      <c r="H16" s="116" cm="1">
        <f t="array" ref="H16">_xll.EQNXTDZ($A$1,$B16,H$1)</f>
        <v>54.04</v>
      </c>
      <c r="I16" s="116" cm="1">
        <f t="array" ref="I16">_xll.EQNXTDZ($A$1,$B16,I$1)</f>
        <v>49.97</v>
      </c>
      <c r="J16" s="116" cm="1">
        <f t="array" ref="J16">_xll.EQNXTDZ($A$1,$B16,J$1)</f>
        <v>46.79</v>
      </c>
      <c r="K16" s="116" cm="1">
        <f t="array" ref="K16">_xll.EQNXTDZ($A$1,$B16,K$1)</f>
        <v>45</v>
      </c>
      <c r="L16" s="116" cm="1">
        <f t="array" ref="L16">_xll.EQNXTDZ($A$1,$B16,L$1)</f>
        <v>43.73</v>
      </c>
      <c r="M16" s="116" cm="1">
        <f t="array" ref="M16">_xll.EQNXTDZ($A$1,$B16,M$1)</f>
        <v>43.8</v>
      </c>
      <c r="N16" s="116" cm="1">
        <f t="array" ref="N16">_xll.EQNXTDZ($A$1,$B16,N$1)</f>
        <v>43.18</v>
      </c>
      <c r="O16" s="116" cm="1">
        <f t="array" ref="O16">_xll.EQNXTDZ($A$1,$B16,O$1)</f>
        <v>42.4</v>
      </c>
      <c r="P16" s="116" cm="1">
        <f t="array" ref="P16">_xll.EQNXTDZ($A$1,$B16,P$1)</f>
        <v>39</v>
      </c>
      <c r="Q16" s="116" cm="1">
        <f t="array" ref="Q16">_xll.EQNXTDZ($A$1,$B16,Q$1)</f>
        <v>36.28</v>
      </c>
      <c r="R16" s="116" cm="1">
        <f t="array" ref="R16">_xll.EQNXTDZ($A$1,$B16,R$1)</f>
        <v>36.200000000000003</v>
      </c>
      <c r="S16" s="116" cm="1">
        <f t="array" ref="S16">_xll.EQNXTDZ($A$1,$B16,S$1)</f>
        <v>34.6</v>
      </c>
      <c r="T16" s="116" cm="1">
        <f t="array" ref="T16">_xll.EQNXTDZ($A$1,$B16,T$1)</f>
        <v>36.99</v>
      </c>
      <c r="U16" s="116" cm="1">
        <f t="array" ref="U16">_xll.EQNXTDZ($A$1,$B16,U$1)</f>
        <v>37</v>
      </c>
      <c r="V16" s="116" cm="1">
        <f t="array" ref="V16">_xll.EQNXTDZ($A$1,$B16,V$1)</f>
        <v>35.200000000000003</v>
      </c>
      <c r="W16" s="116" cm="1">
        <f t="array" ref="W16">_xll.EQNXTDZ($A$1,$B16,W$1)</f>
        <v>35.4</v>
      </c>
      <c r="X16" s="116" cm="1">
        <f t="array" ref="X16">_xll.EQNXTDZ($A$1,$B16,X$1)</f>
        <v>36.4</v>
      </c>
      <c r="Y16" s="116" cm="1">
        <f t="array" ref="Y16">_xll.EQNXTDZ($A$1,$B16,Y$1)</f>
        <v>40.200000000000003</v>
      </c>
      <c r="Z16" s="116" cm="1">
        <f t="array" ref="Z16">_xll.EQNXTDZ($A$1,$B16,Z$1)</f>
        <v>44.98</v>
      </c>
      <c r="AA16" s="116" cm="1">
        <f t="array" ref="AA16">_xll.EQNXTDZ($A$1,$B16,AA$1)</f>
        <v>50.21</v>
      </c>
      <c r="AB16" s="116" cm="1">
        <f t="array" ref="AB16">_xll.EQNXTDZ($A$1,$B16,AB$1)</f>
        <v>43.78</v>
      </c>
      <c r="AC16" s="116" cm="1">
        <f t="array" ref="AC16">_xll.EQNXTDZ($A$1,$B16,AC$1)</f>
        <v>43.2</v>
      </c>
      <c r="AD16" s="116" cm="1">
        <f t="array" ref="AD16">_xll.EQNXTDZ($A$1,$B16,AD$1)</f>
        <v>46.2</v>
      </c>
      <c r="AE16" s="116" cm="1">
        <f t="array" ref="AE16">_xll.EQNXTDZ($A$1,$B16,AE$1)</f>
        <v>43.87</v>
      </c>
      <c r="AF16" s="116" cm="1">
        <f t="array" ref="AF16">_xll.EQNXTDZ($A$1,$B16,AF$1)</f>
        <v>50.29</v>
      </c>
      <c r="AG16" s="116" cm="1">
        <f t="array" ref="AG16">_xll.EQNXTDZ($A$1,$B16,AG$1)</f>
        <v>45.57</v>
      </c>
      <c r="AH16" s="116" cm="1">
        <f t="array" ref="AH16">_xll.EQNXTDZ($A$1,$B16,AH$1)</f>
        <v>48</v>
      </c>
      <c r="AI16" s="116" cm="1">
        <f t="array" ref="AI16">_xll.EQNXTDZ($A$1,$B16,AI$1)</f>
        <v>42.5</v>
      </c>
      <c r="AJ16" s="116" cm="1">
        <f t="array" ref="AJ16">_xll.EQNXTDZ($A$1,$B16,AJ$1)</f>
        <v>37.08</v>
      </c>
      <c r="AK16" s="116" cm="1">
        <f t="array" ref="AK16">_xll.EQNXTDZ($A$1,$B16,AK$1)</f>
        <v>37.6</v>
      </c>
      <c r="AL16" s="116" cm="1">
        <f t="array" ref="AL16">_xll.EQNXTDZ($A$1,$B16,AL$1)</f>
        <v>38</v>
      </c>
      <c r="AM16" s="116" cm="1">
        <f t="array" ref="AM16">_xll.EQNXTDZ($A$1,$B16,AM$1)</f>
        <v>38.700000000000003</v>
      </c>
      <c r="AN16" s="116" cm="1">
        <f t="array" ref="AN16">_xll.EQNXTDZ($A$1,$B16,AN$1)</f>
        <v>46.04</v>
      </c>
      <c r="AO16" s="116" cm="1">
        <f t="array" ref="AO16">_xll.EQNXTDZ($A$1,$B16,AO$1)</f>
        <v>40.44</v>
      </c>
      <c r="AP16" s="116" cm="1">
        <f t="array" ref="AP16">_xll.EQNXTDZ($A$1,$B16,AP$1)</f>
        <v>46.2</v>
      </c>
      <c r="AQ16" s="116" cm="1">
        <f t="array" ref="AQ16">_xll.EQNXTDZ($A$1,$B16,AQ$1)</f>
        <v>45.8</v>
      </c>
      <c r="AR16" s="116" cm="1">
        <f t="array" ref="AR16">_xll.EQNXTDZ($A$1,$B16,AR$1)</f>
        <v>46.8</v>
      </c>
      <c r="AS16" s="116" cm="1">
        <f t="array" ref="AS16">_xll.EQNXTDZ($A$1,$B16,AS$1)</f>
        <v>47.98</v>
      </c>
      <c r="AT16" s="116" cm="1">
        <f t="array" ref="AT16">_xll.EQNXTDZ($A$1,$B16,AT$1)</f>
        <v>44</v>
      </c>
      <c r="AU16" s="116" cm="1">
        <f t="array" ref="AU16">_xll.EQNXTDZ($A$1,$B16,AU$1)</f>
        <v>46.08</v>
      </c>
      <c r="AV16" s="116" cm="1">
        <f t="array" ref="AV16">_xll.EQNXTDZ($A$1,$B16,AV$1)</f>
        <v>46.7</v>
      </c>
      <c r="AW16" s="116" cm="1">
        <f t="array" ref="AW16">_xll.EQNXTDZ($A$1,$B16,AW$1)</f>
        <v>49.4</v>
      </c>
      <c r="AX16" s="116" cm="1">
        <f t="array" ref="AX16">_xll.EQNXTDZ($A$1,$B16,AX$1)</f>
        <v>53.92</v>
      </c>
      <c r="AY16" s="116" cm="1">
        <f t="array" ref="AY16">_xll.EQNXTDZ($A$1,$B16,AY$1)</f>
        <v>58.87</v>
      </c>
      <c r="AZ16" s="116" cm="1">
        <f t="array" ref="AZ16">_xll.EQNXTDZ($A$1,$B16,AZ$1)</f>
        <v>80.760000000000005</v>
      </c>
      <c r="BA16" s="116" cm="1">
        <f t="array" ref="BA16">_xll.EQNXTDZ($A$1,$B16,BA$1)</f>
        <v>91.27</v>
      </c>
      <c r="BB16" s="116" cm="1">
        <f t="array" ref="BB16">_xll.EQNXTDZ($A$1,$B16,BB$1)</f>
        <v>95.55</v>
      </c>
      <c r="BC16" s="116" cm="1">
        <f t="array" ref="BC16">_xll.EQNXTDZ($A$1,$B16,BC$1)</f>
        <v>125.96</v>
      </c>
      <c r="BD16" s="116" cm="1">
        <f t="array" ref="BD16">_xll.EQNXTDZ($A$1,$B16,BD$1)</f>
        <v>154.16</v>
      </c>
      <c r="BE16" s="116" cm="1">
        <f t="array" ref="BE16">_xll.EQNXTDZ($A$1,$B16,BE$1)</f>
        <v>138.15</v>
      </c>
      <c r="BF16" s="116" cm="1">
        <f t="array" ref="BF16">_xll.EQNXTDZ($A$1,$B16,BF$1)</f>
        <v>145.11000000000001</v>
      </c>
      <c r="BG16" s="116" cm="1">
        <f t="array" ref="BG16">_xll.EQNXTDZ($A$1,$B16,BG$1)</f>
        <v>155.09</v>
      </c>
      <c r="BH16" s="116" cm="1">
        <f t="array" ref="BH16">_xll.EQNXTDZ($A$1,$B16,BH$1)</f>
        <v>156.56</v>
      </c>
      <c r="BI16" s="116" cm="1">
        <f t="array" ref="BI16">_xll.EQNXTDZ($A$1,$B16,BI$1)</f>
        <v>144.06</v>
      </c>
      <c r="BJ16" s="116" cm="1">
        <f t="array" ref="BJ16">_xll.EQNXTDZ($A$1,$B16,BJ$1)</f>
        <v>158.18</v>
      </c>
      <c r="BK16" s="116" cm="1">
        <f t="array" ref="BK16">_xll.EQNXTDZ($A$1,$B16,BK$1)</f>
        <v>151</v>
      </c>
      <c r="BL16" s="116" cm="1">
        <f t="array" ref="BL16">_xll.EQNXTDZ($A$1,$B16,BL$1)</f>
        <v>147.19999999999999</v>
      </c>
      <c r="BM16" s="116" cm="1">
        <f t="array" ref="BM16">_xll.EQNXTDZ($A$1,$B16,BM$1)</f>
        <v>137.6</v>
      </c>
      <c r="BN16" s="116" cm="1">
        <f t="array" ref="BN16">_xll.EQNXTDZ($A$1,$B16,BN$1)</f>
        <v>146.03</v>
      </c>
      <c r="BO16" s="116" cm="1">
        <f t="array" ref="BO16">_xll.EQNXTDZ($A$1,$B16,BO$1)</f>
        <v>154.97999999999999</v>
      </c>
      <c r="BP16" s="116" cm="1">
        <f t="array" ref="BP16">_xll.EQNXTDZ($A$1,$B16,BP$1)</f>
        <v>166.44</v>
      </c>
      <c r="BQ16" s="116" cm="1">
        <f t="array" ref="BQ16">_xll.EQNXTDZ($A$1,$B16,BQ$1)</f>
        <v>179.22</v>
      </c>
      <c r="BR16" s="116" cm="1">
        <f t="array" ref="BR16">_xll.EQNXTDZ($A$1,$B16,BR$1)</f>
        <v>200.31</v>
      </c>
      <c r="BS16" s="116" cm="1">
        <f t="array" ref="BS16">_xll.EQNXTDZ($A$1,$B16,BS$1)</f>
        <v>174.92</v>
      </c>
      <c r="BT16" s="116" cm="1">
        <f t="array" ref="BT16">_xll.EQNXTDZ($A$1,$B16,BT$1)</f>
        <v>173.96</v>
      </c>
      <c r="BU16" s="116" cm="1">
        <f t="array" ref="BU16">_xll.EQNXTDZ($A$1,$B16,BU$1)</f>
        <v>187.21</v>
      </c>
      <c r="BV16" s="116" cm="1">
        <f t="array" ref="BV16">_xll.EQNXTDZ($A$1,$B16,BV$1)</f>
        <v>178.59</v>
      </c>
      <c r="BW16" s="116" cm="1">
        <f t="array" ref="BW16">_xll.EQNXTDZ($A$1,$B16,BW$1)</f>
        <v>180.58</v>
      </c>
      <c r="BX16" s="116" cm="1">
        <f t="array" ref="BX16">_xll.EQNXTDZ($A$1,$B16,BX$1)</f>
        <v>171.4</v>
      </c>
      <c r="BY16" s="116" cm="1">
        <f t="array" ref="BY16">_xll.EQNXTDZ($A$1,$B16,BY$1)</f>
        <v>215.87</v>
      </c>
      <c r="BZ16" s="116" cm="1">
        <f t="array" ref="BZ16">_xll.EQNXTDZ($A$1,$B16,BZ$1)</f>
        <v>212.73</v>
      </c>
      <c r="CA16" s="116" cm="1">
        <f t="array" ref="CA16">_xll.EQNXTDZ($A$1,$B16,CA$1)</f>
        <v>230.57</v>
      </c>
      <c r="CB16" s="116" cm="1">
        <f t="array" ref="CB16">_xll.EQNXTDZ($A$1,$B16,CB$1)</f>
        <v>226.82</v>
      </c>
      <c r="CC16" s="116" cm="1">
        <f t="array" ref="CC16">_xll.EQNXTDZ($A$1,$B16,CC$1)</f>
        <v>213.83</v>
      </c>
      <c r="CD16" s="116" cm="1">
        <f t="array" ref="CD16">_xll.EQNXTDZ($A$1,$B16,CD$1)</f>
        <v>205.08</v>
      </c>
      <c r="CE16" s="116" cm="1">
        <f t="array" ref="CE16">_xll.EQNXTDZ($A$1,$B16,CE$1)</f>
        <v>174.04</v>
      </c>
      <c r="CF16" s="116" cm="1">
        <f t="array" ref="CF16">_xll.EQNXTDZ($A$1,$B16,CF$1)</f>
        <v>186.4</v>
      </c>
      <c r="CG16" s="116" cm="1">
        <f t="array" ref="CG16">_xll.EQNXTDZ($A$1,$B16,CG$1)</f>
        <v>178.54</v>
      </c>
      <c r="CH16" s="116" cm="1">
        <f t="array" ref="CH16">_xll.EQNXTDZ($A$1,$B16,CH$1)</f>
        <v>199.56</v>
      </c>
      <c r="CI16" s="116" cm="1">
        <f t="array" ref="CI16">_xll.EQNXTDZ($A$1,$B16,CI$1)</f>
        <v>182.83</v>
      </c>
      <c r="CJ16" s="116" cm="1">
        <f t="array" ref="CJ16">_xll.EQNXTDZ($A$1,$B16,CJ$1)</f>
        <v>175.05</v>
      </c>
      <c r="CK16" s="116" cm="1">
        <f t="array" ref="CK16">_xll.EQNXTDZ($A$1,$B16,CK$1)</f>
        <v>173.4</v>
      </c>
      <c r="CL16" s="116" cm="1">
        <f t="array" ref="CL16">_xll.EQNXTDZ($A$1,$B16,CL$1)</f>
        <v>207.4</v>
      </c>
      <c r="CM16" s="116" cm="1">
        <f t="array" ref="CM16">_xll.EQNXTDZ($A$1,$B16,CM$1)</f>
        <v>183.45</v>
      </c>
      <c r="CN16" s="116" cm="1">
        <f t="array" ref="CN16">_xll.EQNXTDZ($A$1,$B16,CN$1)</f>
        <v>166</v>
      </c>
      <c r="CO16" s="116" cm="1">
        <f t="array" ref="CO16">_xll.EQNXTDZ($A$1,$B16,CO$1)</f>
        <v>169.4</v>
      </c>
      <c r="CP16" s="116" cm="1">
        <f t="array" ref="CP16">_xll.EQNXTDZ($A$1,$B16,CP$1)</f>
        <v>164.15</v>
      </c>
      <c r="CQ16" s="116" cm="1">
        <f t="array" ref="CQ16">_xll.EQNXTDZ($A$1,$B16,CQ$1)</f>
        <v>138.30000000000001</v>
      </c>
      <c r="CR16" s="116" cm="1">
        <f t="array" ref="CR16">_xll.EQNXTDZ($A$1,$B16,CR$1)</f>
        <v>103.95</v>
      </c>
      <c r="CS16" s="116" cm="1">
        <f t="array" ref="CS16">_xll.EQNXTDZ($A$1,$B16,CS$1)</f>
        <v>132.6</v>
      </c>
      <c r="CT16" s="116" cm="1">
        <f t="array" ref="CT16">_xll.EQNXTDZ($A$1,$B16,CT$1)</f>
        <v>123.05</v>
      </c>
      <c r="CU16" s="116" cm="1">
        <f t="array" ref="CU16">_xll.EQNXTDZ($A$1,$B16,CU$1)</f>
        <v>158.4</v>
      </c>
      <c r="CV16" s="116" cm="1">
        <f t="array" ref="CV16">_xll.EQNXTDZ($A$1,$B16,CV$1)</f>
        <v>147.80000000000001</v>
      </c>
      <c r="CW16" s="116" cm="1">
        <f t="array" ref="CW16">_xll.EQNXTDZ($A$1,$B16,CW$1)</f>
        <v>151.19999999999999</v>
      </c>
      <c r="CX16" s="116" cm="1">
        <f t="array" ref="CX16">_xll.EQNXTDZ($A$1,$B16,CX$1)</f>
        <v>136.19999999999999</v>
      </c>
      <c r="CY16" s="116" cm="1">
        <f t="array" ref="CY16">_xll.EQNXTDZ($A$1,$B16,CY$1)</f>
        <v>128.4</v>
      </c>
      <c r="CZ16" s="116" cm="1">
        <f t="array" ref="CZ16">_xll.EQNXTDZ($A$1,$B16,CZ$1)</f>
        <v>141.30000000000001</v>
      </c>
      <c r="DA16" s="116" cm="1">
        <f t="array" ref="DA16">_xll.EQNXTDZ($A$1,$B16,DA$1)</f>
        <v>151.80000000000001</v>
      </c>
      <c r="DB16" s="116" cm="1">
        <f t="array" ref="DB16">_xll.EQNXTDZ($A$1,$B16,DB$1)</f>
        <v>143.75</v>
      </c>
      <c r="DC16" s="116" cm="1">
        <f t="array" ref="DC16">_xll.EQNXTDZ($A$1,$B16,DC$1)</f>
        <v>158.69999999999999</v>
      </c>
      <c r="DD16" s="116" cm="1">
        <f t="array" ref="DD16">_xll.EQNXTDZ($A$1,$B16,DD$1)</f>
        <v>161.25</v>
      </c>
      <c r="DE16" s="116" cm="1">
        <f t="array" ref="DE16">_xll.EQNXTDZ($A$1,$B16,DE$1)</f>
        <v>153.19999999999999</v>
      </c>
      <c r="DF16" s="116" cm="1">
        <f t="array" ref="DF16">_xll.EQNXTDZ($A$1,$B16,DF$1)</f>
        <v>173.2</v>
      </c>
      <c r="DG16" s="116" cm="1">
        <f t="array" ref="DG16">_xll.EQNXTDZ($A$1,$B16,DG$1)</f>
        <v>198.3</v>
      </c>
      <c r="DH16" s="116" cm="1">
        <f t="array" ref="DH16">_xll.EQNXTDZ($A$1,$B16,DH$1)</f>
        <v>202.9</v>
      </c>
      <c r="DI16" s="116" cm="1">
        <f t="array" ref="DI16">_xll.EQNXTDZ($A$1,$B16,DI$1)</f>
        <v>175.1</v>
      </c>
      <c r="DJ16" s="116" cm="1">
        <f t="array" ref="DJ16">_xll.EQNXTDZ($A$1,$B16,DJ$1)</f>
        <v>184.85</v>
      </c>
      <c r="DK16" s="116" cm="1">
        <f t="array" ref="DK16">_xll.EQNXTDZ($A$1,$B16,DK$1)</f>
        <v>174.25</v>
      </c>
      <c r="DL16" s="116" cm="1">
        <f t="array" ref="DL16">_xll.EQNXTDZ($A$1,$B16,DL$1)</f>
        <v>158.15</v>
      </c>
      <c r="DM16" s="116" cm="1">
        <f t="array" ref="DM16">_xll.EQNXTDZ($A$1,$B16,DM$1)</f>
        <v>149.55000000000001</v>
      </c>
      <c r="DN16" s="116" cm="1">
        <f t="array" ref="DN16">_xll.EQNXTDZ($A$1,$B16,DN$1)</f>
        <v>149.6</v>
      </c>
      <c r="DO16" s="116" cm="1">
        <f t="array" ref="DO16">_xll.EQNXTDZ($A$1,$B16,DO$1)</f>
        <v>142.4</v>
      </c>
      <c r="DP16" s="116" cm="1">
        <f t="array" ref="DP16">_xll.EQNXTDZ($A$1,$B16,DP$1)</f>
        <v>174.9</v>
      </c>
      <c r="DQ16" s="116" cm="1">
        <f t="array" ref="DQ16">_xll.EQNXTDZ($A$1,$B16,DQ$1)</f>
        <v>199.9</v>
      </c>
      <c r="DR16" s="116" cm="1">
        <f t="array" ref="DR16">_xll.EQNXTDZ($A$1,$B16,DR$1)</f>
        <v>184.4</v>
      </c>
      <c r="DS16" s="116" cm="1">
        <f t="array" ref="DS16">_xll.EQNXTDZ($A$1,$B16,DS$1)</f>
        <v>187.8</v>
      </c>
      <c r="DT16" s="116" cm="1">
        <f t="array" ref="DT16">_xll.EQNXTDZ($A$1,$B16,DT$1)</f>
        <v>213.8</v>
      </c>
      <c r="DU16" s="116" cm="1">
        <f t="array" ref="DU16">_xll.EQNXTDZ($A$1,$B16,DU$1)</f>
        <v>288.8</v>
      </c>
      <c r="DV16" s="116" cm="1">
        <f t="array" ref="DV16">_xll.EQNXTDZ($A$1,$B16,DV$1)</f>
        <v>273.2</v>
      </c>
      <c r="DW16" s="116" cm="1">
        <f t="array" ref="DW16">_xll.EQNXTDZ($A$1,$B16,DW$1)</f>
        <v>329.35</v>
      </c>
      <c r="DX16" s="116" cm="1">
        <f t="array" ref="DX16">_xll.EQNXTDZ($A$1,$B16,DX$1)</f>
        <v>287.25</v>
      </c>
      <c r="DY16" s="116" cm="1">
        <f t="array" ref="DY16">_xll.EQNXTDZ($A$1,$B16,DY$1)</f>
        <v>279.3</v>
      </c>
      <c r="DZ16" s="116" cm="1">
        <f t="array" ref="DZ16">_xll.EQNXTDZ($A$1,$B16,DZ$1)</f>
        <v>286.85000000000002</v>
      </c>
      <c r="EA16" s="116" cm="1">
        <f t="array" ref="EA16">_xll.EQNXTDZ($A$1,$B16,EA$1)</f>
        <v>241.7</v>
      </c>
      <c r="EB16" s="116" cm="1">
        <f t="array" ref="EB16">_xll.EQNXTDZ($A$1,$B16,EB$1)</f>
        <v>236.2</v>
      </c>
      <c r="EC16" s="116" cm="1">
        <f t="array" ref="EC16">_xll.EQNXTDZ($A$1,$B16,EC$1)</f>
        <v>281.75</v>
      </c>
      <c r="ED16" s="116" cm="1">
        <f t="array" ref="ED16">_xll.EQNXTDZ($A$1,$B16,ED$1)</f>
        <v>280.7</v>
      </c>
      <c r="EE16" s="116" cm="1">
        <f t="array" ref="EE16">_xll.EQNXTDZ($A$1,$B16,EE$1)</f>
        <v>281</v>
      </c>
      <c r="EF16" s="116" cm="1">
        <f t="array" ref="EF16">_xll.EQNXTDZ($A$1,$B16,EF$1)</f>
        <v>276.55</v>
      </c>
      <c r="EG16" s="116" cm="1">
        <f t="array" ref="EG16">_xll.EQNXTDZ($A$1,$B16,EG$1)</f>
        <v>312.05</v>
      </c>
      <c r="EH16" s="116" cm="1">
        <f t="array" ref="EH16">_xll.EQNXTDZ($A$1,$B16,EH$1)</f>
        <v>385.1</v>
      </c>
      <c r="EI16" s="116" cm="1">
        <f t="array" ref="EI16">_xll.EQNXTDZ($A$1,$B16,EI$1)</f>
        <v>347.3</v>
      </c>
      <c r="EJ16" s="116" cm="1">
        <f t="array" ref="EJ16">_xll.EQNXTDZ($A$1,$B16,EJ$1)</f>
        <v>332.1</v>
      </c>
      <c r="EK16" s="116" cm="1">
        <f t="array" ref="EK16">_xll.EQNXTDZ($A$1,$B16,EK$1)</f>
        <v>352.6</v>
      </c>
      <c r="EL16" s="116" cm="1">
        <f t="array" ref="EL16">_xll.EQNXTDZ($A$1,$B16,EL$1)</f>
        <v>346.5</v>
      </c>
      <c r="EM16" s="116" cm="1">
        <f t="array" ref="EM16">_xll.EQNXTDZ($A$1,$B16,EM$1)</f>
        <v>329.35</v>
      </c>
      <c r="EN16" s="116" cm="1">
        <f t="array" ref="EN16">_xll.EQNXTDZ($A$1,$B16,EN$1)</f>
        <v>294.5</v>
      </c>
      <c r="EO16" s="116" cm="1">
        <f t="array" ref="EO16">_xll.EQNXTDZ($A$1,$B16,EO$1)</f>
        <v>334.9</v>
      </c>
      <c r="EP16" s="116" cm="1">
        <f t="array" ref="EP16">_xll.EQNXTDZ($A$1,$B16,EP$1)</f>
        <v>320.7</v>
      </c>
      <c r="EQ16" s="116" cm="1">
        <f t="array" ref="EQ16">_xll.EQNXTDZ($A$1,$B16,EQ$1)</f>
        <v>331.45</v>
      </c>
      <c r="ER16" s="116" cm="1">
        <f t="array" ref="ER16">_xll.EQNXTDZ($A$1,$B16,ER$1)</f>
        <v>355.25</v>
      </c>
      <c r="ES16" s="116" cm="1">
        <f t="array" ref="ES16">_xll.EQNXTDZ($A$1,$B16,ES$1)</f>
        <v>351.15</v>
      </c>
      <c r="ET16" s="116" cm="1">
        <f t="array" ref="ET16">_xll.EQNXTDZ($A$1,$B16,ET$1)</f>
        <v>341.4</v>
      </c>
      <c r="EU16" s="116" cm="1">
        <f t="array" ref="EU16">_xll.EQNXTDZ($A$1,$B16,EU$1)</f>
        <v>308.3</v>
      </c>
      <c r="EV16" s="116" cm="1">
        <f t="array" ref="EV16">_xll.EQNXTDZ($A$1,$B16,EV$1)</f>
        <v>307.05</v>
      </c>
      <c r="EW16" s="116" cm="1">
        <f t="array" ref="EW16">_xll.EQNXTDZ($A$1,$B16,EW$1)</f>
        <v>306.35000000000002</v>
      </c>
      <c r="EX16" s="116" cm="1">
        <f t="array" ref="EX16">_xll.EQNXTDZ($A$1,$B16,EX$1)</f>
        <v>293.45</v>
      </c>
      <c r="EY16" s="116" cm="1">
        <f t="array" ref="EY16">_xll.EQNXTDZ($A$1,$B16,EY$1)</f>
        <v>274.2</v>
      </c>
      <c r="EZ16" s="116" cm="1">
        <f t="array" ref="EZ16">_xll.EQNXTDZ($A$1,$B16,EZ$1)</f>
        <v>260.25</v>
      </c>
      <c r="FA16" s="116" cm="1">
        <f t="array" ref="FA16">_xll.EQNXTDZ($A$1,$B16,FA$1)</f>
        <v>270.14999999999998</v>
      </c>
      <c r="FB16" s="116" cm="1">
        <f t="array" ref="FB16">_xll.EQNXTDZ($A$1,$B16,FB$1)</f>
        <v>287</v>
      </c>
      <c r="FC16" s="116" cm="1">
        <f t="array" ref="FC16">_xll.EQNXTDZ($A$1,$B16,FC$1)</f>
        <v>300.14999999999998</v>
      </c>
      <c r="FD16" s="116" cm="1">
        <f t="array" ref="FD16">_xll.EQNXTDZ($A$1,$B16,FD$1)</f>
        <v>271.14999999999998</v>
      </c>
      <c r="FE16" s="116" cm="1">
        <f t="array" ref="FE16">_xll.EQNXTDZ($A$1,$B16,FE$1)</f>
        <v>265.7</v>
      </c>
      <c r="FF16" s="116" cm="1">
        <f t="array" ref="FF16">_xll.EQNXTDZ($A$1,$B16,FF$1)</f>
        <v>251.6</v>
      </c>
      <c r="FG16" s="116" cm="1">
        <f t="array" ref="FG16">_xll.EQNXTDZ($A$1,$B16,FG$1)</f>
        <v>256.5</v>
      </c>
      <c r="FH16" s="116" cm="1">
        <f t="array" ref="FH16">_xll.EQNXTDZ($A$1,$B16,FH$1)</f>
        <v>242.9</v>
      </c>
      <c r="FI16" s="116" cm="1">
        <f t="array" ref="FI16">_xll.EQNXTDZ($A$1,$B16,FI$1)</f>
        <v>235.45</v>
      </c>
      <c r="FJ16" s="116" cm="1">
        <f t="array" ref="FJ16">_xll.EQNXTDZ($A$1,$B16,FJ$1)</f>
        <v>225.15</v>
      </c>
      <c r="FK16" s="116" cm="1">
        <f t="array" ref="FK16">_xll.EQNXTDZ($A$1,$B16,FK$1)</f>
        <v>273.39999999999998</v>
      </c>
      <c r="FL16" s="116" cm="1">
        <f t="array" ref="FL16">_xll.EQNXTDZ($A$1,$B16,FL$1)</f>
        <v>245.5</v>
      </c>
      <c r="FM16" s="116" cm="1">
        <f t="array" ref="FM16">_xll.EQNXTDZ($A$1,$B16,FM$1)</f>
        <v>267.45</v>
      </c>
      <c r="FN16" s="116" cm="1">
        <f t="array" ref="FN16">_xll.EQNXTDZ($A$1,$B16,FN$1)</f>
        <v>235.7</v>
      </c>
      <c r="FO16" s="116" cm="1">
        <f t="array" ref="FO16">_xll.EQNXTDZ($A$1,$B16,FO$1)</f>
        <v>228.9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40.75</v>
      </c>
      <c r="HQ16" s="116">
        <f>+I16</f>
        <v>49.97</v>
      </c>
      <c r="HR16" s="116">
        <f>+L16</f>
        <v>43.73</v>
      </c>
      <c r="HS16" s="116">
        <f>+O16</f>
        <v>42.4</v>
      </c>
      <c r="HT16" s="116">
        <f>+R16</f>
        <v>36.200000000000003</v>
      </c>
      <c r="HU16" s="116">
        <f>+U16</f>
        <v>37</v>
      </c>
      <c r="HV16" s="116">
        <f>+X16</f>
        <v>36.4</v>
      </c>
      <c r="HW16" s="116">
        <f>+AA16</f>
        <v>50.21</v>
      </c>
      <c r="HX16" s="116">
        <f>+AD16</f>
        <v>46.2</v>
      </c>
      <c r="HY16" s="116">
        <f>+AG16</f>
        <v>45.57</v>
      </c>
      <c r="HZ16" s="116">
        <f>+AJ16</f>
        <v>37.08</v>
      </c>
      <c r="IA16" s="116">
        <f>+AM16</f>
        <v>38.700000000000003</v>
      </c>
      <c r="IB16" s="116">
        <f>+AP16</f>
        <v>46.2</v>
      </c>
      <c r="IC16" s="116">
        <f>+AS16</f>
        <v>47.98</v>
      </c>
      <c r="ID16" s="116">
        <f>+AV16</f>
        <v>46.7</v>
      </c>
      <c r="IE16" s="116">
        <f>+AY16</f>
        <v>58.87</v>
      </c>
      <c r="IF16" s="116">
        <f>+BB16</f>
        <v>95.55</v>
      </c>
      <c r="IG16" s="116">
        <f>+BE16</f>
        <v>138.15</v>
      </c>
      <c r="IH16" s="116">
        <f>+BH16</f>
        <v>156.56</v>
      </c>
      <c r="II16" s="116">
        <f>+BK16</f>
        <v>151</v>
      </c>
      <c r="IJ16" s="116">
        <f>+BN16</f>
        <v>146.03</v>
      </c>
      <c r="IK16" s="116">
        <f>+BQ16</f>
        <v>179.22</v>
      </c>
      <c r="IL16" s="116">
        <f>+BT16</f>
        <v>173.96</v>
      </c>
      <c r="IM16" s="116">
        <f>+BW16</f>
        <v>180.58</v>
      </c>
      <c r="IN16" s="116">
        <f>+BZ16</f>
        <v>212.73</v>
      </c>
      <c r="IO16" s="116">
        <f>+CC16</f>
        <v>213.83</v>
      </c>
      <c r="IP16" s="116">
        <f>+CF16</f>
        <v>186.4</v>
      </c>
      <c r="IQ16" s="116">
        <f>+CI16</f>
        <v>182.83</v>
      </c>
      <c r="IR16" s="116">
        <f>+CL16</f>
        <v>207.4</v>
      </c>
      <c r="IS16" s="116">
        <f>+CO16</f>
        <v>169.4</v>
      </c>
      <c r="IT16" s="116">
        <f>+CR16</f>
        <v>103.95</v>
      </c>
      <c r="IU16" s="116">
        <f>+CU16</f>
        <v>158.4</v>
      </c>
      <c r="IV16" s="116">
        <f>+CX16</f>
        <v>136.19999999999999</v>
      </c>
      <c r="IW16" s="116">
        <f>+DA16</f>
        <v>151.80000000000001</v>
      </c>
      <c r="IX16" s="116">
        <f>+DD16</f>
        <v>161.25</v>
      </c>
      <c r="IY16" s="116">
        <f>+DG16</f>
        <v>198.3</v>
      </c>
      <c r="IZ16" s="116">
        <f>+DJ16</f>
        <v>184.85</v>
      </c>
      <c r="JA16" s="116">
        <f>+DM16</f>
        <v>149.55000000000001</v>
      </c>
      <c r="JB16" s="116">
        <f>+DP16</f>
        <v>174.9</v>
      </c>
      <c r="JC16" s="116">
        <f>+DS16</f>
        <v>187.8</v>
      </c>
      <c r="JD16" s="116">
        <f>+DV16</f>
        <v>273.2</v>
      </c>
      <c r="JE16" s="116">
        <f>+DY16</f>
        <v>279.3</v>
      </c>
      <c r="JF16" s="116">
        <f>+EB16</f>
        <v>236.2</v>
      </c>
      <c r="JG16" s="116">
        <f>+EE16</f>
        <v>281</v>
      </c>
      <c r="JH16" s="116">
        <f>+EH16</f>
        <v>385.1</v>
      </c>
      <c r="JI16" s="116">
        <f>+EK16</f>
        <v>352.6</v>
      </c>
      <c r="JJ16" s="116">
        <f>+EN16</f>
        <v>294.5</v>
      </c>
      <c r="JK16" s="116">
        <f>EQ16</f>
        <v>331.45</v>
      </c>
      <c r="JL16" s="116">
        <f>ET16</f>
        <v>341.4</v>
      </c>
      <c r="JM16" s="116">
        <f>EW16</f>
        <v>306.35000000000002</v>
      </c>
      <c r="JN16" s="116">
        <f>EZ16</f>
        <v>260.25</v>
      </c>
      <c r="JO16" s="116">
        <f>FC16</f>
        <v>300.14999999999998</v>
      </c>
      <c r="JP16" s="116">
        <f>FF16</f>
        <v>251.6</v>
      </c>
      <c r="JQ16" s="116">
        <f>FI16</f>
        <v>235.45</v>
      </c>
      <c r="JR16" s="116">
        <f>FL16</f>
        <v>245.5</v>
      </c>
      <c r="JS16" s="116">
        <f>FO16</f>
        <v>228.9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43.4</v>
      </c>
      <c r="HQ19" s="116">
        <f t="shared" ref="HQ19:JI21" si="1">+IF(HQ14=0,HQ7,HQ14)</f>
        <v>58.2</v>
      </c>
      <c r="HR19" s="116">
        <f t="shared" si="1"/>
        <v>54.5</v>
      </c>
      <c r="HS19" s="116">
        <f t="shared" si="1"/>
        <v>49</v>
      </c>
      <c r="HT19" s="116">
        <f t="shared" si="1"/>
        <v>45.98</v>
      </c>
      <c r="HU19" s="116">
        <f t="shared" si="1"/>
        <v>41.57</v>
      </c>
      <c r="HV19" s="116">
        <f t="shared" si="1"/>
        <v>38.36</v>
      </c>
      <c r="HW19" s="116">
        <f t="shared" si="1"/>
        <v>53.78</v>
      </c>
      <c r="HX19" s="116">
        <f t="shared" si="1"/>
        <v>57.34</v>
      </c>
      <c r="HY19" s="116">
        <f t="shared" si="1"/>
        <v>57.6</v>
      </c>
      <c r="HZ19" s="116">
        <f t="shared" si="1"/>
        <v>52.04</v>
      </c>
      <c r="IA19" s="116">
        <f t="shared" si="1"/>
        <v>49</v>
      </c>
      <c r="IB19" s="116">
        <f t="shared" si="1"/>
        <v>55</v>
      </c>
      <c r="IC19" s="116">
        <f t="shared" si="1"/>
        <v>48.38</v>
      </c>
      <c r="ID19" s="116">
        <f t="shared" si="1"/>
        <v>56.4</v>
      </c>
      <c r="IE19" s="116">
        <f t="shared" si="1"/>
        <v>61</v>
      </c>
      <c r="IF19" s="116">
        <f t="shared" si="1"/>
        <v>102.35</v>
      </c>
      <c r="IG19" s="116">
        <f t="shared" si="1"/>
        <v>168</v>
      </c>
      <c r="IH19" s="116">
        <f t="shared" si="1"/>
        <v>176</v>
      </c>
      <c r="II19" s="116">
        <f t="shared" si="1"/>
        <v>169.4</v>
      </c>
      <c r="IJ19" s="116">
        <f t="shared" si="1"/>
        <v>165.58</v>
      </c>
      <c r="IK19" s="116">
        <f t="shared" si="1"/>
        <v>190</v>
      </c>
      <c r="IL19" s="116">
        <f t="shared" si="1"/>
        <v>245</v>
      </c>
      <c r="IM19" s="116">
        <f t="shared" si="1"/>
        <v>200.6</v>
      </c>
      <c r="IN19" s="116">
        <f t="shared" si="1"/>
        <v>265.60000000000002</v>
      </c>
      <c r="IO19" s="116">
        <f t="shared" si="1"/>
        <v>250.69</v>
      </c>
      <c r="IP19" s="116">
        <f t="shared" si="1"/>
        <v>224.79</v>
      </c>
      <c r="IQ19" s="116">
        <f t="shared" si="1"/>
        <v>203</v>
      </c>
      <c r="IR19" s="116">
        <f t="shared" si="1"/>
        <v>225.7</v>
      </c>
      <c r="IS19" s="116">
        <f t="shared" si="1"/>
        <v>211</v>
      </c>
      <c r="IT19" s="116">
        <f t="shared" si="1"/>
        <v>181.7</v>
      </c>
      <c r="IU19" s="116">
        <f t="shared" si="1"/>
        <v>183.7</v>
      </c>
      <c r="IV19" s="116">
        <f t="shared" si="1"/>
        <v>163</v>
      </c>
      <c r="IW19" s="116">
        <f t="shared" si="1"/>
        <v>170</v>
      </c>
      <c r="IX19" s="116">
        <f t="shared" si="1"/>
        <v>172.6</v>
      </c>
      <c r="IY19" s="116">
        <f t="shared" si="1"/>
        <v>203.3</v>
      </c>
      <c r="IZ19" s="116">
        <f t="shared" si="1"/>
        <v>230</v>
      </c>
      <c r="JA19" s="116">
        <f t="shared" si="1"/>
        <v>204.95</v>
      </c>
      <c r="JB19" s="116">
        <f t="shared" si="1"/>
        <v>194.05</v>
      </c>
      <c r="JC19" s="116">
        <f t="shared" si="1"/>
        <v>238.95</v>
      </c>
      <c r="JD19" s="116">
        <f t="shared" si="1"/>
        <v>315</v>
      </c>
      <c r="JE19" s="116">
        <f t="shared" si="1"/>
        <v>349</v>
      </c>
      <c r="JF19" s="116">
        <f t="shared" si="1"/>
        <v>297</v>
      </c>
      <c r="JG19" s="116">
        <f t="shared" si="1"/>
        <v>300</v>
      </c>
      <c r="JH19" s="116">
        <f t="shared" si="1"/>
        <v>421.75</v>
      </c>
      <c r="JI19" s="116">
        <f t="shared" si="1"/>
        <v>389.9</v>
      </c>
      <c r="JJ19" s="116">
        <f t="shared" ref="JJ19:JJ21" si="2">+IF(JJ14=0,JJ7,JJ14)</f>
        <v>382</v>
      </c>
      <c r="JK19" s="116">
        <f t="shared" ref="JK19" si="3">+IF(JK14=0,JK7,JK14)</f>
        <v>360.35</v>
      </c>
      <c r="JL19" s="116">
        <f t="shared" ref="JL19:JM19" si="4">+IF(JL14=0,JL7,JL14)</f>
        <v>373.5</v>
      </c>
      <c r="JM19" s="116">
        <f t="shared" si="4"/>
        <v>359</v>
      </c>
      <c r="JN19" s="116">
        <f t="shared" ref="JN19:JO19" si="5">+IF(JN14=0,JN7,JN14)</f>
        <v>353.9</v>
      </c>
      <c r="JO19" s="116">
        <f t="shared" si="5"/>
        <v>323.8</v>
      </c>
      <c r="JP19" s="116">
        <f t="shared" ref="JP19" si="6">+IF(JP14=0,JP7,JP14)</f>
        <v>315.2</v>
      </c>
      <c r="JQ19" s="116">
        <f t="shared" ref="JQ19:KH19" si="7">+IF(JQ14=0,JQ7,JQ14)</f>
        <v>266.7</v>
      </c>
      <c r="JR19" s="116">
        <f t="shared" si="7"/>
        <v>311</v>
      </c>
      <c r="JS19" s="116">
        <f t="shared" si="7"/>
        <v>278.5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37.020000000000003</v>
      </c>
      <c r="HQ20" s="116">
        <f t="shared" si="8"/>
        <v>40</v>
      </c>
      <c r="HR20" s="116">
        <f t="shared" si="8"/>
        <v>39.64</v>
      </c>
      <c r="HS20" s="116">
        <f t="shared" si="8"/>
        <v>39.78</v>
      </c>
      <c r="HT20" s="116">
        <f t="shared" si="8"/>
        <v>33.4</v>
      </c>
      <c r="HU20" s="116">
        <f t="shared" si="8"/>
        <v>34</v>
      </c>
      <c r="HV20" s="116">
        <f t="shared" si="8"/>
        <v>33.200000000000003</v>
      </c>
      <c r="HW20" s="116">
        <f t="shared" si="8"/>
        <v>35</v>
      </c>
      <c r="HX20" s="116">
        <f t="shared" si="8"/>
        <v>42.02</v>
      </c>
      <c r="HY20" s="116">
        <f t="shared" si="8"/>
        <v>40.4</v>
      </c>
      <c r="HZ20" s="116">
        <f t="shared" si="8"/>
        <v>34.92</v>
      </c>
      <c r="IA20" s="116">
        <f t="shared" si="8"/>
        <v>35.92</v>
      </c>
      <c r="IB20" s="116">
        <f t="shared" si="8"/>
        <v>37.58</v>
      </c>
      <c r="IC20" s="116">
        <f t="shared" si="8"/>
        <v>42.26</v>
      </c>
      <c r="ID20" s="116">
        <f t="shared" si="8"/>
        <v>39.200000000000003</v>
      </c>
      <c r="IE20" s="116">
        <f t="shared" si="8"/>
        <v>45.6</v>
      </c>
      <c r="IF20" s="116">
        <f t="shared" si="1"/>
        <v>54</v>
      </c>
      <c r="IG20" s="116">
        <f t="shared" si="1"/>
        <v>96</v>
      </c>
      <c r="IH20" s="116">
        <f t="shared" si="1"/>
        <v>137</v>
      </c>
      <c r="II20" s="116">
        <f t="shared" si="1"/>
        <v>140.32</v>
      </c>
      <c r="IJ20" s="116">
        <f t="shared" si="1"/>
        <v>130</v>
      </c>
      <c r="IK20" s="116">
        <f t="shared" si="1"/>
        <v>139.35</v>
      </c>
      <c r="IL20" s="116">
        <f t="shared" si="1"/>
        <v>160.09</v>
      </c>
      <c r="IM20" s="116">
        <f t="shared" si="1"/>
        <v>163.61000000000001</v>
      </c>
      <c r="IN20" s="116">
        <f t="shared" si="1"/>
        <v>160.01</v>
      </c>
      <c r="IO20" s="116">
        <f t="shared" si="1"/>
        <v>192</v>
      </c>
      <c r="IP20" s="116">
        <f t="shared" si="1"/>
        <v>164.38</v>
      </c>
      <c r="IQ20" s="116">
        <f t="shared" si="1"/>
        <v>176</v>
      </c>
      <c r="IR20" s="116">
        <f t="shared" si="1"/>
        <v>160.01</v>
      </c>
      <c r="IS20" s="116">
        <f t="shared" si="1"/>
        <v>161</v>
      </c>
      <c r="IT20" s="116">
        <f t="shared" si="1"/>
        <v>82.05</v>
      </c>
      <c r="IU20" s="116">
        <f t="shared" si="1"/>
        <v>102.85</v>
      </c>
      <c r="IV20" s="116">
        <f t="shared" si="1"/>
        <v>132.35</v>
      </c>
      <c r="IW20" s="116">
        <f t="shared" si="1"/>
        <v>126</v>
      </c>
      <c r="IX20" s="116">
        <f t="shared" si="1"/>
        <v>137</v>
      </c>
      <c r="IY20" s="116">
        <f t="shared" si="1"/>
        <v>145.85</v>
      </c>
      <c r="IZ20" s="116">
        <f t="shared" si="1"/>
        <v>165.25</v>
      </c>
      <c r="JA20" s="116">
        <f t="shared" si="1"/>
        <v>140.69999999999999</v>
      </c>
      <c r="JB20" s="116">
        <f t="shared" si="1"/>
        <v>133.94999999999999</v>
      </c>
      <c r="JC20" s="116">
        <f t="shared" si="1"/>
        <v>160</v>
      </c>
      <c r="JD20" s="116">
        <f t="shared" si="1"/>
        <v>186.6</v>
      </c>
      <c r="JE20" s="116">
        <f t="shared" si="1"/>
        <v>240.55</v>
      </c>
      <c r="JF20" s="116">
        <f t="shared" si="1"/>
        <v>220</v>
      </c>
      <c r="JG20" s="116">
        <f t="shared" si="1"/>
        <v>236.95</v>
      </c>
      <c r="JH20" s="116">
        <f t="shared" si="1"/>
        <v>255.1</v>
      </c>
      <c r="JI20" s="116">
        <f t="shared" si="1"/>
        <v>323.25</v>
      </c>
      <c r="JJ20" s="116">
        <f t="shared" si="2"/>
        <v>289</v>
      </c>
      <c r="JK20" s="116">
        <f t="shared" ref="JK20" si="9">+IF(JK15=0,JK8,JK15)</f>
        <v>280.5</v>
      </c>
      <c r="JL20" s="116">
        <f t="shared" ref="JL20:JM20" si="10">+IF(JL15=0,JL8,JL15)</f>
        <v>324.14999999999998</v>
      </c>
      <c r="JM20" s="116">
        <f t="shared" si="10"/>
        <v>278.35000000000002</v>
      </c>
      <c r="JN20" s="116">
        <f t="shared" ref="JN20:JO20" si="11">+IF(JN15=0,JN8,JN15)</f>
        <v>251.05</v>
      </c>
      <c r="JO20" s="116">
        <f t="shared" si="11"/>
        <v>255.15</v>
      </c>
      <c r="JP20" s="116">
        <f t="shared" ref="JP20" si="12">+IF(JP15=0,JP8,JP15)</f>
        <v>246.3</v>
      </c>
      <c r="JQ20" s="116">
        <f t="shared" ref="JQ20:KH20" si="13">+IF(JQ15=0,JQ8,JQ15)</f>
        <v>227.1</v>
      </c>
      <c r="JR20" s="116">
        <f t="shared" si="13"/>
        <v>213</v>
      </c>
      <c r="JS20" s="116">
        <f t="shared" si="13"/>
        <v>222.7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40.75</v>
      </c>
      <c r="HQ21" s="116">
        <f t="shared" si="1"/>
        <v>49.97</v>
      </c>
      <c r="HR21" s="116">
        <f t="shared" si="1"/>
        <v>43.73</v>
      </c>
      <c r="HS21" s="116">
        <f t="shared" si="1"/>
        <v>42.4</v>
      </c>
      <c r="HT21" s="116">
        <f t="shared" si="1"/>
        <v>36.200000000000003</v>
      </c>
      <c r="HU21" s="116">
        <f t="shared" si="1"/>
        <v>37</v>
      </c>
      <c r="HV21" s="116">
        <f t="shared" si="1"/>
        <v>36.4</v>
      </c>
      <c r="HW21" s="116">
        <f t="shared" si="1"/>
        <v>50.21</v>
      </c>
      <c r="HX21" s="116">
        <f t="shared" si="1"/>
        <v>46.2</v>
      </c>
      <c r="HY21" s="116">
        <f t="shared" si="1"/>
        <v>45.57</v>
      </c>
      <c r="HZ21" s="116">
        <f t="shared" si="1"/>
        <v>37.08</v>
      </c>
      <c r="IA21" s="116">
        <f t="shared" si="1"/>
        <v>38.700000000000003</v>
      </c>
      <c r="IB21" s="116">
        <f t="shared" si="1"/>
        <v>46.2</v>
      </c>
      <c r="IC21" s="116">
        <f t="shared" si="1"/>
        <v>47.98</v>
      </c>
      <c r="ID21" s="116">
        <f t="shared" si="1"/>
        <v>46.7</v>
      </c>
      <c r="IE21" s="116">
        <f t="shared" si="1"/>
        <v>58.87</v>
      </c>
      <c r="IF21" s="116">
        <f t="shared" si="1"/>
        <v>95.55</v>
      </c>
      <c r="IG21" s="116">
        <f t="shared" si="1"/>
        <v>138.15</v>
      </c>
      <c r="IH21" s="116">
        <f t="shared" si="1"/>
        <v>156.56</v>
      </c>
      <c r="II21" s="116">
        <f t="shared" si="1"/>
        <v>151</v>
      </c>
      <c r="IJ21" s="116">
        <f t="shared" si="1"/>
        <v>146.03</v>
      </c>
      <c r="IK21" s="116">
        <f t="shared" si="1"/>
        <v>179.22</v>
      </c>
      <c r="IL21" s="116">
        <f t="shared" si="1"/>
        <v>173.96</v>
      </c>
      <c r="IM21" s="116">
        <f t="shared" si="1"/>
        <v>180.58</v>
      </c>
      <c r="IN21" s="116">
        <f t="shared" si="1"/>
        <v>212.73</v>
      </c>
      <c r="IO21" s="116">
        <f t="shared" si="1"/>
        <v>213.83</v>
      </c>
      <c r="IP21" s="116">
        <f t="shared" si="1"/>
        <v>186.4</v>
      </c>
      <c r="IQ21" s="116">
        <f t="shared" si="1"/>
        <v>182.83</v>
      </c>
      <c r="IR21" s="116">
        <f t="shared" si="1"/>
        <v>207.4</v>
      </c>
      <c r="IS21" s="116">
        <f t="shared" si="1"/>
        <v>169.4</v>
      </c>
      <c r="IT21" s="116">
        <f t="shared" si="1"/>
        <v>103.95</v>
      </c>
      <c r="IU21" s="116">
        <f t="shared" si="1"/>
        <v>158.4</v>
      </c>
      <c r="IV21" s="116">
        <f t="shared" si="1"/>
        <v>136.19999999999999</v>
      </c>
      <c r="IW21" s="116">
        <f t="shared" si="1"/>
        <v>151.80000000000001</v>
      </c>
      <c r="IX21" s="116">
        <f t="shared" si="1"/>
        <v>161.25</v>
      </c>
      <c r="IY21" s="116">
        <f t="shared" si="1"/>
        <v>198.3</v>
      </c>
      <c r="IZ21" s="116">
        <f t="shared" si="1"/>
        <v>184.85</v>
      </c>
      <c r="JA21" s="116">
        <f t="shared" si="1"/>
        <v>149.55000000000001</v>
      </c>
      <c r="JB21" s="116">
        <f t="shared" si="1"/>
        <v>174.9</v>
      </c>
      <c r="JC21" s="116">
        <f t="shared" si="1"/>
        <v>187.8</v>
      </c>
      <c r="JD21" s="116">
        <f t="shared" si="1"/>
        <v>273.2</v>
      </c>
      <c r="JE21" s="116">
        <f t="shared" si="1"/>
        <v>279.3</v>
      </c>
      <c r="JF21" s="116">
        <f t="shared" si="1"/>
        <v>236.2</v>
      </c>
      <c r="JG21" s="116">
        <f t="shared" si="1"/>
        <v>281</v>
      </c>
      <c r="JH21" s="116">
        <f t="shared" si="1"/>
        <v>385.1</v>
      </c>
      <c r="JI21" s="116">
        <f t="shared" si="1"/>
        <v>352.6</v>
      </c>
      <c r="JJ21" s="116">
        <f t="shared" si="2"/>
        <v>294.5</v>
      </c>
      <c r="JK21" s="116">
        <f t="shared" ref="JK21" si="14">+IF(JK16=0,JK9,JK16)</f>
        <v>331.45</v>
      </c>
      <c r="JL21" s="116">
        <f t="shared" ref="JL21:JM21" si="15">+IF(JL16=0,JL9,JL16)</f>
        <v>341.4</v>
      </c>
      <c r="JM21" s="116">
        <f t="shared" si="15"/>
        <v>306.35000000000002</v>
      </c>
      <c r="JN21" s="116">
        <f t="shared" ref="JN21:JO21" si="16">+IF(JN16=0,JN9,JN16)</f>
        <v>260.25</v>
      </c>
      <c r="JO21" s="116">
        <f t="shared" si="16"/>
        <v>300.14999999999998</v>
      </c>
      <c r="JP21" s="116">
        <f t="shared" ref="JP21" si="17">+IF(JP16=0,JP9,JP16)</f>
        <v>251.6</v>
      </c>
      <c r="JQ21" s="116">
        <f t="shared" ref="JQ21:KH21" si="18">+IF(JQ16=0,JQ9,JQ16)</f>
        <v>235.45</v>
      </c>
      <c r="JR21" s="116">
        <f t="shared" si="18"/>
        <v>245.5</v>
      </c>
      <c r="JS21" s="116">
        <f t="shared" si="18"/>
        <v>228.9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102450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11250000</v>
      </c>
      <c r="D6" cm="1">
        <f t="array" ref="D6">_xll.EQNXTDZ($A$1,$B6,D$1)</f>
        <v>11250000</v>
      </c>
      <c r="E6" cm="1">
        <f t="array" ref="E6">_xll.EQNXTDZ($A$1,$B6,E$1)</f>
        <v>11250000</v>
      </c>
      <c r="F6" cm="1">
        <f t="array" ref="F6">_xll.EQNXTDZ($A$1,$B6,F$1)</f>
        <v>11250000</v>
      </c>
      <c r="G6" cm="1">
        <f t="array" ref="G6">_xll.EQNXTDZ($A$1,$B6,G$1)</f>
        <v>12613628</v>
      </c>
      <c r="H6" cm="1">
        <f t="array" ref="H6">_xll.EQNXTDZ($A$1,$B6,H$1)</f>
        <v>12613628</v>
      </c>
      <c r="I6" cm="1">
        <f t="array" ref="I6">_xll.EQNXTDZ($A$1,$B6,I$1)</f>
        <v>12613628</v>
      </c>
      <c r="J6" cm="1">
        <f t="array" ref="J6">_xll.EQNXTDZ($A$1,$B6,J$1)</f>
        <v>12613628</v>
      </c>
      <c r="K6" cm="1">
        <f t="array" ref="K6">_xll.EQNXTDZ($A$1,$B6,K$1)</f>
        <v>12613628</v>
      </c>
      <c r="L6" cm="1">
        <f t="array" ref="L6">_xll.EQNXTDZ($A$1,$B6,L$1)</f>
        <v>12613628</v>
      </c>
      <c r="M6" cm="1">
        <f t="array" ref="M6">_xll.EQNXTDZ($A$1,$B6,M$1)</f>
        <v>12613628</v>
      </c>
      <c r="N6" cm="1">
        <f t="array" ref="N6">_xll.EQNXTDZ($A$1,$B6,N$1)</f>
        <v>12613628</v>
      </c>
      <c r="O6" cm="1">
        <f t="array" ref="O6">_xll.EQNXTDZ($A$1,$B6,O$1)</f>
        <v>12613628</v>
      </c>
      <c r="P6" cm="1">
        <f t="array" ref="P6">_xll.EQNXTDZ($A$1,$B6,P$1)</f>
        <v>12613628</v>
      </c>
      <c r="Q6" cm="1">
        <f t="array" ref="Q6">_xll.EQNXTDZ($A$1,$B6,Q$1)</f>
        <v>12613628</v>
      </c>
      <c r="R6" cm="1">
        <f t="array" ref="R6">_xll.EQNXTDZ($A$1,$B6,R$1)</f>
        <v>12613628</v>
      </c>
      <c r="S6" cm="1">
        <f t="array" ref="S6">_xll.EQNXTDZ($A$1,$B6,S$1)</f>
        <v>12613628</v>
      </c>
      <c r="T6" cm="1">
        <f t="array" ref="T6">_xll.EQNXTDZ($A$1,$B6,T$1)</f>
        <v>12613628</v>
      </c>
      <c r="U6" cm="1">
        <f t="array" ref="U6">_xll.EQNXTDZ($A$1,$B6,U$1)</f>
        <v>12613628</v>
      </c>
      <c r="V6" cm="1">
        <f t="array" ref="V6">_xll.EQNXTDZ($A$1,$B6,V$1)</f>
        <v>12613628</v>
      </c>
      <c r="W6" cm="1">
        <f t="array" ref="W6">_xll.EQNXTDZ($A$1,$B6,W$1)</f>
        <v>12613628</v>
      </c>
      <c r="X6" cm="1">
        <f t="array" ref="X6">_xll.EQNXTDZ($A$1,$B6,X$1)</f>
        <v>12613628</v>
      </c>
      <c r="Y6" cm="1">
        <f t="array" ref="Y6">_xll.EQNXTDZ($A$1,$B6,Y$1)</f>
        <v>12613628</v>
      </c>
      <c r="Z6" cm="1">
        <f t="array" ref="Z6">_xll.EQNXTDZ($A$1,$B6,Z$1)</f>
        <v>12613628</v>
      </c>
      <c r="AA6" cm="1">
        <f t="array" ref="AA6">_xll.EQNXTDZ($A$1,$B6,AA$1)</f>
        <v>12613628</v>
      </c>
      <c r="AB6" cm="1">
        <f t="array" ref="AB6">_xll.EQNXTDZ($A$1,$B6,AB$1)</f>
        <v>12613628</v>
      </c>
      <c r="AC6" cm="1">
        <f t="array" ref="AC6">_xll.EQNXTDZ($A$1,$B6,AC$1)</f>
        <v>12613628</v>
      </c>
      <c r="AD6" cm="1">
        <f t="array" ref="AD6">_xll.EQNXTDZ($A$1,$B6,AD$1)</f>
        <v>12613628</v>
      </c>
      <c r="AE6" cm="1">
        <f t="array" ref="AE6">_xll.EQNXTDZ($A$1,$B6,AE$1)</f>
        <v>12613628</v>
      </c>
      <c r="AF6" cm="1">
        <f t="array" ref="AF6">_xll.EQNXTDZ($A$1,$B6,AF$1)</f>
        <v>63068140</v>
      </c>
      <c r="AG6" cm="1">
        <f t="array" ref="AG6">_xll.EQNXTDZ($A$1,$B6,AG$1)</f>
        <v>63068140</v>
      </c>
      <c r="AH6" cm="1">
        <f t="array" ref="AH6">_xll.EQNXTDZ($A$1,$B6,AH$1)</f>
        <v>63068140</v>
      </c>
      <c r="AI6" cm="1">
        <f t="array" ref="AI6">_xll.EQNXTDZ($A$1,$B6,AI$1)</f>
        <v>63068140</v>
      </c>
      <c r="AJ6" cm="1">
        <f t="array" ref="AJ6">_xll.EQNXTDZ($A$1,$B6,AJ$1)</f>
        <v>63068140</v>
      </c>
      <c r="AK6" cm="1">
        <f t="array" ref="AK6">_xll.EQNXTDZ($A$1,$B6,AK$1)</f>
        <v>63068140</v>
      </c>
      <c r="AL6" cm="1">
        <f t="array" ref="AL6">_xll.EQNXTDZ($A$1,$B6,AL$1)</f>
        <v>63068140</v>
      </c>
      <c r="AM6" cm="1">
        <f t="array" ref="AM6">_xll.EQNXTDZ($A$1,$B6,AM$1)</f>
        <v>63068140</v>
      </c>
      <c r="AN6" cm="1">
        <f t="array" ref="AN6">_xll.EQNXTDZ($A$1,$B6,AN$1)</f>
        <v>63068140</v>
      </c>
      <c r="AO6" cm="1">
        <f t="array" ref="AO6">_xll.EQNXTDZ($A$1,$B6,AO$1)</f>
        <v>63068140</v>
      </c>
      <c r="AP6" cm="1">
        <f t="array" ref="AP6">_xll.EQNXTDZ($A$1,$B6,AP$1)</f>
        <v>63068140</v>
      </c>
      <c r="AQ6" cm="1">
        <f t="array" ref="AQ6">_xll.EQNXTDZ($A$1,$B6,AQ$1)</f>
        <v>63068140</v>
      </c>
      <c r="AR6" cm="1">
        <f t="array" ref="AR6">_xll.EQNXTDZ($A$1,$B6,AR$1)</f>
        <v>63068140</v>
      </c>
      <c r="AS6" cm="1">
        <f t="array" ref="AS6">_xll.EQNXTDZ($A$1,$B6,AS$1)</f>
        <v>63068140</v>
      </c>
      <c r="AT6" cm="1">
        <f t="array" ref="AT6">_xll.EQNXTDZ($A$1,$B6,AT$1)</f>
        <v>63068140</v>
      </c>
      <c r="AU6" cm="1">
        <f t="array" ref="AU6">_xll.EQNXTDZ($A$1,$B6,AU$1)</f>
        <v>63068140</v>
      </c>
      <c r="AV6" cm="1">
        <f t="array" ref="AV6">_xll.EQNXTDZ($A$1,$B6,AV$1)</f>
        <v>63068140</v>
      </c>
      <c r="AW6" cm="1">
        <f t="array" ref="AW6">_xll.EQNXTDZ($A$1,$B6,AW$1)</f>
        <v>63068140</v>
      </c>
      <c r="AX6" cm="1">
        <f t="array" ref="AX6">_xll.EQNXTDZ($A$1,$B6,AX$1)</f>
        <v>63068140</v>
      </c>
      <c r="AY6" cm="1">
        <f t="array" ref="AY6">_xll.EQNXTDZ($A$1,$B6,AY$1)</f>
        <v>63068140</v>
      </c>
    </row>
    <row r="7" spans="1:51" x14ac:dyDescent="0.25">
      <c r="B7" t="s">
        <v>429</v>
      </c>
      <c r="C7" s="100">
        <f>+C6/10^7</f>
        <v>1.125</v>
      </c>
      <c r="D7" s="100">
        <f t="shared" ref="D7:X7" si="0">+D6/10^7</f>
        <v>1.125</v>
      </c>
      <c r="E7" s="100">
        <f t="shared" si="0"/>
        <v>1.125</v>
      </c>
      <c r="F7" s="100">
        <f t="shared" si="0"/>
        <v>1.125</v>
      </c>
      <c r="G7" s="100">
        <f t="shared" si="0"/>
        <v>1.2613627999999999</v>
      </c>
      <c r="H7" s="100">
        <f t="shared" si="0"/>
        <v>1.2613627999999999</v>
      </c>
      <c r="I7" s="100">
        <f t="shared" si="0"/>
        <v>1.2613627999999999</v>
      </c>
      <c r="J7" s="100">
        <f t="shared" si="0"/>
        <v>1.2613627999999999</v>
      </c>
      <c r="K7" s="100">
        <f t="shared" si="0"/>
        <v>1.2613627999999999</v>
      </c>
      <c r="L7" s="100">
        <f t="shared" si="0"/>
        <v>1.2613627999999999</v>
      </c>
      <c r="M7" s="100">
        <f t="shared" si="0"/>
        <v>1.2613627999999999</v>
      </c>
      <c r="N7" s="100">
        <f t="shared" si="0"/>
        <v>1.2613627999999999</v>
      </c>
      <c r="O7" s="100">
        <f t="shared" si="0"/>
        <v>1.2613627999999999</v>
      </c>
      <c r="P7" s="100">
        <f t="shared" si="0"/>
        <v>1.2613627999999999</v>
      </c>
      <c r="Q7" s="100">
        <f t="shared" si="0"/>
        <v>1.2613627999999999</v>
      </c>
      <c r="R7" s="100">
        <f t="shared" si="0"/>
        <v>1.2613627999999999</v>
      </c>
      <c r="S7" s="100">
        <f t="shared" si="0"/>
        <v>1.2613627999999999</v>
      </c>
      <c r="T7" s="100">
        <f t="shared" si="0"/>
        <v>1.2613627999999999</v>
      </c>
      <c r="U7" s="100">
        <f t="shared" si="0"/>
        <v>1.2613627999999999</v>
      </c>
      <c r="V7" s="100">
        <f t="shared" si="0"/>
        <v>1.2613627999999999</v>
      </c>
      <c r="W7" s="100">
        <f t="shared" si="0"/>
        <v>1.2613627999999999</v>
      </c>
      <c r="X7" s="100">
        <f t="shared" si="0"/>
        <v>1.2613627999999999</v>
      </c>
      <c r="Y7" s="100">
        <f t="shared" ref="Y7:AS7" si="1">+Y6/10^7</f>
        <v>1.2613627999999999</v>
      </c>
      <c r="Z7" s="100">
        <f t="shared" si="1"/>
        <v>1.2613627999999999</v>
      </c>
      <c r="AA7" s="100">
        <f t="shared" si="1"/>
        <v>1.2613627999999999</v>
      </c>
      <c r="AB7" s="100">
        <f t="shared" si="1"/>
        <v>1.2613627999999999</v>
      </c>
      <c r="AC7" s="100">
        <f t="shared" si="1"/>
        <v>1.2613627999999999</v>
      </c>
      <c r="AD7" s="100">
        <f t="shared" si="1"/>
        <v>1.2613627999999999</v>
      </c>
      <c r="AE7" s="100">
        <f t="shared" si="1"/>
        <v>1.2613627999999999</v>
      </c>
      <c r="AF7" s="100">
        <f t="shared" si="1"/>
        <v>6.3068140000000001</v>
      </c>
      <c r="AG7" s="100">
        <f t="shared" si="1"/>
        <v>6.3068140000000001</v>
      </c>
      <c r="AH7" s="100">
        <f t="shared" si="1"/>
        <v>6.3068140000000001</v>
      </c>
      <c r="AI7" s="100">
        <f t="shared" si="1"/>
        <v>6.3068140000000001</v>
      </c>
      <c r="AJ7" s="100">
        <f t="shared" si="1"/>
        <v>6.3068140000000001</v>
      </c>
      <c r="AK7" s="100">
        <f t="shared" si="1"/>
        <v>6.3068140000000001</v>
      </c>
      <c r="AL7" s="100">
        <f t="shared" si="1"/>
        <v>6.3068140000000001</v>
      </c>
      <c r="AM7" s="100">
        <f t="shared" si="1"/>
        <v>6.3068140000000001</v>
      </c>
      <c r="AN7" s="100">
        <f t="shared" si="1"/>
        <v>6.3068140000000001</v>
      </c>
      <c r="AO7" s="100">
        <f t="shared" si="1"/>
        <v>6.3068140000000001</v>
      </c>
      <c r="AP7" s="100">
        <f t="shared" si="1"/>
        <v>6.3068140000000001</v>
      </c>
      <c r="AQ7" s="100">
        <f t="shared" si="1"/>
        <v>6.3068140000000001</v>
      </c>
      <c r="AR7" s="100">
        <f t="shared" si="1"/>
        <v>6.3068140000000001</v>
      </c>
      <c r="AS7" s="100">
        <f t="shared" si="1"/>
        <v>6.3068140000000001</v>
      </c>
      <c r="AT7" s="100">
        <f t="shared" ref="AT7:AX7" si="2">+AT6/10^7</f>
        <v>6.3068140000000001</v>
      </c>
      <c r="AU7" s="100">
        <f t="shared" si="2"/>
        <v>6.3068140000000001</v>
      </c>
      <c r="AV7" s="100">
        <f t="shared" si="2"/>
        <v>6.3068140000000001</v>
      </c>
      <c r="AW7" s="100">
        <f t="shared" si="2"/>
        <v>6.3068140000000001</v>
      </c>
      <c r="AX7" s="100">
        <f t="shared" si="2"/>
        <v>6.3068140000000001</v>
      </c>
      <c r="AY7" s="100">
        <f t="shared" ref="AY7" si="3">+AY6/10^7</f>
        <v>6.3068140000000001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102450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46.4</v>
      </c>
      <c r="C4" s="116">
        <v>45.69</v>
      </c>
      <c r="D4" s="116">
        <v>45.57</v>
      </c>
      <c r="E4" s="116">
        <v>45.8</v>
      </c>
      <c r="F4" s="116">
        <v>228.45</v>
      </c>
      <c r="G4">
        <v>575</v>
      </c>
      <c r="H4" s="116"/>
      <c r="I4" s="116"/>
      <c r="L4" s="170">
        <v>42005</v>
      </c>
      <c r="M4" s="116">
        <v>45.45</v>
      </c>
      <c r="N4" s="116">
        <v>46.010000000000005</v>
      </c>
      <c r="O4" s="116">
        <v>44.61</v>
      </c>
      <c r="P4" s="116">
        <v>45.2</v>
      </c>
      <c r="Q4" s="116">
        <v>227.25</v>
      </c>
      <c r="R4">
        <v>2912</v>
      </c>
    </row>
    <row r="5" spans="1:18" x14ac:dyDescent="0.25">
      <c r="A5" s="170">
        <v>42006</v>
      </c>
      <c r="B5" s="116">
        <v>46.4</v>
      </c>
      <c r="C5" s="116">
        <v>45.68</v>
      </c>
      <c r="D5" s="116">
        <v>45.61</v>
      </c>
      <c r="E5" s="116">
        <v>45.61</v>
      </c>
      <c r="F5" s="116">
        <v>228.4</v>
      </c>
      <c r="G5">
        <v>605</v>
      </c>
      <c r="H5" s="116"/>
      <c r="I5" s="116"/>
      <c r="L5" s="170">
        <v>42006</v>
      </c>
      <c r="M5" s="116">
        <v>45.87</v>
      </c>
      <c r="N5" s="116">
        <v>46.58</v>
      </c>
      <c r="O5" s="116">
        <v>45.2</v>
      </c>
      <c r="P5" s="116">
        <v>45.21</v>
      </c>
      <c r="Q5" s="116">
        <v>229.35</v>
      </c>
      <c r="R5">
        <v>1536</v>
      </c>
    </row>
    <row r="6" spans="1:18" x14ac:dyDescent="0.25">
      <c r="A6" s="170">
        <v>42009</v>
      </c>
      <c r="B6" s="116">
        <v>46.3</v>
      </c>
      <c r="C6" s="116">
        <v>45.64</v>
      </c>
      <c r="D6" s="116">
        <v>45.05</v>
      </c>
      <c r="E6" s="116">
        <v>45.42</v>
      </c>
      <c r="F6" s="116">
        <v>228.2</v>
      </c>
      <c r="G6">
        <v>279</v>
      </c>
      <c r="H6" s="116"/>
      <c r="I6" s="116"/>
      <c r="L6" s="170">
        <v>42009</v>
      </c>
      <c r="M6" s="116">
        <v>45.67</v>
      </c>
      <c r="N6" s="116">
        <v>46.3</v>
      </c>
      <c r="O6" s="116">
        <v>45.489999999999995</v>
      </c>
      <c r="P6" s="116">
        <v>45.5</v>
      </c>
      <c r="Q6" s="116">
        <v>228.35</v>
      </c>
      <c r="R6">
        <v>1336</v>
      </c>
    </row>
    <row r="7" spans="1:18" x14ac:dyDescent="0.25">
      <c r="A7" s="170">
        <v>42010</v>
      </c>
      <c r="B7" s="116">
        <v>46.4</v>
      </c>
      <c r="C7" s="116">
        <v>45.92</v>
      </c>
      <c r="D7" s="116">
        <v>45.42</v>
      </c>
      <c r="E7" s="116">
        <v>46.4</v>
      </c>
      <c r="F7" s="116">
        <v>229.6</v>
      </c>
      <c r="G7">
        <v>828</v>
      </c>
      <c r="H7" s="116"/>
      <c r="I7" s="116"/>
      <c r="L7" s="170">
        <v>42010</v>
      </c>
      <c r="M7" s="116">
        <v>45.28</v>
      </c>
      <c r="N7" s="116">
        <v>47</v>
      </c>
      <c r="O7" s="116">
        <v>45.2</v>
      </c>
      <c r="P7" s="116">
        <v>47</v>
      </c>
      <c r="Q7" s="116">
        <v>226.4</v>
      </c>
      <c r="R7">
        <v>1978</v>
      </c>
    </row>
    <row r="8" spans="1:18" x14ac:dyDescent="0.25">
      <c r="A8" s="170">
        <v>42011</v>
      </c>
      <c r="B8" s="116">
        <v>45.589999999999996</v>
      </c>
      <c r="C8" s="116">
        <v>45.010000000000005</v>
      </c>
      <c r="D8" s="116">
        <v>45</v>
      </c>
      <c r="E8" s="116">
        <v>45.08</v>
      </c>
      <c r="F8" s="116">
        <v>225.05</v>
      </c>
      <c r="G8">
        <v>121</v>
      </c>
      <c r="H8" s="116"/>
      <c r="I8" s="116"/>
      <c r="L8" s="170">
        <v>42011</v>
      </c>
      <c r="M8" s="116">
        <v>45.010000000000005</v>
      </c>
      <c r="N8" s="116">
        <v>45.58</v>
      </c>
      <c r="O8" s="116">
        <v>44.8</v>
      </c>
      <c r="P8" s="116">
        <v>45.010000000000005</v>
      </c>
      <c r="Q8" s="116">
        <v>225.05</v>
      </c>
      <c r="R8">
        <v>2269</v>
      </c>
    </row>
    <row r="9" spans="1:18" x14ac:dyDescent="0.25">
      <c r="A9" s="170">
        <v>42012</v>
      </c>
      <c r="B9" s="116">
        <v>49.760000000000005</v>
      </c>
      <c r="C9" s="116">
        <v>48.82</v>
      </c>
      <c r="D9" s="116">
        <v>45.6</v>
      </c>
      <c r="E9" s="116">
        <v>45.78</v>
      </c>
      <c r="F9" s="116">
        <v>244.1</v>
      </c>
      <c r="G9">
        <v>8733</v>
      </c>
      <c r="H9" s="116"/>
      <c r="I9" s="116"/>
      <c r="L9" s="170">
        <v>42012</v>
      </c>
      <c r="M9" s="116">
        <v>48.910000000000004</v>
      </c>
      <c r="N9" s="116">
        <v>49.18</v>
      </c>
      <c r="O9" s="116">
        <v>44.88</v>
      </c>
      <c r="P9" s="116">
        <v>44.92</v>
      </c>
      <c r="Q9" s="116">
        <v>244.55</v>
      </c>
      <c r="R9">
        <v>25879</v>
      </c>
    </row>
    <row r="10" spans="1:18" x14ac:dyDescent="0.25">
      <c r="A10" s="170">
        <v>42013</v>
      </c>
      <c r="B10" s="116">
        <v>52.04</v>
      </c>
      <c r="C10" s="116">
        <v>49.3</v>
      </c>
      <c r="D10" s="116">
        <v>49</v>
      </c>
      <c r="E10" s="116">
        <v>50</v>
      </c>
      <c r="F10" s="116">
        <v>246.5</v>
      </c>
      <c r="G10">
        <v>20881</v>
      </c>
      <c r="H10" s="116"/>
      <c r="I10" s="116"/>
      <c r="L10" s="170">
        <v>42013</v>
      </c>
      <c r="M10" s="116">
        <v>49.42</v>
      </c>
      <c r="N10" s="116">
        <v>51.8</v>
      </c>
      <c r="O10" s="116">
        <v>46.82</v>
      </c>
      <c r="P10" s="116">
        <v>51.31</v>
      </c>
      <c r="Q10" s="116">
        <v>247.1</v>
      </c>
      <c r="R10">
        <v>60223</v>
      </c>
    </row>
    <row r="11" spans="1:18" x14ac:dyDescent="0.25">
      <c r="A11" s="170">
        <v>42016</v>
      </c>
      <c r="B11" s="116">
        <v>50.63</v>
      </c>
      <c r="C11" s="116">
        <v>50.160000000000004</v>
      </c>
      <c r="D11" s="116">
        <v>49</v>
      </c>
      <c r="E11" s="116">
        <v>50.63</v>
      </c>
      <c r="F11" s="116">
        <v>250.8</v>
      </c>
      <c r="G11">
        <v>1776</v>
      </c>
      <c r="H11" s="116"/>
      <c r="I11" s="116"/>
      <c r="L11" s="170">
        <v>42016</v>
      </c>
      <c r="M11" s="116">
        <v>50.010000000000005</v>
      </c>
      <c r="N11" s="116">
        <v>50.8</v>
      </c>
      <c r="O11" s="116">
        <v>48.62</v>
      </c>
      <c r="P11" s="116">
        <v>50.769999999999996</v>
      </c>
      <c r="Q11" s="116">
        <v>250.05</v>
      </c>
      <c r="R11">
        <v>5329</v>
      </c>
    </row>
    <row r="12" spans="1:18" x14ac:dyDescent="0.25">
      <c r="A12" s="170">
        <v>42017</v>
      </c>
      <c r="B12" s="116">
        <v>50.739999999999995</v>
      </c>
      <c r="C12" s="116">
        <v>49.019999999999996</v>
      </c>
      <c r="D12" s="116">
        <v>48.62</v>
      </c>
      <c r="E12" s="116">
        <v>50.4</v>
      </c>
      <c r="F12" s="116">
        <v>245.1</v>
      </c>
      <c r="G12">
        <v>4175</v>
      </c>
      <c r="H12" s="116"/>
      <c r="I12" s="116"/>
      <c r="L12" s="170">
        <v>42017</v>
      </c>
      <c r="M12" s="116">
        <v>48.67</v>
      </c>
      <c r="N12" s="116">
        <v>50.25</v>
      </c>
      <c r="O12" s="116">
        <v>48.4</v>
      </c>
      <c r="P12" s="116">
        <v>50.019999999999996</v>
      </c>
      <c r="Q12" s="116">
        <v>243.35</v>
      </c>
      <c r="R12">
        <v>5432</v>
      </c>
    </row>
    <row r="13" spans="1:18" x14ac:dyDescent="0.25">
      <c r="A13" s="170">
        <v>42018</v>
      </c>
      <c r="B13" s="116">
        <v>49.2</v>
      </c>
      <c r="C13" s="116">
        <v>47.89</v>
      </c>
      <c r="D13" s="116">
        <v>47.2</v>
      </c>
      <c r="E13" s="116">
        <v>49.2</v>
      </c>
      <c r="F13" s="116">
        <v>239.45</v>
      </c>
      <c r="G13">
        <v>980</v>
      </c>
      <c r="H13" s="116"/>
      <c r="I13" s="116"/>
      <c r="L13" s="170">
        <v>42018</v>
      </c>
      <c r="M13" s="116">
        <v>47.730000000000004</v>
      </c>
      <c r="N13" s="116">
        <v>49.58</v>
      </c>
      <c r="O13" s="116">
        <v>47.03</v>
      </c>
      <c r="P13" s="116">
        <v>49.510000000000005</v>
      </c>
      <c r="Q13" s="116">
        <v>238.65</v>
      </c>
      <c r="R13">
        <v>2250</v>
      </c>
    </row>
    <row r="14" spans="1:18" x14ac:dyDescent="0.25">
      <c r="A14" s="170">
        <v>42019</v>
      </c>
      <c r="B14" s="116">
        <v>47.93</v>
      </c>
      <c r="C14" s="116">
        <v>47.19</v>
      </c>
      <c r="D14" s="116">
        <v>46.4</v>
      </c>
      <c r="E14" s="116">
        <v>47.2</v>
      </c>
      <c r="F14" s="116">
        <v>235.95</v>
      </c>
      <c r="G14">
        <v>650</v>
      </c>
      <c r="H14" s="116"/>
      <c r="I14" s="116"/>
      <c r="L14" s="170">
        <v>42019</v>
      </c>
      <c r="M14" s="116">
        <v>46.5</v>
      </c>
      <c r="N14" s="116">
        <v>49.4</v>
      </c>
      <c r="O14" s="116">
        <v>45</v>
      </c>
      <c r="P14" s="116">
        <v>49.4</v>
      </c>
      <c r="Q14" s="116">
        <v>232.5</v>
      </c>
      <c r="R14">
        <v>3275</v>
      </c>
    </row>
    <row r="15" spans="1:18" x14ac:dyDescent="0.25">
      <c r="A15" s="170">
        <v>42020</v>
      </c>
      <c r="B15" s="116">
        <v>47.739999999999995</v>
      </c>
      <c r="C15" s="116">
        <v>47.32</v>
      </c>
      <c r="D15" s="116">
        <v>46.410000000000004</v>
      </c>
      <c r="E15" s="116">
        <v>46.410000000000004</v>
      </c>
      <c r="F15" s="116">
        <v>236.6</v>
      </c>
      <c r="G15">
        <v>160</v>
      </c>
      <c r="H15" s="116"/>
      <c r="I15" s="116"/>
      <c r="L15" s="170">
        <v>42020</v>
      </c>
      <c r="M15" s="116">
        <v>46.68</v>
      </c>
      <c r="N15" s="116">
        <v>47.19</v>
      </c>
      <c r="O15" s="116">
        <v>46.6</v>
      </c>
      <c r="P15" s="116">
        <v>46.6</v>
      </c>
      <c r="Q15" s="116">
        <v>233.4</v>
      </c>
      <c r="R15">
        <v>397</v>
      </c>
    </row>
    <row r="16" spans="1:18" x14ac:dyDescent="0.25">
      <c r="A16" s="170">
        <v>42023</v>
      </c>
      <c r="B16" s="116">
        <v>47.8</v>
      </c>
      <c r="C16" s="116">
        <v>47.68</v>
      </c>
      <c r="D16" s="116">
        <v>46.71</v>
      </c>
      <c r="E16" s="116">
        <v>46.9</v>
      </c>
      <c r="F16" s="116">
        <v>238.4</v>
      </c>
      <c r="G16">
        <v>926</v>
      </c>
      <c r="H16" s="116"/>
      <c r="I16" s="116"/>
      <c r="L16" s="170">
        <v>42023</v>
      </c>
      <c r="M16" s="116">
        <v>47.239999999999995</v>
      </c>
      <c r="N16" s="116">
        <v>47.5</v>
      </c>
      <c r="O16" s="116">
        <v>46.07</v>
      </c>
      <c r="P16" s="116">
        <v>46.18</v>
      </c>
      <c r="Q16" s="116">
        <v>236.2</v>
      </c>
      <c r="R16">
        <v>6391</v>
      </c>
    </row>
    <row r="17" spans="1:18" x14ac:dyDescent="0.25">
      <c r="A17" s="170">
        <v>42024</v>
      </c>
      <c r="B17" s="116">
        <v>49</v>
      </c>
      <c r="C17" s="116">
        <v>47.85</v>
      </c>
      <c r="D17" s="116">
        <v>46.38</v>
      </c>
      <c r="E17" s="116">
        <v>47</v>
      </c>
      <c r="F17" s="116">
        <v>239.25</v>
      </c>
      <c r="G17">
        <v>1065</v>
      </c>
      <c r="H17" s="116"/>
      <c r="I17" s="116"/>
      <c r="L17" s="170">
        <v>42024</v>
      </c>
      <c r="M17" s="116">
        <v>48.14</v>
      </c>
      <c r="N17" s="116">
        <v>48.989999999999995</v>
      </c>
      <c r="O17" s="116">
        <v>46.019999999999996</v>
      </c>
      <c r="P17" s="116">
        <v>46.730000000000004</v>
      </c>
      <c r="Q17" s="116">
        <v>240.7</v>
      </c>
      <c r="R17">
        <v>2155</v>
      </c>
    </row>
    <row r="18" spans="1:18" x14ac:dyDescent="0.25">
      <c r="A18" s="170">
        <v>42025</v>
      </c>
      <c r="B18" s="116">
        <v>49.4</v>
      </c>
      <c r="C18" s="116">
        <v>49.38</v>
      </c>
      <c r="D18" s="116">
        <v>47.62</v>
      </c>
      <c r="E18" s="116">
        <v>49</v>
      </c>
      <c r="F18" s="116">
        <v>246.9</v>
      </c>
      <c r="G18">
        <v>3159</v>
      </c>
      <c r="H18" s="116"/>
      <c r="I18" s="116"/>
      <c r="L18" s="170">
        <v>42025</v>
      </c>
      <c r="M18" s="116">
        <v>48.64</v>
      </c>
      <c r="N18" s="116">
        <v>49.96</v>
      </c>
      <c r="O18" s="116">
        <v>47.8</v>
      </c>
      <c r="P18" s="116">
        <v>49.089999999999996</v>
      </c>
      <c r="Q18" s="116">
        <v>243.2</v>
      </c>
      <c r="R18">
        <v>3545</v>
      </c>
    </row>
    <row r="19" spans="1:18" x14ac:dyDescent="0.25">
      <c r="A19" s="170">
        <v>42026</v>
      </c>
      <c r="B19" s="116">
        <v>49</v>
      </c>
      <c r="C19" s="116">
        <v>47.86</v>
      </c>
      <c r="D19" s="116">
        <v>47.010000000000005</v>
      </c>
      <c r="E19" s="116">
        <v>48</v>
      </c>
      <c r="F19" s="116">
        <v>239.3</v>
      </c>
      <c r="G19">
        <v>237</v>
      </c>
      <c r="H19" s="116"/>
      <c r="I19" s="116"/>
      <c r="L19" s="170">
        <v>42026</v>
      </c>
      <c r="M19" s="116">
        <v>47.13</v>
      </c>
      <c r="N19" s="116">
        <v>49.480000000000004</v>
      </c>
      <c r="O19" s="116">
        <v>46.03</v>
      </c>
      <c r="P19" s="116">
        <v>48.1</v>
      </c>
      <c r="Q19" s="116">
        <v>235.65</v>
      </c>
      <c r="R19">
        <v>2503</v>
      </c>
    </row>
    <row r="20" spans="1:18" x14ac:dyDescent="0.25">
      <c r="A20" s="170">
        <v>42027</v>
      </c>
      <c r="B20" s="116">
        <v>48.019999999999996</v>
      </c>
      <c r="C20" s="116">
        <v>48.019999999999996</v>
      </c>
      <c r="D20" s="116">
        <v>47.1</v>
      </c>
      <c r="E20" s="116">
        <v>47.12</v>
      </c>
      <c r="F20" s="116">
        <v>240.1</v>
      </c>
      <c r="G20">
        <v>1263</v>
      </c>
      <c r="H20" s="116"/>
      <c r="I20" s="116"/>
      <c r="L20" s="170">
        <v>42027</v>
      </c>
      <c r="M20" s="116">
        <v>47.97</v>
      </c>
      <c r="N20" s="116">
        <v>48.739999999999995</v>
      </c>
      <c r="O20" s="116">
        <v>46.05</v>
      </c>
      <c r="P20" s="116">
        <v>46.8</v>
      </c>
      <c r="Q20" s="116">
        <v>239.85</v>
      </c>
      <c r="R20">
        <v>3031</v>
      </c>
    </row>
    <row r="21" spans="1:18" x14ac:dyDescent="0.25">
      <c r="A21" s="170">
        <v>42031</v>
      </c>
      <c r="B21" s="116">
        <v>48.8</v>
      </c>
      <c r="C21" s="116">
        <v>48.67</v>
      </c>
      <c r="D21" s="116">
        <v>47.8</v>
      </c>
      <c r="E21" s="116">
        <v>48.22</v>
      </c>
      <c r="F21" s="116">
        <v>243.35</v>
      </c>
      <c r="G21">
        <v>563</v>
      </c>
      <c r="H21" s="116"/>
      <c r="I21" s="116"/>
      <c r="L21" s="170">
        <v>42031</v>
      </c>
      <c r="M21" s="116">
        <v>48.33</v>
      </c>
      <c r="N21" s="116">
        <v>49.6</v>
      </c>
      <c r="O21" s="116">
        <v>48</v>
      </c>
      <c r="P21" s="116">
        <v>49.6</v>
      </c>
      <c r="Q21" s="116">
        <v>241.65</v>
      </c>
      <c r="R21">
        <v>1619</v>
      </c>
    </row>
    <row r="22" spans="1:18" x14ac:dyDescent="0.25">
      <c r="A22" s="170">
        <v>42032</v>
      </c>
      <c r="B22" s="116">
        <v>49</v>
      </c>
      <c r="C22" s="116">
        <v>48.22</v>
      </c>
      <c r="D22" s="116">
        <v>48.2</v>
      </c>
      <c r="E22" s="116">
        <v>49</v>
      </c>
      <c r="F22" s="116">
        <v>241.1</v>
      </c>
      <c r="G22">
        <v>524</v>
      </c>
      <c r="H22" s="116"/>
      <c r="I22" s="116"/>
      <c r="L22" s="170">
        <v>42032</v>
      </c>
      <c r="M22" s="116">
        <v>48.7</v>
      </c>
      <c r="N22" s="116">
        <v>51</v>
      </c>
      <c r="O22" s="116">
        <v>48.2</v>
      </c>
      <c r="P22" s="116">
        <v>51</v>
      </c>
      <c r="Q22" s="116">
        <v>243.5</v>
      </c>
      <c r="R22">
        <v>1763</v>
      </c>
    </row>
    <row r="23" spans="1:18" x14ac:dyDescent="0.25">
      <c r="A23" s="170">
        <v>42033</v>
      </c>
      <c r="B23" s="116">
        <v>48.410000000000004</v>
      </c>
      <c r="C23" s="116">
        <v>47.78</v>
      </c>
      <c r="D23" s="116">
        <v>47</v>
      </c>
      <c r="E23" s="116">
        <v>48</v>
      </c>
      <c r="F23" s="116">
        <v>238.9</v>
      </c>
      <c r="G23">
        <v>1448</v>
      </c>
      <c r="H23" s="116"/>
      <c r="I23" s="116"/>
      <c r="L23" s="170">
        <v>42033</v>
      </c>
      <c r="M23" s="116">
        <v>48.05</v>
      </c>
      <c r="N23" s="116">
        <v>49</v>
      </c>
      <c r="O23" s="116">
        <v>46.6</v>
      </c>
      <c r="P23" s="116">
        <v>48</v>
      </c>
      <c r="Q23" s="116">
        <v>240.25</v>
      </c>
      <c r="R23">
        <v>2213</v>
      </c>
    </row>
    <row r="24" spans="1:18" x14ac:dyDescent="0.25">
      <c r="A24" s="170">
        <v>42034</v>
      </c>
      <c r="B24" s="116">
        <v>48.78</v>
      </c>
      <c r="C24" s="116">
        <v>48</v>
      </c>
      <c r="D24" s="116">
        <v>48</v>
      </c>
      <c r="E24" s="116">
        <v>48</v>
      </c>
      <c r="F24" s="116">
        <v>240</v>
      </c>
      <c r="G24">
        <v>110</v>
      </c>
      <c r="H24" s="116"/>
      <c r="I24" s="116"/>
      <c r="L24" s="170">
        <v>42034</v>
      </c>
      <c r="M24" s="116">
        <v>48.22</v>
      </c>
      <c r="N24" s="116">
        <v>49.39</v>
      </c>
      <c r="O24" s="116">
        <v>46.660000000000004</v>
      </c>
      <c r="P24" s="116">
        <v>49.39</v>
      </c>
      <c r="Q24" s="116">
        <v>241.1</v>
      </c>
      <c r="R24">
        <v>1302</v>
      </c>
    </row>
    <row r="25" spans="1:18" x14ac:dyDescent="0.25">
      <c r="A25" s="170">
        <v>42037</v>
      </c>
      <c r="B25" s="116">
        <v>48.9</v>
      </c>
      <c r="C25" s="116">
        <v>47.260000000000005</v>
      </c>
      <c r="D25" s="116">
        <v>47.2</v>
      </c>
      <c r="E25" s="116">
        <v>48.9</v>
      </c>
      <c r="F25" s="116">
        <v>236.3</v>
      </c>
      <c r="G25">
        <v>475</v>
      </c>
      <c r="H25" s="116"/>
      <c r="I25" s="116"/>
      <c r="L25" s="170">
        <v>42037</v>
      </c>
      <c r="M25" s="116">
        <v>47.339999999999996</v>
      </c>
      <c r="N25" s="116">
        <v>49</v>
      </c>
      <c r="O25" s="116">
        <v>46.6</v>
      </c>
      <c r="P25" s="116">
        <v>48.980000000000004</v>
      </c>
      <c r="Q25" s="116">
        <v>236.7</v>
      </c>
      <c r="R25">
        <v>1065</v>
      </c>
    </row>
    <row r="26" spans="1:18" x14ac:dyDescent="0.25">
      <c r="A26" s="170">
        <v>42038</v>
      </c>
      <c r="B26" s="116">
        <v>48.47</v>
      </c>
      <c r="C26" s="116">
        <v>47.93</v>
      </c>
      <c r="D26" s="116">
        <v>47.4</v>
      </c>
      <c r="E26" s="116">
        <v>48.47</v>
      </c>
      <c r="F26" s="116">
        <v>239.65</v>
      </c>
      <c r="G26">
        <v>275</v>
      </c>
      <c r="H26" s="116"/>
      <c r="I26" s="116"/>
      <c r="L26" s="170">
        <v>42038</v>
      </c>
      <c r="M26" s="116">
        <v>47.61</v>
      </c>
      <c r="N26" s="116">
        <v>47.78</v>
      </c>
      <c r="O26" s="116">
        <v>47.1</v>
      </c>
      <c r="P26" s="116">
        <v>47.260000000000005</v>
      </c>
      <c r="Q26" s="116">
        <v>238.05</v>
      </c>
      <c r="R26">
        <v>1510</v>
      </c>
    </row>
    <row r="27" spans="1:18" x14ac:dyDescent="0.25">
      <c r="A27" s="170">
        <v>42039</v>
      </c>
      <c r="B27" s="116">
        <v>48.12</v>
      </c>
      <c r="C27" s="116">
        <v>47.8</v>
      </c>
      <c r="D27" s="116">
        <v>46.78</v>
      </c>
      <c r="E27" s="116">
        <v>47.6</v>
      </c>
      <c r="F27" s="116">
        <v>239</v>
      </c>
      <c r="G27">
        <v>717</v>
      </c>
      <c r="H27" s="116"/>
      <c r="I27" s="116"/>
      <c r="L27" s="170">
        <v>42039</v>
      </c>
      <c r="M27" s="116">
        <v>47.43</v>
      </c>
      <c r="N27" s="116">
        <v>48.230000000000004</v>
      </c>
      <c r="O27" s="116">
        <v>46.8</v>
      </c>
      <c r="P27" s="116">
        <v>47.62</v>
      </c>
      <c r="Q27" s="116">
        <v>237.15</v>
      </c>
      <c r="R27">
        <v>906</v>
      </c>
    </row>
    <row r="28" spans="1:18" x14ac:dyDescent="0.25">
      <c r="A28" s="170">
        <v>42040</v>
      </c>
      <c r="B28" s="116">
        <v>47.6</v>
      </c>
      <c r="C28" s="116">
        <v>46.81</v>
      </c>
      <c r="D28" s="116">
        <v>46.2</v>
      </c>
      <c r="E28" s="116">
        <v>47</v>
      </c>
      <c r="F28" s="116">
        <v>234.05</v>
      </c>
      <c r="G28">
        <v>468</v>
      </c>
      <c r="H28" s="116"/>
      <c r="I28" s="116"/>
      <c r="L28" s="170">
        <v>42040</v>
      </c>
      <c r="M28" s="116">
        <v>46.57</v>
      </c>
      <c r="N28" s="116">
        <v>47.22</v>
      </c>
      <c r="O28" s="116">
        <v>46</v>
      </c>
      <c r="P28" s="116">
        <v>47</v>
      </c>
      <c r="Q28" s="116">
        <v>232.85</v>
      </c>
      <c r="R28">
        <v>995</v>
      </c>
    </row>
    <row r="29" spans="1:18" x14ac:dyDescent="0.25">
      <c r="A29" s="170">
        <v>42041</v>
      </c>
      <c r="B29" s="116">
        <v>47.4</v>
      </c>
      <c r="C29" s="116">
        <v>46.45</v>
      </c>
      <c r="D29" s="116">
        <v>46.45</v>
      </c>
      <c r="E29" s="116">
        <v>46.83</v>
      </c>
      <c r="F29" s="116">
        <v>232.25</v>
      </c>
      <c r="G29">
        <v>146</v>
      </c>
      <c r="H29" s="116"/>
      <c r="I29" s="116"/>
      <c r="L29" s="170">
        <v>42041</v>
      </c>
      <c r="M29" s="116">
        <v>46.4</v>
      </c>
      <c r="N29" s="116">
        <v>47.410000000000004</v>
      </c>
      <c r="O29" s="116">
        <v>46</v>
      </c>
      <c r="P29" s="116">
        <v>46.5</v>
      </c>
      <c r="Q29" s="116">
        <v>232</v>
      </c>
      <c r="R29">
        <v>1308</v>
      </c>
    </row>
    <row r="30" spans="1:18" x14ac:dyDescent="0.25">
      <c r="A30" s="170">
        <v>42044</v>
      </c>
      <c r="B30" s="116">
        <v>47.8</v>
      </c>
      <c r="C30" s="116">
        <v>46.019999999999996</v>
      </c>
      <c r="D30" s="116">
        <v>45.2</v>
      </c>
      <c r="E30" s="116">
        <v>46</v>
      </c>
      <c r="F30" s="116">
        <v>230.1</v>
      </c>
      <c r="G30">
        <v>3358</v>
      </c>
      <c r="H30" s="116"/>
      <c r="I30" s="116"/>
      <c r="L30" s="170">
        <v>42044</v>
      </c>
      <c r="M30" s="116">
        <v>45.88</v>
      </c>
      <c r="N30" s="116">
        <v>46.2</v>
      </c>
      <c r="O30" s="116">
        <v>45</v>
      </c>
      <c r="P30" s="116">
        <v>46.2</v>
      </c>
      <c r="Q30" s="116">
        <v>229.4</v>
      </c>
      <c r="R30">
        <v>2082</v>
      </c>
    </row>
    <row r="31" spans="1:18" x14ac:dyDescent="0.25">
      <c r="A31" s="170">
        <v>42045</v>
      </c>
      <c r="B31" s="116">
        <v>47.8</v>
      </c>
      <c r="C31" s="116">
        <v>46.4</v>
      </c>
      <c r="D31" s="116">
        <v>45.8</v>
      </c>
      <c r="E31" s="116">
        <v>47</v>
      </c>
      <c r="F31" s="116">
        <v>232</v>
      </c>
      <c r="G31">
        <v>729</v>
      </c>
      <c r="H31" s="116"/>
      <c r="I31" s="116"/>
      <c r="L31" s="170">
        <v>42045</v>
      </c>
      <c r="M31" s="116">
        <v>46.35</v>
      </c>
      <c r="N31" s="116">
        <v>49.38</v>
      </c>
      <c r="O31" s="116">
        <v>45.269999999999996</v>
      </c>
      <c r="P31" s="116">
        <v>49.38</v>
      </c>
      <c r="Q31" s="116">
        <v>231.75</v>
      </c>
      <c r="R31">
        <v>229</v>
      </c>
    </row>
    <row r="32" spans="1:18" x14ac:dyDescent="0.25">
      <c r="A32" s="170">
        <v>42046</v>
      </c>
      <c r="B32" s="116">
        <v>46.8</v>
      </c>
      <c r="C32" s="116">
        <v>46.57</v>
      </c>
      <c r="D32" s="116">
        <v>45.2</v>
      </c>
      <c r="E32" s="116">
        <v>46.8</v>
      </c>
      <c r="F32" s="116">
        <v>232.85</v>
      </c>
      <c r="G32">
        <v>579</v>
      </c>
      <c r="H32" s="116"/>
      <c r="I32" s="116"/>
      <c r="L32" s="170">
        <v>42046</v>
      </c>
      <c r="M32" s="116">
        <v>45.44</v>
      </c>
      <c r="N32" s="116">
        <v>46.4</v>
      </c>
      <c r="O32" s="116">
        <v>44.53</v>
      </c>
      <c r="P32" s="116">
        <v>45.8</v>
      </c>
      <c r="Q32" s="116">
        <v>227.2</v>
      </c>
      <c r="R32">
        <v>859</v>
      </c>
    </row>
    <row r="33" spans="1:18" x14ac:dyDescent="0.25">
      <c r="A33" s="170">
        <v>42047</v>
      </c>
      <c r="B33" s="116">
        <v>46</v>
      </c>
      <c r="C33" s="116">
        <v>45.44</v>
      </c>
      <c r="D33" s="116">
        <v>45.43</v>
      </c>
      <c r="E33" s="116">
        <v>46</v>
      </c>
      <c r="F33" s="116">
        <v>227.2</v>
      </c>
      <c r="G33">
        <v>255</v>
      </c>
      <c r="H33" s="116"/>
      <c r="I33" s="116"/>
      <c r="L33" s="170">
        <v>42047</v>
      </c>
      <c r="M33" s="116">
        <v>45.55</v>
      </c>
      <c r="N33" s="116">
        <v>46.58</v>
      </c>
      <c r="O33" s="116">
        <v>45.25</v>
      </c>
      <c r="P33" s="116">
        <v>45.25</v>
      </c>
      <c r="Q33" s="116">
        <v>227.75</v>
      </c>
      <c r="R33">
        <v>898</v>
      </c>
    </row>
    <row r="34" spans="1:18" x14ac:dyDescent="0.25">
      <c r="A34" s="170">
        <v>42048</v>
      </c>
      <c r="B34" s="116">
        <v>46</v>
      </c>
      <c r="C34" s="116">
        <v>46</v>
      </c>
      <c r="D34" s="116">
        <v>45.22</v>
      </c>
      <c r="E34" s="116">
        <v>45.22</v>
      </c>
      <c r="F34" s="116">
        <v>230</v>
      </c>
      <c r="G34">
        <v>220</v>
      </c>
      <c r="H34" s="116"/>
      <c r="I34" s="116"/>
      <c r="L34" s="170">
        <v>42048</v>
      </c>
      <c r="M34" s="116">
        <v>45.75</v>
      </c>
      <c r="N34" s="116">
        <v>46.17</v>
      </c>
      <c r="O34" s="116">
        <v>44.69</v>
      </c>
      <c r="P34" s="116">
        <v>45.2</v>
      </c>
      <c r="Q34" s="116">
        <v>228.75</v>
      </c>
      <c r="R34">
        <v>490</v>
      </c>
    </row>
    <row r="35" spans="1:18" x14ac:dyDescent="0.25">
      <c r="A35" s="170">
        <v>42051</v>
      </c>
      <c r="B35" s="116">
        <v>46.36</v>
      </c>
      <c r="C35" s="116">
        <v>45.519999999999996</v>
      </c>
      <c r="D35" s="116">
        <v>45</v>
      </c>
      <c r="E35" s="116">
        <v>46.36</v>
      </c>
      <c r="F35" s="116">
        <v>227.6</v>
      </c>
      <c r="G35">
        <v>947</v>
      </c>
      <c r="H35" s="116"/>
      <c r="I35" s="116"/>
      <c r="L35" s="170">
        <v>42051</v>
      </c>
      <c r="M35" s="116">
        <v>45.37</v>
      </c>
      <c r="N35" s="116">
        <v>48.4</v>
      </c>
      <c r="O35" s="116">
        <v>44.72</v>
      </c>
      <c r="P35" s="116">
        <v>45.6</v>
      </c>
      <c r="Q35" s="116">
        <v>226.85</v>
      </c>
      <c r="R35">
        <v>3123</v>
      </c>
    </row>
    <row r="36" spans="1:18" x14ac:dyDescent="0.25">
      <c r="A36" s="170">
        <v>42053</v>
      </c>
      <c r="B36" s="116">
        <v>46.96</v>
      </c>
      <c r="C36" s="116">
        <v>45.5</v>
      </c>
      <c r="D36" s="116">
        <v>45</v>
      </c>
      <c r="E36" s="116">
        <v>46</v>
      </c>
      <c r="F36" s="116">
        <v>227.5</v>
      </c>
      <c r="G36">
        <v>1369</v>
      </c>
      <c r="H36" s="116"/>
      <c r="I36" s="116"/>
      <c r="L36" s="170">
        <v>42053</v>
      </c>
      <c r="M36" s="116">
        <v>45.2</v>
      </c>
      <c r="N36" s="116">
        <v>46.6</v>
      </c>
      <c r="O36" s="116">
        <v>45.04</v>
      </c>
      <c r="P36" s="116">
        <v>46.6</v>
      </c>
      <c r="Q36" s="116">
        <v>226</v>
      </c>
      <c r="R36">
        <v>3886</v>
      </c>
    </row>
    <row r="37" spans="1:18" x14ac:dyDescent="0.25">
      <c r="A37" s="170">
        <v>42054</v>
      </c>
      <c r="B37" s="116">
        <v>45.8</v>
      </c>
      <c r="C37" s="116">
        <v>45.32</v>
      </c>
      <c r="D37" s="116">
        <v>45</v>
      </c>
      <c r="E37" s="116">
        <v>45</v>
      </c>
      <c r="F37" s="116">
        <v>226.6</v>
      </c>
      <c r="G37">
        <v>120</v>
      </c>
      <c r="H37" s="116"/>
      <c r="I37" s="116"/>
      <c r="L37" s="170">
        <v>42054</v>
      </c>
      <c r="M37" s="116">
        <v>45.05</v>
      </c>
      <c r="N37" s="116">
        <v>45.4</v>
      </c>
      <c r="O37" s="116">
        <v>44.4</v>
      </c>
      <c r="P37" s="116">
        <v>44.8</v>
      </c>
      <c r="Q37" s="116">
        <v>225.25</v>
      </c>
      <c r="R37">
        <v>495</v>
      </c>
    </row>
    <row r="38" spans="1:18" x14ac:dyDescent="0.25">
      <c r="A38" s="170">
        <v>42055</v>
      </c>
      <c r="B38" s="116">
        <v>45.78</v>
      </c>
      <c r="C38" s="116">
        <v>45.18</v>
      </c>
      <c r="D38" s="116">
        <v>44.82</v>
      </c>
      <c r="E38" s="116">
        <v>45.4</v>
      </c>
      <c r="F38" s="116">
        <v>225.9</v>
      </c>
      <c r="G38">
        <v>656</v>
      </c>
      <c r="H38" s="116"/>
      <c r="I38" s="116"/>
      <c r="L38" s="170">
        <v>42055</v>
      </c>
      <c r="M38" s="116">
        <v>45.2</v>
      </c>
      <c r="N38" s="116">
        <v>45.8</v>
      </c>
      <c r="O38" s="116">
        <v>45</v>
      </c>
      <c r="P38" s="116">
        <v>45</v>
      </c>
      <c r="Q38" s="116">
        <v>226</v>
      </c>
      <c r="R38">
        <v>627</v>
      </c>
    </row>
    <row r="39" spans="1:18" x14ac:dyDescent="0.25">
      <c r="A39" s="170">
        <v>42058</v>
      </c>
      <c r="B39" s="116">
        <v>47</v>
      </c>
      <c r="C39" s="116">
        <v>45.3</v>
      </c>
      <c r="D39" s="116">
        <v>45.3</v>
      </c>
      <c r="E39" s="116">
        <v>47</v>
      </c>
      <c r="F39" s="116">
        <v>226.5</v>
      </c>
      <c r="G39">
        <v>273</v>
      </c>
      <c r="H39" s="116"/>
      <c r="I39" s="116"/>
      <c r="L39" s="170">
        <v>42058</v>
      </c>
      <c r="M39" s="116">
        <v>44.9</v>
      </c>
      <c r="N39" s="116">
        <v>45.6</v>
      </c>
      <c r="O39" s="116">
        <v>44.3</v>
      </c>
      <c r="P39" s="116">
        <v>45.39</v>
      </c>
      <c r="Q39" s="116">
        <v>224.5</v>
      </c>
      <c r="R39">
        <v>639</v>
      </c>
    </row>
    <row r="40" spans="1:18" x14ac:dyDescent="0.25">
      <c r="A40" s="170">
        <v>42059</v>
      </c>
      <c r="B40" s="116">
        <v>45</v>
      </c>
      <c r="C40" s="116">
        <v>44.68</v>
      </c>
      <c r="D40" s="116">
        <v>44.2</v>
      </c>
      <c r="E40" s="116">
        <v>44.6</v>
      </c>
      <c r="F40" s="116">
        <v>223.4</v>
      </c>
      <c r="G40">
        <v>504</v>
      </c>
      <c r="H40" s="116"/>
      <c r="I40" s="116"/>
      <c r="L40" s="170">
        <v>42059</v>
      </c>
      <c r="M40" s="116">
        <v>44.53</v>
      </c>
      <c r="N40" s="116">
        <v>45.55</v>
      </c>
      <c r="O40" s="116">
        <v>44.019999999999996</v>
      </c>
      <c r="P40" s="116">
        <v>44.6</v>
      </c>
      <c r="Q40" s="116">
        <v>222.65</v>
      </c>
      <c r="R40">
        <v>451</v>
      </c>
    </row>
    <row r="41" spans="1:18" x14ac:dyDescent="0.25">
      <c r="A41" s="170">
        <v>42060</v>
      </c>
      <c r="B41" s="116">
        <v>44.92</v>
      </c>
      <c r="C41" s="116">
        <v>42.760000000000005</v>
      </c>
      <c r="D41" s="116">
        <v>42</v>
      </c>
      <c r="E41" s="116">
        <v>44.92</v>
      </c>
      <c r="F41" s="116">
        <v>213.8</v>
      </c>
      <c r="G41">
        <v>1011</v>
      </c>
      <c r="H41" s="116"/>
      <c r="I41" s="116"/>
      <c r="L41" s="170">
        <v>42060</v>
      </c>
      <c r="M41" s="116">
        <v>43.11</v>
      </c>
      <c r="N41" s="116">
        <v>44.489999999999995</v>
      </c>
      <c r="O41" s="116">
        <v>42.480000000000004</v>
      </c>
      <c r="P41" s="116">
        <v>44.44</v>
      </c>
      <c r="Q41" s="116">
        <v>215.55</v>
      </c>
      <c r="R41">
        <v>1270</v>
      </c>
    </row>
    <row r="42" spans="1:18" x14ac:dyDescent="0.25">
      <c r="A42" s="170">
        <v>42061</v>
      </c>
      <c r="B42" s="116">
        <v>43.6</v>
      </c>
      <c r="C42" s="116">
        <v>43.28</v>
      </c>
      <c r="D42" s="116">
        <v>42</v>
      </c>
      <c r="E42" s="116">
        <v>42</v>
      </c>
      <c r="F42" s="116">
        <v>216.4</v>
      </c>
      <c r="G42">
        <v>118</v>
      </c>
      <c r="H42" s="116"/>
      <c r="I42" s="116"/>
      <c r="L42" s="170">
        <v>42061</v>
      </c>
      <c r="M42" s="116">
        <v>42.25</v>
      </c>
      <c r="N42" s="116">
        <v>42.7</v>
      </c>
      <c r="O42" s="116">
        <v>42.25</v>
      </c>
      <c r="P42" s="116">
        <v>42.7</v>
      </c>
      <c r="Q42" s="116">
        <v>211.25</v>
      </c>
      <c r="R42">
        <v>3504</v>
      </c>
    </row>
    <row r="43" spans="1:18" x14ac:dyDescent="0.25">
      <c r="A43" s="170">
        <v>42062</v>
      </c>
      <c r="B43" s="116">
        <v>43.96</v>
      </c>
      <c r="C43" s="116">
        <v>42.6</v>
      </c>
      <c r="D43" s="116">
        <v>42.4</v>
      </c>
      <c r="E43" s="116">
        <v>43.96</v>
      </c>
      <c r="F43" s="116">
        <v>213</v>
      </c>
      <c r="G43">
        <v>148</v>
      </c>
      <c r="H43" s="116"/>
      <c r="I43" s="116"/>
      <c r="L43" s="170">
        <v>42062</v>
      </c>
      <c r="M43" s="116">
        <v>42.33</v>
      </c>
      <c r="N43" s="116">
        <v>43.6</v>
      </c>
      <c r="O43" s="116">
        <v>42.010000000000005</v>
      </c>
      <c r="P43" s="116">
        <v>43.6</v>
      </c>
      <c r="Q43" s="116">
        <v>211.65</v>
      </c>
      <c r="R43">
        <v>1850</v>
      </c>
    </row>
    <row r="44" spans="1:18" x14ac:dyDescent="0.25">
      <c r="A44" s="170">
        <v>42063</v>
      </c>
      <c r="B44" s="116">
        <v>45.8</v>
      </c>
      <c r="C44" s="116">
        <v>42.5</v>
      </c>
      <c r="D44" s="116">
        <v>42.239999999999995</v>
      </c>
      <c r="E44" s="116">
        <v>42.68</v>
      </c>
      <c r="F44" s="116">
        <v>212.5</v>
      </c>
      <c r="G44">
        <v>363</v>
      </c>
      <c r="H44" s="116"/>
      <c r="I44" s="116"/>
      <c r="L44" s="170">
        <v>42063</v>
      </c>
      <c r="M44" s="116">
        <v>42.1</v>
      </c>
      <c r="N44" s="116">
        <v>43.14</v>
      </c>
      <c r="O44" s="116">
        <v>41.4</v>
      </c>
      <c r="P44" s="116">
        <v>42</v>
      </c>
      <c r="Q44" s="116">
        <v>210.5</v>
      </c>
      <c r="R44">
        <v>3351</v>
      </c>
    </row>
    <row r="45" spans="1:18" x14ac:dyDescent="0.25">
      <c r="A45" s="170">
        <v>42065</v>
      </c>
      <c r="B45" s="116">
        <v>43.86</v>
      </c>
      <c r="C45" s="116">
        <v>43.519999999999996</v>
      </c>
      <c r="D45" s="116">
        <v>43</v>
      </c>
      <c r="E45" s="116">
        <v>43.86</v>
      </c>
      <c r="F45" s="116">
        <v>217.6</v>
      </c>
      <c r="G45">
        <v>8</v>
      </c>
      <c r="H45" s="116"/>
      <c r="I45" s="116"/>
      <c r="L45" s="170">
        <v>42065</v>
      </c>
      <c r="M45" s="116">
        <v>42.18</v>
      </c>
      <c r="N45" s="116">
        <v>43.39</v>
      </c>
      <c r="O45" s="116">
        <v>42.04</v>
      </c>
      <c r="P45" s="116">
        <v>42.4</v>
      </c>
      <c r="Q45" s="116">
        <v>210.9</v>
      </c>
      <c r="R45">
        <v>1883</v>
      </c>
    </row>
    <row r="46" spans="1:18" x14ac:dyDescent="0.25">
      <c r="A46" s="170">
        <v>42066</v>
      </c>
      <c r="B46" s="116">
        <v>43</v>
      </c>
      <c r="C46" s="116">
        <v>42.3</v>
      </c>
      <c r="D46" s="116">
        <v>42.04</v>
      </c>
      <c r="E46" s="116">
        <v>42.8</v>
      </c>
      <c r="F46" s="116">
        <v>211.5</v>
      </c>
      <c r="G46">
        <v>381</v>
      </c>
      <c r="H46" s="116"/>
      <c r="I46" s="116"/>
      <c r="L46" s="170">
        <v>42066</v>
      </c>
      <c r="M46" s="116">
        <v>42.08</v>
      </c>
      <c r="N46" s="116">
        <v>42.980000000000004</v>
      </c>
      <c r="O46" s="116">
        <v>42</v>
      </c>
      <c r="P46" s="116">
        <v>42.97</v>
      </c>
      <c r="Q46" s="116">
        <v>210.4</v>
      </c>
      <c r="R46">
        <v>1692</v>
      </c>
    </row>
    <row r="47" spans="1:18" x14ac:dyDescent="0.25">
      <c r="A47" s="170">
        <v>42067</v>
      </c>
      <c r="B47" s="116">
        <v>43.6</v>
      </c>
      <c r="C47" s="116">
        <v>42.08</v>
      </c>
      <c r="D47" s="116">
        <v>42.06</v>
      </c>
      <c r="E47" s="116">
        <v>42.42</v>
      </c>
      <c r="F47" s="116">
        <v>210.4</v>
      </c>
      <c r="G47">
        <v>584</v>
      </c>
      <c r="H47" s="116"/>
      <c r="I47" s="116"/>
      <c r="L47" s="170">
        <v>42067</v>
      </c>
      <c r="M47" s="116">
        <v>41.989999999999995</v>
      </c>
      <c r="N47" s="116">
        <v>44.589999999999996</v>
      </c>
      <c r="O47" s="116">
        <v>41.910000000000004</v>
      </c>
      <c r="P47" s="116">
        <v>42.269999999999996</v>
      </c>
      <c r="Q47" s="116">
        <v>209.95</v>
      </c>
      <c r="R47">
        <v>1209</v>
      </c>
    </row>
    <row r="48" spans="1:18" x14ac:dyDescent="0.25">
      <c r="A48" s="170">
        <v>42068</v>
      </c>
      <c r="B48" s="116">
        <v>42.980000000000004</v>
      </c>
      <c r="C48" s="116">
        <v>41.8</v>
      </c>
      <c r="D48" s="116">
        <v>41.8</v>
      </c>
      <c r="E48" s="116">
        <v>42.28</v>
      </c>
      <c r="F48" s="116">
        <v>209</v>
      </c>
      <c r="G48">
        <v>509</v>
      </c>
      <c r="H48" s="116"/>
      <c r="I48" s="116"/>
      <c r="L48" s="170">
        <v>42068</v>
      </c>
      <c r="M48" s="116">
        <v>42.17</v>
      </c>
      <c r="N48" s="116">
        <v>43.19</v>
      </c>
      <c r="O48" s="116">
        <v>40.47</v>
      </c>
      <c r="P48" s="116">
        <v>41.8</v>
      </c>
      <c r="Q48" s="116">
        <v>210.85</v>
      </c>
      <c r="R48">
        <v>309</v>
      </c>
    </row>
    <row r="49" spans="1:18" x14ac:dyDescent="0.25">
      <c r="A49" s="170">
        <v>42072</v>
      </c>
      <c r="B49" s="116">
        <v>42.96</v>
      </c>
      <c r="C49" s="116">
        <v>42.78</v>
      </c>
      <c r="D49" s="116">
        <v>41.42</v>
      </c>
      <c r="E49" s="116">
        <v>41.519999999999996</v>
      </c>
      <c r="F49" s="116">
        <v>213.9</v>
      </c>
      <c r="G49">
        <v>144</v>
      </c>
      <c r="H49" s="116"/>
      <c r="I49" s="116"/>
      <c r="L49" s="170">
        <v>42072</v>
      </c>
      <c r="M49" s="116">
        <v>41.45</v>
      </c>
      <c r="N49" s="116">
        <v>42.2</v>
      </c>
      <c r="O49" s="116">
        <v>40.47</v>
      </c>
      <c r="P49" s="116">
        <v>41.8</v>
      </c>
      <c r="Q49" s="116">
        <v>207.25</v>
      </c>
      <c r="R49">
        <v>2124</v>
      </c>
    </row>
    <row r="50" spans="1:18" x14ac:dyDescent="0.25">
      <c r="A50" s="170">
        <v>42073</v>
      </c>
      <c r="B50" s="116">
        <v>42</v>
      </c>
      <c r="C50" s="116">
        <v>41.019999999999996</v>
      </c>
      <c r="D50" s="116">
        <v>41</v>
      </c>
      <c r="E50" s="116">
        <v>41.86</v>
      </c>
      <c r="F50" s="116">
        <v>205.1</v>
      </c>
      <c r="G50">
        <v>181</v>
      </c>
      <c r="H50" s="116"/>
      <c r="I50" s="116"/>
      <c r="L50" s="170">
        <v>42073</v>
      </c>
      <c r="M50" s="116">
        <v>41.2</v>
      </c>
      <c r="N50" s="116">
        <v>41.980000000000004</v>
      </c>
      <c r="O50" s="116">
        <v>41.2</v>
      </c>
      <c r="P50" s="116">
        <v>41.239999999999995</v>
      </c>
      <c r="Q50" s="116">
        <v>206</v>
      </c>
      <c r="R50">
        <v>483</v>
      </c>
    </row>
    <row r="51" spans="1:18" x14ac:dyDescent="0.25">
      <c r="A51" s="170">
        <v>42074</v>
      </c>
      <c r="B51" s="116">
        <v>42.839999999999996</v>
      </c>
      <c r="C51" s="116">
        <v>41.38</v>
      </c>
      <c r="D51" s="116">
        <v>40.4</v>
      </c>
      <c r="E51" s="116">
        <v>42.839999999999996</v>
      </c>
      <c r="F51" s="116">
        <v>206.9</v>
      </c>
      <c r="G51">
        <v>61</v>
      </c>
      <c r="H51" s="116"/>
      <c r="I51" s="116"/>
      <c r="L51" s="170">
        <v>42074</v>
      </c>
      <c r="M51" s="116">
        <v>40.880000000000003</v>
      </c>
      <c r="N51" s="116">
        <v>41.95</v>
      </c>
      <c r="O51" s="116">
        <v>40.799999999999997</v>
      </c>
      <c r="P51" s="116">
        <v>40.799999999999997</v>
      </c>
      <c r="Q51" s="116">
        <v>204.4</v>
      </c>
      <c r="R51">
        <v>1101</v>
      </c>
    </row>
    <row r="52" spans="1:18" x14ac:dyDescent="0.25">
      <c r="A52" s="170">
        <v>42075</v>
      </c>
      <c r="B52" s="116">
        <v>42</v>
      </c>
      <c r="C52" s="116">
        <v>41.28</v>
      </c>
      <c r="D52" s="116">
        <v>40.799999999999997</v>
      </c>
      <c r="E52" s="116">
        <v>40.839999999999996</v>
      </c>
      <c r="F52" s="116">
        <v>206.4</v>
      </c>
      <c r="G52">
        <v>193</v>
      </c>
      <c r="H52" s="116"/>
      <c r="I52" s="116"/>
      <c r="L52" s="170">
        <v>42075</v>
      </c>
      <c r="M52" s="116">
        <v>41.04</v>
      </c>
      <c r="N52" s="116">
        <v>41.96</v>
      </c>
      <c r="O52" s="116">
        <v>40.81</v>
      </c>
      <c r="P52" s="116">
        <v>40.81</v>
      </c>
      <c r="Q52" s="116">
        <v>205.2</v>
      </c>
      <c r="R52">
        <v>1550</v>
      </c>
    </row>
    <row r="53" spans="1:18" x14ac:dyDescent="0.25">
      <c r="A53" s="170">
        <v>42076</v>
      </c>
      <c r="B53" s="116">
        <v>40.619999999999997</v>
      </c>
      <c r="C53" s="116">
        <v>40.5</v>
      </c>
      <c r="D53" s="116">
        <v>40.46</v>
      </c>
      <c r="E53" s="116">
        <v>40.619999999999997</v>
      </c>
      <c r="F53" s="116">
        <v>202.5</v>
      </c>
      <c r="G53">
        <v>57</v>
      </c>
      <c r="H53" s="116"/>
      <c r="I53" s="116"/>
      <c r="L53" s="170">
        <v>42076</v>
      </c>
      <c r="M53" s="116">
        <v>40.200000000000003</v>
      </c>
      <c r="N53" s="116">
        <v>40.83</v>
      </c>
      <c r="O53" s="116">
        <v>40.200000000000003</v>
      </c>
      <c r="P53" s="116">
        <v>40.81</v>
      </c>
      <c r="Q53" s="116">
        <v>201</v>
      </c>
      <c r="R53">
        <v>129</v>
      </c>
    </row>
    <row r="54" spans="1:18" x14ac:dyDescent="0.25">
      <c r="A54" s="170">
        <v>42079</v>
      </c>
      <c r="B54" s="116">
        <v>41.68</v>
      </c>
      <c r="C54" s="116">
        <v>40.339999999999996</v>
      </c>
      <c r="D54" s="116">
        <v>40.299999999999997</v>
      </c>
      <c r="E54" s="116">
        <v>41.239999999999995</v>
      </c>
      <c r="F54" s="116">
        <v>201.7</v>
      </c>
      <c r="G54">
        <v>179</v>
      </c>
      <c r="H54" s="116"/>
      <c r="I54" s="116"/>
      <c r="L54" s="170">
        <v>42079</v>
      </c>
      <c r="M54" s="116">
        <v>40.019999999999996</v>
      </c>
      <c r="N54" s="116">
        <v>41.58</v>
      </c>
      <c r="O54" s="116">
        <v>40.010000000000005</v>
      </c>
      <c r="P54" s="116">
        <v>40.200000000000003</v>
      </c>
      <c r="Q54" s="116">
        <v>200.1</v>
      </c>
      <c r="R54">
        <v>616</v>
      </c>
    </row>
    <row r="55" spans="1:18" x14ac:dyDescent="0.25">
      <c r="A55" s="170">
        <v>42080</v>
      </c>
      <c r="B55" s="116">
        <v>43</v>
      </c>
      <c r="C55" s="116">
        <v>40.06</v>
      </c>
      <c r="D55" s="116">
        <v>39.799999999999997</v>
      </c>
      <c r="E55" s="116">
        <v>42.8</v>
      </c>
      <c r="F55" s="116">
        <v>200.3</v>
      </c>
      <c r="G55">
        <v>9986</v>
      </c>
      <c r="H55" s="116"/>
      <c r="I55" s="116"/>
      <c r="L55" s="170">
        <v>42080</v>
      </c>
      <c r="M55" s="116">
        <v>40.39</v>
      </c>
      <c r="N55" s="116">
        <v>43</v>
      </c>
      <c r="O55" s="116">
        <v>40</v>
      </c>
      <c r="P55" s="116">
        <v>41</v>
      </c>
      <c r="Q55" s="116">
        <v>201.95</v>
      </c>
      <c r="R55">
        <v>11331</v>
      </c>
    </row>
    <row r="56" spans="1:18" x14ac:dyDescent="0.25">
      <c r="A56" s="170">
        <v>42081</v>
      </c>
      <c r="B56" s="116">
        <v>40.6</v>
      </c>
      <c r="C56" s="116">
        <v>40.380000000000003</v>
      </c>
      <c r="D56" s="116">
        <v>39.4</v>
      </c>
      <c r="E56" s="116">
        <v>39.82</v>
      </c>
      <c r="F56" s="116">
        <v>201.9</v>
      </c>
      <c r="G56">
        <v>546</v>
      </c>
      <c r="H56" s="116"/>
      <c r="I56" s="116"/>
      <c r="L56" s="170">
        <v>42081</v>
      </c>
      <c r="M56" s="116">
        <v>39.86</v>
      </c>
      <c r="N56" s="116">
        <v>40.200000000000003</v>
      </c>
      <c r="O56" s="116">
        <v>39.200000000000003</v>
      </c>
      <c r="P56" s="116">
        <v>40.010000000000005</v>
      </c>
      <c r="Q56" s="116">
        <v>199.3</v>
      </c>
      <c r="R56">
        <v>680</v>
      </c>
    </row>
    <row r="57" spans="1:18" x14ac:dyDescent="0.25">
      <c r="A57" s="170">
        <v>42082</v>
      </c>
      <c r="B57" s="116">
        <v>41</v>
      </c>
      <c r="C57" s="116">
        <v>39.380000000000003</v>
      </c>
      <c r="D57" s="116">
        <v>39</v>
      </c>
      <c r="E57" s="116">
        <v>39.200000000000003</v>
      </c>
      <c r="F57" s="116">
        <v>196.9</v>
      </c>
      <c r="G57">
        <v>899</v>
      </c>
      <c r="H57" s="116"/>
      <c r="I57" s="116"/>
      <c r="L57" s="170">
        <v>42082</v>
      </c>
      <c r="M57" s="116">
        <v>39.200000000000003</v>
      </c>
      <c r="N57" s="116">
        <v>40.58</v>
      </c>
      <c r="O57" s="116">
        <v>39</v>
      </c>
      <c r="P57" s="116">
        <v>39.4</v>
      </c>
      <c r="Q57" s="116">
        <v>196</v>
      </c>
      <c r="R57">
        <v>957</v>
      </c>
    </row>
    <row r="58" spans="1:18" x14ac:dyDescent="0.25">
      <c r="A58" s="170">
        <v>42083</v>
      </c>
      <c r="B58" s="116">
        <v>39.4</v>
      </c>
      <c r="C58" s="116">
        <v>38.660000000000004</v>
      </c>
      <c r="D58" s="116">
        <v>38.4</v>
      </c>
      <c r="E58" s="116">
        <v>39</v>
      </c>
      <c r="F58" s="116">
        <v>193.3</v>
      </c>
      <c r="G58">
        <v>420</v>
      </c>
      <c r="H58" s="116"/>
      <c r="I58" s="116"/>
      <c r="L58" s="170">
        <v>42083</v>
      </c>
      <c r="M58" s="116">
        <v>38.35</v>
      </c>
      <c r="N58" s="116">
        <v>39.630000000000003</v>
      </c>
      <c r="O58" s="116">
        <v>38.200000000000003</v>
      </c>
      <c r="P58" s="116">
        <v>39.6</v>
      </c>
      <c r="Q58" s="116">
        <v>191.75</v>
      </c>
      <c r="R58">
        <v>3146</v>
      </c>
    </row>
    <row r="59" spans="1:18" x14ac:dyDescent="0.25">
      <c r="A59" s="170">
        <v>42086</v>
      </c>
      <c r="B59" s="116">
        <v>39.339999999999996</v>
      </c>
      <c r="C59" s="116">
        <v>38.78</v>
      </c>
      <c r="D59" s="116">
        <v>38.019999999999996</v>
      </c>
      <c r="E59" s="116">
        <v>38.019999999999996</v>
      </c>
      <c r="F59" s="116">
        <v>193.9</v>
      </c>
      <c r="G59">
        <v>1857</v>
      </c>
      <c r="H59" s="116"/>
      <c r="I59" s="116"/>
      <c r="L59" s="170">
        <v>42086</v>
      </c>
      <c r="M59" s="116">
        <v>38.230000000000004</v>
      </c>
      <c r="N59" s="116">
        <v>38.799999999999997</v>
      </c>
      <c r="O59" s="116">
        <v>37.5</v>
      </c>
      <c r="P59" s="116">
        <v>38</v>
      </c>
      <c r="Q59" s="116">
        <v>191.15</v>
      </c>
      <c r="R59">
        <v>886</v>
      </c>
    </row>
    <row r="60" spans="1:18" x14ac:dyDescent="0.25">
      <c r="A60" s="170">
        <v>42087</v>
      </c>
      <c r="B60" s="116">
        <v>38</v>
      </c>
      <c r="C60" s="116">
        <v>36.94</v>
      </c>
      <c r="D60" s="116">
        <v>36.6</v>
      </c>
      <c r="E60" s="116">
        <v>38</v>
      </c>
      <c r="F60" s="116">
        <v>184.7</v>
      </c>
      <c r="G60">
        <v>265</v>
      </c>
      <c r="H60" s="116"/>
      <c r="I60" s="116"/>
      <c r="L60" s="170">
        <v>42087</v>
      </c>
      <c r="M60" s="116">
        <v>36.6</v>
      </c>
      <c r="N60" s="116">
        <v>37.799999999999997</v>
      </c>
      <c r="O60" s="116">
        <v>36.44</v>
      </c>
      <c r="P60" s="116">
        <v>37.799999999999997</v>
      </c>
      <c r="Q60" s="116">
        <v>183</v>
      </c>
      <c r="R60">
        <v>1615</v>
      </c>
    </row>
    <row r="61" spans="1:18" x14ac:dyDescent="0.25">
      <c r="A61" s="170">
        <v>42088</v>
      </c>
      <c r="B61" s="116">
        <v>40.839999999999996</v>
      </c>
      <c r="C61" s="116">
        <v>35.339999999999996</v>
      </c>
      <c r="D61" s="116">
        <v>35.1</v>
      </c>
      <c r="E61" s="116">
        <v>38</v>
      </c>
      <c r="F61" s="116">
        <v>176.7</v>
      </c>
      <c r="G61">
        <v>5478</v>
      </c>
      <c r="H61" s="116"/>
      <c r="I61" s="116"/>
      <c r="L61" s="170">
        <v>42088</v>
      </c>
      <c r="M61" s="116">
        <v>36.619999999999997</v>
      </c>
      <c r="N61" s="116">
        <v>39.4</v>
      </c>
      <c r="O61" s="116">
        <v>36.010000000000005</v>
      </c>
      <c r="P61" s="116">
        <v>39.4</v>
      </c>
      <c r="Q61" s="116">
        <v>183.1</v>
      </c>
      <c r="R61">
        <v>3086</v>
      </c>
    </row>
    <row r="62" spans="1:18" x14ac:dyDescent="0.25">
      <c r="A62" s="170">
        <v>42089</v>
      </c>
      <c r="B62" s="116">
        <v>39.980000000000004</v>
      </c>
      <c r="C62" s="116">
        <v>37.739999999999995</v>
      </c>
      <c r="D62" s="116">
        <v>36.200000000000003</v>
      </c>
      <c r="E62" s="116">
        <v>37</v>
      </c>
      <c r="F62" s="116">
        <v>188.7</v>
      </c>
      <c r="G62">
        <v>146</v>
      </c>
      <c r="H62" s="116"/>
      <c r="I62" s="116"/>
      <c r="L62" s="170">
        <v>42089</v>
      </c>
      <c r="M62" s="116">
        <v>36.6</v>
      </c>
      <c r="N62" s="116">
        <v>36.799999999999997</v>
      </c>
      <c r="O62" s="116">
        <v>36.019999999999996</v>
      </c>
      <c r="P62" s="116">
        <v>36.200000000000003</v>
      </c>
      <c r="Q62" s="116">
        <v>183</v>
      </c>
      <c r="R62">
        <v>586</v>
      </c>
    </row>
    <row r="63" spans="1:18" x14ac:dyDescent="0.25">
      <c r="A63" s="170">
        <v>42090</v>
      </c>
      <c r="B63" s="116">
        <v>36.5</v>
      </c>
      <c r="C63" s="116">
        <v>36.4</v>
      </c>
      <c r="D63" s="116">
        <v>34.92</v>
      </c>
      <c r="E63" s="116">
        <v>36.42</v>
      </c>
      <c r="F63" s="116">
        <v>182</v>
      </c>
      <c r="G63">
        <v>333</v>
      </c>
      <c r="H63" s="116"/>
      <c r="I63" s="116"/>
      <c r="L63" s="170">
        <v>42090</v>
      </c>
      <c r="M63" s="116">
        <v>36.5</v>
      </c>
      <c r="N63" s="116">
        <v>37</v>
      </c>
      <c r="O63" s="116">
        <v>36.019999999999996</v>
      </c>
      <c r="P63" s="116">
        <v>36.21</v>
      </c>
      <c r="Q63" s="116">
        <v>182.5</v>
      </c>
      <c r="R63">
        <v>343</v>
      </c>
    </row>
    <row r="64" spans="1:18" x14ac:dyDescent="0.25">
      <c r="A64" s="170">
        <v>42093</v>
      </c>
      <c r="B64" s="116">
        <v>38.1</v>
      </c>
      <c r="C64" s="116">
        <v>38.1</v>
      </c>
      <c r="D64" s="116">
        <v>36.82</v>
      </c>
      <c r="E64" s="116">
        <v>36.82</v>
      </c>
      <c r="F64" s="116">
        <v>190.5</v>
      </c>
      <c r="G64">
        <v>5</v>
      </c>
      <c r="H64" s="116"/>
      <c r="I64" s="116"/>
      <c r="L64" s="170">
        <v>42094</v>
      </c>
      <c r="M64" s="116">
        <v>37.11</v>
      </c>
      <c r="N64" s="116">
        <v>37.78</v>
      </c>
      <c r="O64" s="116">
        <v>37.1</v>
      </c>
      <c r="P64" s="116">
        <v>37.200000000000003</v>
      </c>
      <c r="Q64" s="116">
        <v>185.55</v>
      </c>
      <c r="R64">
        <v>191</v>
      </c>
    </row>
    <row r="65" spans="1:18" x14ac:dyDescent="0.25">
      <c r="A65" s="170">
        <v>42094</v>
      </c>
      <c r="B65" s="116">
        <v>38.019999999999996</v>
      </c>
      <c r="C65" s="116">
        <v>37.08</v>
      </c>
      <c r="D65" s="116">
        <v>36</v>
      </c>
      <c r="E65" s="116">
        <v>37.32</v>
      </c>
      <c r="F65" s="116">
        <v>185.4</v>
      </c>
      <c r="G65">
        <v>617</v>
      </c>
      <c r="H65" s="116"/>
      <c r="I65" s="116"/>
      <c r="L65" s="170">
        <v>42095</v>
      </c>
      <c r="M65" s="116">
        <v>37.660000000000004</v>
      </c>
      <c r="N65" s="116">
        <v>37.799999999999997</v>
      </c>
      <c r="O65" s="116">
        <v>37.200000000000003</v>
      </c>
      <c r="P65" s="116">
        <v>37.200000000000003</v>
      </c>
      <c r="Q65" s="116">
        <v>188.3</v>
      </c>
      <c r="R65">
        <v>478</v>
      </c>
    </row>
    <row r="66" spans="1:18" x14ac:dyDescent="0.25">
      <c r="A66" s="170">
        <v>42095</v>
      </c>
      <c r="B66" s="116">
        <v>38</v>
      </c>
      <c r="C66" s="116">
        <v>38</v>
      </c>
      <c r="D66" s="116">
        <v>37.22</v>
      </c>
      <c r="E66" s="116">
        <v>37.22</v>
      </c>
      <c r="F66" s="116">
        <v>190</v>
      </c>
      <c r="G66">
        <v>82</v>
      </c>
      <c r="H66" s="116"/>
      <c r="I66" s="116"/>
      <c r="L66" s="170">
        <v>42100</v>
      </c>
      <c r="M66" s="116">
        <v>38.06</v>
      </c>
      <c r="N66" s="116">
        <v>42</v>
      </c>
      <c r="O66" s="116">
        <v>37.72</v>
      </c>
      <c r="P66" s="116">
        <v>42</v>
      </c>
      <c r="Q66" s="116">
        <v>190.3</v>
      </c>
      <c r="R66">
        <v>1487</v>
      </c>
    </row>
    <row r="67" spans="1:18" x14ac:dyDescent="0.25">
      <c r="A67" s="170">
        <v>42100</v>
      </c>
      <c r="B67" s="116">
        <v>39.980000000000004</v>
      </c>
      <c r="C67" s="116">
        <v>37.880000000000003</v>
      </c>
      <c r="D67" s="116">
        <v>37.799999999999997</v>
      </c>
      <c r="E67" s="116">
        <v>39.980000000000004</v>
      </c>
      <c r="F67" s="116">
        <v>189.4</v>
      </c>
      <c r="G67">
        <v>133</v>
      </c>
      <c r="H67" s="116"/>
      <c r="I67" s="116"/>
      <c r="L67" s="170">
        <v>42101</v>
      </c>
      <c r="M67" s="116">
        <v>37.94</v>
      </c>
      <c r="N67" s="116">
        <v>42.79</v>
      </c>
      <c r="O67" s="116">
        <v>37.619999999999997</v>
      </c>
      <c r="P67" s="116">
        <v>42.79</v>
      </c>
      <c r="Q67" s="116">
        <v>189.7</v>
      </c>
      <c r="R67">
        <v>761</v>
      </c>
    </row>
    <row r="68" spans="1:18" x14ac:dyDescent="0.25">
      <c r="A68" s="170">
        <v>42101</v>
      </c>
      <c r="B68" s="116">
        <v>39.980000000000004</v>
      </c>
      <c r="C68" s="116">
        <v>38.32</v>
      </c>
      <c r="D68" s="116">
        <v>38</v>
      </c>
      <c r="E68" s="116">
        <v>39.980000000000004</v>
      </c>
      <c r="F68" s="116">
        <v>191.6</v>
      </c>
      <c r="G68">
        <v>76</v>
      </c>
      <c r="H68" s="116"/>
      <c r="I68" s="116"/>
      <c r="L68" s="170">
        <v>42102</v>
      </c>
      <c r="M68" s="116">
        <v>39.160000000000004</v>
      </c>
      <c r="N68" s="116">
        <v>39.6</v>
      </c>
      <c r="O68" s="116">
        <v>37.08</v>
      </c>
      <c r="P68" s="116">
        <v>37.799999999999997</v>
      </c>
      <c r="Q68" s="116">
        <v>195.8</v>
      </c>
      <c r="R68">
        <v>970</v>
      </c>
    </row>
    <row r="69" spans="1:18" x14ac:dyDescent="0.25">
      <c r="A69" s="170">
        <v>42102</v>
      </c>
      <c r="B69" s="116">
        <v>39.200000000000003</v>
      </c>
      <c r="C69" s="116">
        <v>39</v>
      </c>
      <c r="D69" s="116">
        <v>38</v>
      </c>
      <c r="E69" s="116">
        <v>38</v>
      </c>
      <c r="F69" s="116">
        <v>195</v>
      </c>
      <c r="G69">
        <v>184</v>
      </c>
      <c r="H69" s="116"/>
      <c r="I69" s="116"/>
      <c r="L69" s="170">
        <v>42103</v>
      </c>
      <c r="M69" s="116">
        <v>38.07</v>
      </c>
      <c r="N69" s="116">
        <v>38.700000000000003</v>
      </c>
      <c r="O69" s="116">
        <v>38</v>
      </c>
      <c r="P69" s="116">
        <v>38.619999999999997</v>
      </c>
      <c r="Q69" s="116">
        <v>190.35</v>
      </c>
      <c r="R69">
        <v>1477</v>
      </c>
    </row>
    <row r="70" spans="1:18" x14ac:dyDescent="0.25">
      <c r="A70" s="170">
        <v>42103</v>
      </c>
      <c r="B70" s="116">
        <v>39.519999999999996</v>
      </c>
      <c r="C70" s="116">
        <v>39.4</v>
      </c>
      <c r="D70" s="116">
        <v>37.799999999999997</v>
      </c>
      <c r="E70" s="116">
        <v>38.6</v>
      </c>
      <c r="F70" s="116">
        <v>197</v>
      </c>
      <c r="G70">
        <v>9</v>
      </c>
      <c r="H70" s="116"/>
      <c r="I70" s="116"/>
      <c r="L70" s="170">
        <v>42104</v>
      </c>
      <c r="M70" s="116">
        <v>39.9</v>
      </c>
      <c r="N70" s="116">
        <v>40.989999999999995</v>
      </c>
      <c r="O70" s="116">
        <v>38.06</v>
      </c>
      <c r="P70" s="116">
        <v>38.07</v>
      </c>
      <c r="Q70" s="116">
        <v>199.5</v>
      </c>
      <c r="R70">
        <v>2598</v>
      </c>
    </row>
    <row r="71" spans="1:18" x14ac:dyDescent="0.25">
      <c r="A71" s="170">
        <v>42104</v>
      </c>
      <c r="B71" s="116">
        <v>40.4</v>
      </c>
      <c r="C71" s="116">
        <v>39.6</v>
      </c>
      <c r="D71" s="116">
        <v>37.6</v>
      </c>
      <c r="E71" s="116">
        <v>37.6</v>
      </c>
      <c r="F71" s="116">
        <v>198</v>
      </c>
      <c r="G71">
        <v>946</v>
      </c>
      <c r="H71" s="116"/>
      <c r="I71" s="116"/>
      <c r="L71" s="170">
        <v>42107</v>
      </c>
      <c r="M71" s="116">
        <v>39.630000000000003</v>
      </c>
      <c r="N71" s="116">
        <v>40.380000000000003</v>
      </c>
      <c r="O71" s="116">
        <v>38.799999999999997</v>
      </c>
      <c r="P71" s="116">
        <v>39.910000000000004</v>
      </c>
      <c r="Q71" s="116">
        <v>198.15</v>
      </c>
      <c r="R71">
        <v>1356</v>
      </c>
    </row>
    <row r="72" spans="1:18" x14ac:dyDescent="0.25">
      <c r="A72" s="170">
        <v>42107</v>
      </c>
      <c r="B72" s="116">
        <v>40.6</v>
      </c>
      <c r="C72" s="116">
        <v>40</v>
      </c>
      <c r="D72" s="116">
        <v>38.64</v>
      </c>
      <c r="E72" s="116">
        <v>38.64</v>
      </c>
      <c r="F72" s="116">
        <v>200</v>
      </c>
      <c r="G72">
        <v>127</v>
      </c>
      <c r="H72" s="116"/>
      <c r="I72" s="116"/>
      <c r="L72" s="170">
        <v>42109</v>
      </c>
      <c r="M72" s="116">
        <v>39.83</v>
      </c>
      <c r="N72" s="116">
        <v>40.6</v>
      </c>
      <c r="O72" s="116">
        <v>39.64</v>
      </c>
      <c r="P72" s="116">
        <v>39.799999999999997</v>
      </c>
      <c r="Q72" s="116">
        <v>199.15</v>
      </c>
      <c r="R72">
        <v>103</v>
      </c>
    </row>
    <row r="73" spans="1:18" x14ac:dyDescent="0.25">
      <c r="A73" s="170">
        <v>42109</v>
      </c>
      <c r="B73" s="116">
        <v>40.6</v>
      </c>
      <c r="C73" s="116">
        <v>40.6</v>
      </c>
      <c r="D73" s="116">
        <v>40.6</v>
      </c>
      <c r="E73" s="116">
        <v>40.6</v>
      </c>
      <c r="F73" s="116">
        <v>203</v>
      </c>
      <c r="G73">
        <v>1</v>
      </c>
      <c r="H73" s="116"/>
      <c r="I73" s="116"/>
      <c r="L73" s="170">
        <v>42110</v>
      </c>
      <c r="M73" s="116">
        <v>39.989999999999995</v>
      </c>
      <c r="N73" s="116">
        <v>40.200000000000003</v>
      </c>
      <c r="O73" s="116">
        <v>38.72</v>
      </c>
      <c r="P73" s="116">
        <v>39.83</v>
      </c>
      <c r="Q73" s="116">
        <v>199.95</v>
      </c>
      <c r="R73">
        <v>7454</v>
      </c>
    </row>
    <row r="74" spans="1:18" x14ac:dyDescent="0.25">
      <c r="A74" s="170">
        <v>42110</v>
      </c>
      <c r="B74" s="116">
        <v>40.6</v>
      </c>
      <c r="C74" s="116">
        <v>39.799999999999997</v>
      </c>
      <c r="D74" s="116">
        <v>39.799999999999997</v>
      </c>
      <c r="E74" s="116">
        <v>40.6</v>
      </c>
      <c r="F74" s="116">
        <v>199</v>
      </c>
      <c r="G74">
        <v>80</v>
      </c>
      <c r="H74" s="116"/>
      <c r="I74" s="116"/>
      <c r="L74" s="170">
        <v>42111</v>
      </c>
      <c r="M74" s="116">
        <v>39.28</v>
      </c>
      <c r="N74" s="116">
        <v>39.619999999999997</v>
      </c>
      <c r="O74" s="116">
        <v>39.1</v>
      </c>
      <c r="P74" s="116">
        <v>39.4</v>
      </c>
      <c r="Q74" s="116">
        <v>196.4</v>
      </c>
      <c r="R74">
        <v>231</v>
      </c>
    </row>
    <row r="75" spans="1:18" x14ac:dyDescent="0.25">
      <c r="A75" s="170">
        <v>42111</v>
      </c>
      <c r="B75" s="116">
        <v>40.46</v>
      </c>
      <c r="C75" s="116">
        <v>40.46</v>
      </c>
      <c r="D75" s="116">
        <v>40.46</v>
      </c>
      <c r="E75" s="116">
        <v>40.46</v>
      </c>
      <c r="F75" s="116">
        <v>202.3</v>
      </c>
      <c r="G75">
        <v>2</v>
      </c>
      <c r="H75" s="116"/>
      <c r="I75" s="116"/>
      <c r="L75" s="170">
        <v>42114</v>
      </c>
      <c r="M75" s="116">
        <v>38.25</v>
      </c>
      <c r="N75" s="116">
        <v>39.15</v>
      </c>
      <c r="O75" s="116">
        <v>37.42</v>
      </c>
      <c r="P75" s="116">
        <v>39.15</v>
      </c>
      <c r="Q75" s="116">
        <v>191.25</v>
      </c>
      <c r="R75">
        <v>936</v>
      </c>
    </row>
    <row r="76" spans="1:18" x14ac:dyDescent="0.25">
      <c r="A76" s="170">
        <v>42114</v>
      </c>
      <c r="B76" s="116">
        <v>41</v>
      </c>
      <c r="C76" s="116">
        <v>37.839999999999996</v>
      </c>
      <c r="D76" s="116">
        <v>37.6</v>
      </c>
      <c r="E76" s="116">
        <v>41</v>
      </c>
      <c r="F76" s="116">
        <v>189.2</v>
      </c>
      <c r="G76">
        <v>1802</v>
      </c>
      <c r="H76" s="116"/>
      <c r="I76" s="116"/>
      <c r="L76" s="170">
        <v>42115</v>
      </c>
      <c r="M76" s="116">
        <v>39.82</v>
      </c>
      <c r="N76" s="116">
        <v>40.799999999999997</v>
      </c>
      <c r="O76" s="116">
        <v>38.54</v>
      </c>
      <c r="P76" s="116">
        <v>38.54</v>
      </c>
      <c r="Q76" s="116">
        <v>199.1</v>
      </c>
      <c r="R76">
        <v>318</v>
      </c>
    </row>
    <row r="77" spans="1:18" x14ac:dyDescent="0.25">
      <c r="A77" s="170">
        <v>42115</v>
      </c>
      <c r="B77" s="116">
        <v>40</v>
      </c>
      <c r="C77" s="116">
        <v>40</v>
      </c>
      <c r="D77" s="116">
        <v>37.839999999999996</v>
      </c>
      <c r="E77" s="116">
        <v>37.839999999999996</v>
      </c>
      <c r="F77" s="116">
        <v>200</v>
      </c>
      <c r="G77">
        <v>33</v>
      </c>
      <c r="H77" s="116"/>
      <c r="I77" s="116"/>
      <c r="L77" s="170">
        <v>42116</v>
      </c>
      <c r="M77" s="116">
        <v>39.07</v>
      </c>
      <c r="N77" s="116">
        <v>39.980000000000004</v>
      </c>
      <c r="O77" s="116">
        <v>37.61</v>
      </c>
      <c r="P77" s="116">
        <v>39.96</v>
      </c>
      <c r="Q77" s="116">
        <v>195.35</v>
      </c>
      <c r="R77">
        <v>705</v>
      </c>
    </row>
    <row r="78" spans="1:18" x14ac:dyDescent="0.25">
      <c r="A78" s="170">
        <v>42116</v>
      </c>
      <c r="B78" s="116">
        <v>40.4</v>
      </c>
      <c r="C78" s="116">
        <v>39.119999999999997</v>
      </c>
      <c r="D78" s="116">
        <v>38.019999999999996</v>
      </c>
      <c r="E78" s="116">
        <v>40.4</v>
      </c>
      <c r="F78" s="116">
        <v>195.6</v>
      </c>
      <c r="G78">
        <v>162</v>
      </c>
      <c r="H78" s="116"/>
      <c r="I78" s="116"/>
      <c r="L78" s="170">
        <v>42117</v>
      </c>
      <c r="M78" s="116">
        <v>38.089999999999996</v>
      </c>
      <c r="N78" s="116">
        <v>41.589999999999996</v>
      </c>
      <c r="O78" s="116">
        <v>37.260000000000005</v>
      </c>
      <c r="P78" s="116">
        <v>41.589999999999996</v>
      </c>
      <c r="Q78" s="116">
        <v>190.45</v>
      </c>
      <c r="R78">
        <v>571</v>
      </c>
    </row>
    <row r="79" spans="1:18" x14ac:dyDescent="0.25">
      <c r="A79" s="170">
        <v>42117</v>
      </c>
      <c r="B79" s="116">
        <v>39</v>
      </c>
      <c r="C79" s="116">
        <v>38.06</v>
      </c>
      <c r="D79" s="116">
        <v>38.019999999999996</v>
      </c>
      <c r="E79" s="116">
        <v>38.44</v>
      </c>
      <c r="F79" s="116">
        <v>190.3</v>
      </c>
      <c r="G79">
        <v>132</v>
      </c>
      <c r="H79" s="116"/>
      <c r="I79" s="116"/>
      <c r="L79" s="170">
        <v>42118</v>
      </c>
      <c r="M79" s="116">
        <v>37.839999999999996</v>
      </c>
      <c r="N79" s="116">
        <v>40.72</v>
      </c>
      <c r="O79" s="116">
        <v>37.799999999999997</v>
      </c>
      <c r="P79" s="116">
        <v>37.989999999999995</v>
      </c>
      <c r="Q79" s="116">
        <v>189.2</v>
      </c>
      <c r="R79">
        <v>838</v>
      </c>
    </row>
    <row r="80" spans="1:18" x14ac:dyDescent="0.25">
      <c r="A80" s="170">
        <v>42118</v>
      </c>
      <c r="B80" s="116">
        <v>39</v>
      </c>
      <c r="C80" s="116">
        <v>37.64</v>
      </c>
      <c r="D80" s="116">
        <v>37.6</v>
      </c>
      <c r="E80" s="116">
        <v>38</v>
      </c>
      <c r="F80" s="116">
        <v>188.2</v>
      </c>
      <c r="G80">
        <v>185</v>
      </c>
      <c r="H80" s="116"/>
      <c r="I80" s="116"/>
      <c r="L80" s="170">
        <v>42121</v>
      </c>
      <c r="M80" s="116">
        <v>36.86</v>
      </c>
      <c r="N80" s="116">
        <v>37.22</v>
      </c>
      <c r="O80" s="116">
        <v>36.799999999999997</v>
      </c>
      <c r="P80" s="116">
        <v>37.22</v>
      </c>
      <c r="Q80" s="116">
        <v>184.3</v>
      </c>
      <c r="R80">
        <v>238</v>
      </c>
    </row>
    <row r="81" spans="1:18" x14ac:dyDescent="0.25">
      <c r="A81" s="170">
        <v>42121</v>
      </c>
      <c r="B81" s="116">
        <v>37.64</v>
      </c>
      <c r="C81" s="116">
        <v>37.22</v>
      </c>
      <c r="D81" s="116">
        <v>37.200000000000003</v>
      </c>
      <c r="E81" s="116">
        <v>37.64</v>
      </c>
      <c r="F81" s="116">
        <v>186.1</v>
      </c>
      <c r="G81">
        <v>101</v>
      </c>
      <c r="H81" s="116"/>
      <c r="I81" s="116"/>
      <c r="L81" s="170">
        <v>42122</v>
      </c>
      <c r="M81" s="116">
        <v>38</v>
      </c>
      <c r="N81" s="116">
        <v>39.97</v>
      </c>
      <c r="O81" s="116">
        <v>36.46</v>
      </c>
      <c r="P81" s="116">
        <v>36.46</v>
      </c>
      <c r="Q81" s="116">
        <v>190</v>
      </c>
      <c r="R81">
        <v>427</v>
      </c>
    </row>
    <row r="82" spans="1:18" x14ac:dyDescent="0.25">
      <c r="A82" s="170">
        <v>42122</v>
      </c>
      <c r="B82" s="116">
        <v>38.980000000000004</v>
      </c>
      <c r="C82" s="116">
        <v>38.980000000000004</v>
      </c>
      <c r="D82" s="116">
        <v>37</v>
      </c>
      <c r="E82" s="116">
        <v>37</v>
      </c>
      <c r="F82" s="116">
        <v>194.9</v>
      </c>
      <c r="G82">
        <v>38</v>
      </c>
      <c r="H82" s="116"/>
      <c r="I82" s="116"/>
      <c r="L82" s="170">
        <v>42123</v>
      </c>
      <c r="M82" s="116">
        <v>36.589999999999996</v>
      </c>
      <c r="N82" s="116">
        <v>37.799999999999997</v>
      </c>
      <c r="O82" s="116">
        <v>36.21</v>
      </c>
      <c r="P82" s="116">
        <v>37.6</v>
      </c>
      <c r="Q82" s="116">
        <v>182.95</v>
      </c>
      <c r="R82">
        <v>2424</v>
      </c>
    </row>
    <row r="83" spans="1:18" x14ac:dyDescent="0.25">
      <c r="A83" s="170">
        <v>42123</v>
      </c>
      <c r="B83" s="116">
        <v>39.799999999999997</v>
      </c>
      <c r="C83" s="116">
        <v>36.28</v>
      </c>
      <c r="D83" s="116">
        <v>36</v>
      </c>
      <c r="E83" s="116">
        <v>39.799999999999997</v>
      </c>
      <c r="F83" s="116">
        <v>181.4</v>
      </c>
      <c r="G83">
        <v>764</v>
      </c>
      <c r="H83" s="116"/>
      <c r="I83" s="116"/>
      <c r="L83" s="170">
        <v>42124</v>
      </c>
      <c r="M83" s="116">
        <v>37.510000000000005</v>
      </c>
      <c r="N83" s="116">
        <v>38.519999999999996</v>
      </c>
      <c r="O83" s="116">
        <v>36.21</v>
      </c>
      <c r="P83" s="116">
        <v>36.21</v>
      </c>
      <c r="Q83" s="116">
        <v>187.55</v>
      </c>
      <c r="R83">
        <v>363</v>
      </c>
    </row>
    <row r="84" spans="1:18" x14ac:dyDescent="0.25">
      <c r="A84" s="170">
        <v>42124</v>
      </c>
      <c r="B84" s="116">
        <v>38</v>
      </c>
      <c r="C84" s="116">
        <v>37.6</v>
      </c>
      <c r="D84" s="116">
        <v>36.4</v>
      </c>
      <c r="E84" s="116">
        <v>38</v>
      </c>
      <c r="F84" s="116">
        <v>188</v>
      </c>
      <c r="G84">
        <v>253</v>
      </c>
      <c r="H84" s="116"/>
      <c r="I84" s="116"/>
      <c r="L84" s="170">
        <v>42128</v>
      </c>
      <c r="M84" s="116">
        <v>38</v>
      </c>
      <c r="N84" s="116">
        <v>38.799999999999997</v>
      </c>
      <c r="O84" s="116">
        <v>37.56</v>
      </c>
      <c r="P84" s="116">
        <v>38</v>
      </c>
      <c r="Q84" s="116">
        <v>190</v>
      </c>
      <c r="R84">
        <v>388</v>
      </c>
    </row>
    <row r="85" spans="1:18" x14ac:dyDescent="0.25">
      <c r="A85" s="170">
        <v>42131</v>
      </c>
      <c r="B85" s="116">
        <v>37.9</v>
      </c>
      <c r="C85" s="116">
        <v>37.9</v>
      </c>
      <c r="D85" s="116">
        <v>35.92</v>
      </c>
      <c r="E85" s="116">
        <v>35.92</v>
      </c>
      <c r="F85" s="116">
        <v>189.5</v>
      </c>
      <c r="G85">
        <v>112</v>
      </c>
      <c r="H85" s="116"/>
      <c r="I85" s="116"/>
      <c r="L85" s="170">
        <v>42129</v>
      </c>
      <c r="M85" s="116">
        <v>38.36</v>
      </c>
      <c r="N85" s="116">
        <v>38.4</v>
      </c>
      <c r="O85" s="116">
        <v>37.260000000000005</v>
      </c>
      <c r="P85" s="116">
        <v>38</v>
      </c>
      <c r="Q85" s="116">
        <v>191.8</v>
      </c>
      <c r="R85">
        <v>71</v>
      </c>
    </row>
    <row r="86" spans="1:18" x14ac:dyDescent="0.25">
      <c r="A86" s="170">
        <v>42132</v>
      </c>
      <c r="B86" s="116">
        <v>38.200000000000003</v>
      </c>
      <c r="C86" s="116">
        <v>36.4</v>
      </c>
      <c r="D86" s="116">
        <v>36.4</v>
      </c>
      <c r="E86" s="116">
        <v>38.200000000000003</v>
      </c>
      <c r="F86" s="116">
        <v>182</v>
      </c>
      <c r="G86">
        <v>32</v>
      </c>
      <c r="H86" s="116"/>
      <c r="I86" s="116"/>
      <c r="L86" s="170">
        <v>42130</v>
      </c>
      <c r="M86" s="116">
        <v>36.42</v>
      </c>
      <c r="N86" s="116">
        <v>38.299999999999997</v>
      </c>
      <c r="O86" s="116">
        <v>36.21</v>
      </c>
      <c r="P86" s="116">
        <v>38.299999999999997</v>
      </c>
      <c r="Q86" s="116">
        <v>182.1</v>
      </c>
      <c r="R86">
        <v>1027</v>
      </c>
    </row>
    <row r="87" spans="1:18" x14ac:dyDescent="0.25">
      <c r="A87" s="170">
        <v>42135</v>
      </c>
      <c r="B87" s="116">
        <v>39</v>
      </c>
      <c r="C87" s="116">
        <v>39</v>
      </c>
      <c r="D87" s="116">
        <v>38.980000000000004</v>
      </c>
      <c r="E87" s="116">
        <v>39</v>
      </c>
      <c r="F87" s="116">
        <v>195</v>
      </c>
      <c r="G87">
        <v>81</v>
      </c>
      <c r="H87" s="116"/>
      <c r="I87" s="116"/>
      <c r="L87" s="170">
        <v>42131</v>
      </c>
      <c r="M87" s="116">
        <v>37.4</v>
      </c>
      <c r="N87" s="116">
        <v>39.78</v>
      </c>
      <c r="O87" s="116">
        <v>36.47</v>
      </c>
      <c r="P87" s="116">
        <v>38.6</v>
      </c>
      <c r="Q87" s="116">
        <v>187</v>
      </c>
      <c r="R87">
        <v>788</v>
      </c>
    </row>
    <row r="88" spans="1:18" x14ac:dyDescent="0.25">
      <c r="A88" s="170">
        <v>42136</v>
      </c>
      <c r="B88" s="116">
        <v>38</v>
      </c>
      <c r="C88" s="116">
        <v>36.619999999999997</v>
      </c>
      <c r="D88" s="116">
        <v>36.6</v>
      </c>
      <c r="E88" s="116">
        <v>38</v>
      </c>
      <c r="F88" s="116">
        <v>183.1</v>
      </c>
      <c r="G88">
        <v>39</v>
      </c>
      <c r="H88" s="116"/>
      <c r="I88" s="116"/>
      <c r="L88" s="170">
        <v>42132</v>
      </c>
      <c r="M88" s="116">
        <v>36.9</v>
      </c>
      <c r="N88" s="116">
        <v>37.78</v>
      </c>
      <c r="O88" s="116">
        <v>36.6</v>
      </c>
      <c r="P88" s="116">
        <v>37.14</v>
      </c>
      <c r="Q88" s="116">
        <v>184.5</v>
      </c>
      <c r="R88">
        <v>779</v>
      </c>
    </row>
    <row r="89" spans="1:18" x14ac:dyDescent="0.25">
      <c r="A89" s="170">
        <v>42137</v>
      </c>
      <c r="B89" s="116">
        <v>38.799999999999997</v>
      </c>
      <c r="C89" s="116">
        <v>38.239999999999995</v>
      </c>
      <c r="D89" s="116">
        <v>38.200000000000003</v>
      </c>
      <c r="E89" s="116">
        <v>38.799999999999997</v>
      </c>
      <c r="F89" s="116">
        <v>191.2</v>
      </c>
      <c r="G89">
        <v>15</v>
      </c>
      <c r="H89" s="116"/>
      <c r="I89" s="116"/>
      <c r="L89" s="170">
        <v>42135</v>
      </c>
      <c r="M89" s="116">
        <v>38.200000000000003</v>
      </c>
      <c r="N89" s="116">
        <v>38.6</v>
      </c>
      <c r="O89" s="116">
        <v>36.730000000000004</v>
      </c>
      <c r="P89" s="116">
        <v>38.200000000000003</v>
      </c>
      <c r="Q89" s="116">
        <v>191</v>
      </c>
      <c r="R89">
        <v>640</v>
      </c>
    </row>
    <row r="90" spans="1:18" x14ac:dyDescent="0.25">
      <c r="A90" s="170">
        <v>42138</v>
      </c>
      <c r="B90" s="116">
        <v>37</v>
      </c>
      <c r="C90" s="116">
        <v>36.6</v>
      </c>
      <c r="D90" s="116">
        <v>36.4</v>
      </c>
      <c r="E90" s="116">
        <v>36.4</v>
      </c>
      <c r="F90" s="116">
        <v>183</v>
      </c>
      <c r="G90">
        <v>40</v>
      </c>
      <c r="H90" s="116"/>
      <c r="I90" s="116"/>
      <c r="L90" s="170">
        <v>42136</v>
      </c>
      <c r="M90" s="116">
        <v>37.65</v>
      </c>
      <c r="N90" s="116">
        <v>37.700000000000003</v>
      </c>
      <c r="O90" s="116">
        <v>37.64</v>
      </c>
      <c r="P90" s="116">
        <v>37.64</v>
      </c>
      <c r="Q90" s="116">
        <v>188.25</v>
      </c>
      <c r="R90">
        <v>39</v>
      </c>
    </row>
    <row r="91" spans="1:18" x14ac:dyDescent="0.25">
      <c r="A91" s="170">
        <v>42139</v>
      </c>
      <c r="B91" s="116">
        <v>38.18</v>
      </c>
      <c r="C91" s="116">
        <v>38.18</v>
      </c>
      <c r="D91" s="116">
        <v>38</v>
      </c>
      <c r="E91" s="116">
        <v>38</v>
      </c>
      <c r="F91" s="116">
        <v>190.9</v>
      </c>
      <c r="G91">
        <v>32</v>
      </c>
      <c r="H91" s="116"/>
      <c r="I91" s="116"/>
      <c r="L91" s="170">
        <v>42137</v>
      </c>
      <c r="M91" s="116">
        <v>36.92</v>
      </c>
      <c r="N91" s="116">
        <v>38</v>
      </c>
      <c r="O91" s="116">
        <v>36.5</v>
      </c>
      <c r="P91" s="116">
        <v>38</v>
      </c>
      <c r="Q91" s="116">
        <v>184.6</v>
      </c>
      <c r="R91">
        <v>344</v>
      </c>
    </row>
    <row r="92" spans="1:18" x14ac:dyDescent="0.25">
      <c r="A92" s="170">
        <v>42142</v>
      </c>
      <c r="B92" s="116">
        <v>37.44</v>
      </c>
      <c r="C92" s="116">
        <v>36.86</v>
      </c>
      <c r="D92" s="116">
        <v>36.660000000000004</v>
      </c>
      <c r="E92" s="116">
        <v>36.660000000000004</v>
      </c>
      <c r="F92" s="116">
        <v>184.3</v>
      </c>
      <c r="G92">
        <v>476</v>
      </c>
      <c r="H92" s="116"/>
      <c r="I92" s="116"/>
      <c r="L92" s="170">
        <v>42138</v>
      </c>
      <c r="M92" s="116">
        <v>36.92</v>
      </c>
      <c r="N92" s="116">
        <v>36.92</v>
      </c>
      <c r="O92" s="116">
        <v>36.92</v>
      </c>
      <c r="P92" s="116">
        <v>36.92</v>
      </c>
      <c r="Q92" s="116">
        <v>184.6</v>
      </c>
      <c r="R92">
        <v>1</v>
      </c>
    </row>
    <row r="93" spans="1:18" x14ac:dyDescent="0.25">
      <c r="A93" s="170">
        <v>42143</v>
      </c>
      <c r="B93" s="116">
        <v>37.200000000000003</v>
      </c>
      <c r="C93" s="116">
        <v>36.700000000000003</v>
      </c>
      <c r="D93" s="116">
        <v>36.299999999999997</v>
      </c>
      <c r="E93" s="116">
        <v>36.32</v>
      </c>
      <c r="F93" s="116">
        <v>183.5</v>
      </c>
      <c r="G93">
        <v>904</v>
      </c>
      <c r="H93" s="116"/>
      <c r="I93" s="116"/>
      <c r="L93" s="170">
        <v>42139</v>
      </c>
      <c r="M93" s="116">
        <v>37.25</v>
      </c>
      <c r="N93" s="116">
        <v>38.75</v>
      </c>
      <c r="O93" s="116">
        <v>37.25</v>
      </c>
      <c r="P93" s="116">
        <v>38.6</v>
      </c>
      <c r="Q93" s="116">
        <v>186.25</v>
      </c>
      <c r="R93">
        <v>432</v>
      </c>
    </row>
    <row r="94" spans="1:18" x14ac:dyDescent="0.25">
      <c r="A94" s="170">
        <v>42144</v>
      </c>
      <c r="B94" s="116">
        <v>38.18</v>
      </c>
      <c r="C94" s="116">
        <v>37.1</v>
      </c>
      <c r="D94" s="116">
        <v>36.839999999999996</v>
      </c>
      <c r="E94" s="116">
        <v>38.18</v>
      </c>
      <c r="F94" s="116">
        <v>185.5</v>
      </c>
      <c r="G94">
        <v>50211</v>
      </c>
      <c r="H94" s="116"/>
      <c r="I94" s="116"/>
      <c r="L94" s="170">
        <v>42142</v>
      </c>
      <c r="M94" s="116">
        <v>37.42</v>
      </c>
      <c r="N94" s="116">
        <v>37.799999999999997</v>
      </c>
      <c r="O94" s="116">
        <v>37.25</v>
      </c>
      <c r="P94" s="116">
        <v>37.799999999999997</v>
      </c>
      <c r="Q94" s="116">
        <v>187.1</v>
      </c>
      <c r="R94">
        <v>423</v>
      </c>
    </row>
    <row r="95" spans="1:18" x14ac:dyDescent="0.25">
      <c r="A95" s="170">
        <v>42145</v>
      </c>
      <c r="B95" s="116">
        <v>37.299999999999997</v>
      </c>
      <c r="C95" s="116">
        <v>36.980000000000004</v>
      </c>
      <c r="D95" s="116">
        <v>36.1</v>
      </c>
      <c r="E95" s="116">
        <v>36.799999999999997</v>
      </c>
      <c r="F95" s="116">
        <v>184.9</v>
      </c>
      <c r="G95">
        <v>150172</v>
      </c>
      <c r="H95" s="116"/>
      <c r="I95" s="116"/>
      <c r="L95" s="170">
        <v>42143</v>
      </c>
      <c r="M95" s="116">
        <v>36.71</v>
      </c>
      <c r="N95" s="116">
        <v>37.4</v>
      </c>
      <c r="O95" s="116">
        <v>36.64</v>
      </c>
      <c r="P95" s="116">
        <v>37</v>
      </c>
      <c r="Q95" s="116">
        <v>183.55</v>
      </c>
      <c r="R95">
        <v>153</v>
      </c>
    </row>
    <row r="96" spans="1:18" x14ac:dyDescent="0.25">
      <c r="A96" s="170">
        <v>42146</v>
      </c>
      <c r="B96" s="116">
        <v>37.9</v>
      </c>
      <c r="C96" s="116">
        <v>37.019999999999996</v>
      </c>
      <c r="D96" s="116">
        <v>36.92</v>
      </c>
      <c r="E96" s="116">
        <v>37.08</v>
      </c>
      <c r="F96" s="116">
        <v>185.1</v>
      </c>
      <c r="G96">
        <v>51772</v>
      </c>
      <c r="H96" s="116"/>
      <c r="I96" s="116"/>
      <c r="L96" s="170">
        <v>42144</v>
      </c>
      <c r="M96" s="116">
        <v>37.739999999999995</v>
      </c>
      <c r="N96" s="116">
        <v>37.93</v>
      </c>
      <c r="O96" s="116">
        <v>36.6</v>
      </c>
      <c r="P96" s="116">
        <v>37</v>
      </c>
      <c r="Q96" s="116">
        <v>188.7</v>
      </c>
      <c r="R96">
        <v>1265</v>
      </c>
    </row>
    <row r="97" spans="1:18" x14ac:dyDescent="0.25">
      <c r="A97" s="170">
        <v>42149</v>
      </c>
      <c r="B97" s="116">
        <v>38</v>
      </c>
      <c r="C97" s="116">
        <v>36.760000000000005</v>
      </c>
      <c r="D97" s="116">
        <v>36.4</v>
      </c>
      <c r="E97" s="116">
        <v>38</v>
      </c>
      <c r="F97" s="116">
        <v>183.8</v>
      </c>
      <c r="G97">
        <v>1914</v>
      </c>
      <c r="H97" s="116"/>
      <c r="I97" s="116"/>
      <c r="L97" s="170">
        <v>42145</v>
      </c>
      <c r="M97" s="116">
        <v>37</v>
      </c>
      <c r="N97" s="116">
        <v>37.200000000000003</v>
      </c>
      <c r="O97" s="116">
        <v>36.730000000000004</v>
      </c>
      <c r="P97" s="116">
        <v>37.200000000000003</v>
      </c>
      <c r="Q97" s="116">
        <v>185</v>
      </c>
      <c r="R97">
        <v>331</v>
      </c>
    </row>
    <row r="98" spans="1:18" x14ac:dyDescent="0.25">
      <c r="A98" s="170">
        <v>42150</v>
      </c>
      <c r="B98" s="116">
        <v>38</v>
      </c>
      <c r="C98" s="116">
        <v>37.799999999999997</v>
      </c>
      <c r="D98" s="116">
        <v>37.6</v>
      </c>
      <c r="E98" s="116">
        <v>38</v>
      </c>
      <c r="F98" s="116">
        <v>189</v>
      </c>
      <c r="G98">
        <v>2</v>
      </c>
      <c r="H98" s="116"/>
      <c r="I98" s="116"/>
      <c r="L98" s="170">
        <v>42146</v>
      </c>
      <c r="M98" s="116">
        <v>37.230000000000004</v>
      </c>
      <c r="N98" s="116">
        <v>38.33</v>
      </c>
      <c r="O98" s="116">
        <v>37.010000000000005</v>
      </c>
      <c r="P98" s="116">
        <v>37.1</v>
      </c>
      <c r="Q98" s="116">
        <v>186.15</v>
      </c>
      <c r="R98">
        <v>192</v>
      </c>
    </row>
    <row r="99" spans="1:18" x14ac:dyDescent="0.25">
      <c r="A99" s="170">
        <v>42151</v>
      </c>
      <c r="B99" s="116">
        <v>39.58</v>
      </c>
      <c r="C99" s="116">
        <v>36.96</v>
      </c>
      <c r="D99" s="116">
        <v>36.799999999999997</v>
      </c>
      <c r="E99" s="116">
        <v>39.58</v>
      </c>
      <c r="F99" s="116">
        <v>184.8</v>
      </c>
      <c r="G99">
        <v>304</v>
      </c>
      <c r="H99" s="116"/>
      <c r="I99" s="116"/>
      <c r="L99" s="170">
        <v>42149</v>
      </c>
      <c r="M99" s="116">
        <v>36.71</v>
      </c>
      <c r="N99" s="116">
        <v>38</v>
      </c>
      <c r="O99" s="116">
        <v>36.6</v>
      </c>
      <c r="P99" s="116">
        <v>38</v>
      </c>
      <c r="Q99" s="116">
        <v>183.55</v>
      </c>
      <c r="R99">
        <v>164</v>
      </c>
    </row>
    <row r="100" spans="1:18" x14ac:dyDescent="0.25">
      <c r="A100" s="170">
        <v>42152</v>
      </c>
      <c r="B100" s="116">
        <v>38.980000000000004</v>
      </c>
      <c r="C100" s="116">
        <v>37</v>
      </c>
      <c r="D100" s="116">
        <v>36.96</v>
      </c>
      <c r="E100" s="116">
        <v>37.019999999999996</v>
      </c>
      <c r="F100" s="116">
        <v>185</v>
      </c>
      <c r="G100">
        <v>138</v>
      </c>
      <c r="H100" s="116"/>
      <c r="I100" s="116"/>
      <c r="L100" s="170">
        <v>42150</v>
      </c>
      <c r="M100" s="116">
        <v>36.950000000000003</v>
      </c>
      <c r="N100" s="116">
        <v>37.61</v>
      </c>
      <c r="O100" s="116">
        <v>36.6</v>
      </c>
      <c r="P100" s="116">
        <v>37.010000000000005</v>
      </c>
      <c r="Q100" s="116">
        <v>184.75</v>
      </c>
      <c r="R100">
        <v>881</v>
      </c>
    </row>
    <row r="101" spans="1:18" x14ac:dyDescent="0.25">
      <c r="A101" s="170">
        <v>42153</v>
      </c>
      <c r="B101" s="116">
        <v>38</v>
      </c>
      <c r="C101" s="116">
        <v>38</v>
      </c>
      <c r="D101" s="116">
        <v>37.799999999999997</v>
      </c>
      <c r="E101" s="116">
        <v>38</v>
      </c>
      <c r="F101" s="116">
        <v>190</v>
      </c>
      <c r="G101">
        <v>291</v>
      </c>
      <c r="H101" s="116"/>
      <c r="I101" s="116"/>
      <c r="L101" s="170">
        <v>42151</v>
      </c>
      <c r="M101" s="116">
        <v>36.869999999999997</v>
      </c>
      <c r="N101" s="116">
        <v>37.4</v>
      </c>
      <c r="O101" s="116">
        <v>36.75</v>
      </c>
      <c r="P101" s="116">
        <v>37.4</v>
      </c>
      <c r="Q101" s="116">
        <v>184.35</v>
      </c>
      <c r="R101">
        <v>298</v>
      </c>
    </row>
    <row r="102" spans="1:18" x14ac:dyDescent="0.25">
      <c r="A102" s="170">
        <v>42156</v>
      </c>
      <c r="B102" s="116">
        <v>38</v>
      </c>
      <c r="C102" s="116">
        <v>37.4</v>
      </c>
      <c r="D102" s="116">
        <v>36.46</v>
      </c>
      <c r="E102" s="116">
        <v>36.46</v>
      </c>
      <c r="F102" s="116">
        <v>187</v>
      </c>
      <c r="G102">
        <v>1851</v>
      </c>
      <c r="H102" s="116"/>
      <c r="I102" s="116"/>
      <c r="L102" s="170">
        <v>42152</v>
      </c>
      <c r="M102" s="116">
        <v>36.549999999999997</v>
      </c>
      <c r="N102" s="116">
        <v>37.019999999999996</v>
      </c>
      <c r="O102" s="116">
        <v>36.4</v>
      </c>
      <c r="P102" s="116">
        <v>37.019999999999996</v>
      </c>
      <c r="Q102" s="116">
        <v>182.75</v>
      </c>
      <c r="R102">
        <v>610</v>
      </c>
    </row>
    <row r="103" spans="1:18" x14ac:dyDescent="0.25">
      <c r="A103" s="170">
        <v>42157</v>
      </c>
      <c r="B103" s="116">
        <v>39.6</v>
      </c>
      <c r="C103" s="116">
        <v>39.42</v>
      </c>
      <c r="D103" s="116">
        <v>37.019999999999996</v>
      </c>
      <c r="E103" s="116">
        <v>37.019999999999996</v>
      </c>
      <c r="F103" s="116">
        <v>197.1</v>
      </c>
      <c r="G103">
        <v>322</v>
      </c>
      <c r="H103" s="116"/>
      <c r="I103" s="116"/>
      <c r="L103" s="170">
        <v>42153</v>
      </c>
      <c r="M103" s="116">
        <v>38.089999999999996</v>
      </c>
      <c r="N103" s="116">
        <v>38.4</v>
      </c>
      <c r="O103" s="116">
        <v>36.42</v>
      </c>
      <c r="P103" s="116">
        <v>36.42</v>
      </c>
      <c r="Q103" s="116">
        <v>190.45</v>
      </c>
      <c r="R103">
        <v>891</v>
      </c>
    </row>
    <row r="104" spans="1:18" x14ac:dyDescent="0.25">
      <c r="A104" s="170">
        <v>42158</v>
      </c>
      <c r="B104" s="116">
        <v>41</v>
      </c>
      <c r="C104" s="116">
        <v>40.200000000000003</v>
      </c>
      <c r="D104" s="116">
        <v>37.799999999999997</v>
      </c>
      <c r="E104" s="116">
        <v>39.799999999999997</v>
      </c>
      <c r="F104" s="116">
        <v>201</v>
      </c>
      <c r="G104">
        <v>6155</v>
      </c>
      <c r="H104" s="116"/>
      <c r="I104" s="116"/>
      <c r="L104" s="170">
        <v>42156</v>
      </c>
      <c r="M104" s="116">
        <v>37.83</v>
      </c>
      <c r="N104" s="116">
        <v>38</v>
      </c>
      <c r="O104" s="116">
        <v>36.6</v>
      </c>
      <c r="P104" s="116">
        <v>37.200000000000003</v>
      </c>
      <c r="Q104" s="116">
        <v>189.15</v>
      </c>
      <c r="R104">
        <v>2302</v>
      </c>
    </row>
    <row r="105" spans="1:18" x14ac:dyDescent="0.25">
      <c r="A105" s="170">
        <v>42159</v>
      </c>
      <c r="B105" s="116">
        <v>41.8</v>
      </c>
      <c r="C105" s="116">
        <v>41.64</v>
      </c>
      <c r="D105" s="116">
        <v>38.799999999999997</v>
      </c>
      <c r="E105" s="116">
        <v>39.6</v>
      </c>
      <c r="F105" s="116">
        <v>208.2</v>
      </c>
      <c r="G105">
        <v>1318</v>
      </c>
      <c r="H105" s="116"/>
      <c r="I105" s="116"/>
      <c r="L105" s="170">
        <v>42157</v>
      </c>
      <c r="M105" s="116">
        <v>37.93</v>
      </c>
      <c r="N105" s="116">
        <v>39</v>
      </c>
      <c r="O105" s="116">
        <v>37.21</v>
      </c>
      <c r="P105" s="116">
        <v>37.239999999999995</v>
      </c>
      <c r="Q105" s="116">
        <v>189.65</v>
      </c>
      <c r="R105">
        <v>1520</v>
      </c>
    </row>
    <row r="106" spans="1:18" x14ac:dyDescent="0.25">
      <c r="A106" s="170">
        <v>42160</v>
      </c>
      <c r="B106" s="116">
        <v>49</v>
      </c>
      <c r="C106" s="116">
        <v>48.92</v>
      </c>
      <c r="D106" s="116">
        <v>39.260000000000005</v>
      </c>
      <c r="E106" s="116">
        <v>39.260000000000005</v>
      </c>
      <c r="F106" s="116">
        <v>244.6</v>
      </c>
      <c r="G106">
        <v>201126</v>
      </c>
      <c r="H106" s="116"/>
      <c r="I106" s="116"/>
      <c r="L106" s="170">
        <v>42158</v>
      </c>
      <c r="M106" s="116">
        <v>40.11</v>
      </c>
      <c r="N106" s="116">
        <v>42.8</v>
      </c>
      <c r="O106" s="116">
        <v>37.61</v>
      </c>
      <c r="P106" s="116">
        <v>37.61</v>
      </c>
      <c r="Q106" s="116">
        <v>200.55</v>
      </c>
      <c r="R106">
        <v>4329</v>
      </c>
    </row>
    <row r="107" spans="1:18" x14ac:dyDescent="0.25">
      <c r="A107" s="170">
        <v>42163</v>
      </c>
      <c r="B107" s="116">
        <v>44</v>
      </c>
      <c r="C107" s="116">
        <v>40.980000000000004</v>
      </c>
      <c r="D107" s="116">
        <v>40.42</v>
      </c>
      <c r="E107" s="116">
        <v>44</v>
      </c>
      <c r="F107" s="116">
        <v>204.9</v>
      </c>
      <c r="G107">
        <v>1090</v>
      </c>
      <c r="H107" s="116"/>
      <c r="I107" s="116"/>
      <c r="L107" s="170">
        <v>42159</v>
      </c>
      <c r="M107" s="116">
        <v>40.910000000000004</v>
      </c>
      <c r="N107" s="116">
        <v>41.2</v>
      </c>
      <c r="O107" s="116">
        <v>39</v>
      </c>
      <c r="P107" s="116">
        <v>40.980000000000004</v>
      </c>
      <c r="Q107" s="116">
        <v>204.55</v>
      </c>
      <c r="R107">
        <v>4263</v>
      </c>
    </row>
    <row r="108" spans="1:18" x14ac:dyDescent="0.25">
      <c r="A108" s="170">
        <v>42164</v>
      </c>
      <c r="B108" s="116">
        <v>44.980000000000004</v>
      </c>
      <c r="C108" s="116">
        <v>42.08</v>
      </c>
      <c r="D108" s="116">
        <v>41.04</v>
      </c>
      <c r="E108" s="116">
        <v>43</v>
      </c>
      <c r="F108" s="116">
        <v>210.4</v>
      </c>
      <c r="G108">
        <v>55443</v>
      </c>
      <c r="H108" s="116"/>
      <c r="I108" s="116"/>
      <c r="L108" s="170">
        <v>42160</v>
      </c>
      <c r="M108" s="116">
        <v>41.78</v>
      </c>
      <c r="N108" s="116">
        <v>42.760000000000005</v>
      </c>
      <c r="O108" s="116">
        <v>40</v>
      </c>
      <c r="P108" s="116">
        <v>41</v>
      </c>
      <c r="Q108" s="116">
        <v>208.9</v>
      </c>
      <c r="R108">
        <v>4355</v>
      </c>
    </row>
    <row r="109" spans="1:18" x14ac:dyDescent="0.25">
      <c r="A109" s="170">
        <v>42165</v>
      </c>
      <c r="B109" s="116">
        <v>41.8</v>
      </c>
      <c r="C109" s="116">
        <v>41.8</v>
      </c>
      <c r="D109" s="116">
        <v>41.12</v>
      </c>
      <c r="E109" s="116">
        <v>41.12</v>
      </c>
      <c r="F109" s="116">
        <v>209</v>
      </c>
      <c r="G109">
        <v>125</v>
      </c>
      <c r="H109" s="116"/>
      <c r="I109" s="116"/>
      <c r="L109" s="170">
        <v>42163</v>
      </c>
      <c r="M109" s="116">
        <v>40.96</v>
      </c>
      <c r="N109" s="116">
        <v>42.769999999999996</v>
      </c>
      <c r="O109" s="116">
        <v>40.700000000000003</v>
      </c>
      <c r="P109" s="116">
        <v>41.4</v>
      </c>
      <c r="Q109" s="116">
        <v>204.8</v>
      </c>
      <c r="R109">
        <v>1145</v>
      </c>
    </row>
    <row r="110" spans="1:18" x14ac:dyDescent="0.25">
      <c r="A110" s="170">
        <v>42166</v>
      </c>
      <c r="B110" s="116">
        <v>41.22</v>
      </c>
      <c r="C110" s="116">
        <v>39.799999999999997</v>
      </c>
      <c r="D110" s="116">
        <v>39.4</v>
      </c>
      <c r="E110" s="116">
        <v>41.22</v>
      </c>
      <c r="F110" s="116">
        <v>199</v>
      </c>
      <c r="G110">
        <v>321</v>
      </c>
      <c r="H110" s="116"/>
      <c r="I110" s="116"/>
      <c r="L110" s="170">
        <v>42164</v>
      </c>
      <c r="M110" s="116">
        <v>41.9</v>
      </c>
      <c r="N110" s="116">
        <v>42.8</v>
      </c>
      <c r="O110" s="116">
        <v>41</v>
      </c>
      <c r="P110" s="116">
        <v>41</v>
      </c>
      <c r="Q110" s="116">
        <v>209.5</v>
      </c>
      <c r="R110">
        <v>1185</v>
      </c>
    </row>
    <row r="111" spans="1:18" x14ac:dyDescent="0.25">
      <c r="A111" s="170">
        <v>42167</v>
      </c>
      <c r="B111" s="116">
        <v>40</v>
      </c>
      <c r="C111" s="116">
        <v>39</v>
      </c>
      <c r="D111" s="116">
        <v>38</v>
      </c>
      <c r="E111" s="116">
        <v>39</v>
      </c>
      <c r="F111" s="116">
        <v>195</v>
      </c>
      <c r="G111">
        <v>164</v>
      </c>
      <c r="H111" s="116"/>
      <c r="I111" s="116"/>
      <c r="L111" s="170">
        <v>42165</v>
      </c>
      <c r="M111" s="116">
        <v>41.660000000000004</v>
      </c>
      <c r="N111" s="116">
        <v>42.38</v>
      </c>
      <c r="O111" s="116">
        <v>41.239999999999995</v>
      </c>
      <c r="P111" s="116">
        <v>41.239999999999995</v>
      </c>
      <c r="Q111" s="116">
        <v>208.3</v>
      </c>
      <c r="R111">
        <v>64</v>
      </c>
    </row>
    <row r="112" spans="1:18" x14ac:dyDescent="0.25">
      <c r="A112" s="170">
        <v>42170</v>
      </c>
      <c r="B112" s="116">
        <v>42</v>
      </c>
      <c r="C112" s="116">
        <v>38.06</v>
      </c>
      <c r="D112" s="116">
        <v>37</v>
      </c>
      <c r="E112" s="116">
        <v>38</v>
      </c>
      <c r="F112" s="116">
        <v>190.3</v>
      </c>
      <c r="G112">
        <v>408</v>
      </c>
      <c r="H112" s="116"/>
      <c r="I112" s="116"/>
      <c r="L112" s="170">
        <v>42166</v>
      </c>
      <c r="M112" s="116">
        <v>39.61</v>
      </c>
      <c r="N112" s="116">
        <v>41.2</v>
      </c>
      <c r="O112" s="116">
        <v>39</v>
      </c>
      <c r="P112" s="116">
        <v>41.2</v>
      </c>
      <c r="Q112" s="116">
        <v>198.05</v>
      </c>
      <c r="R112">
        <v>1045</v>
      </c>
    </row>
    <row r="113" spans="1:18" x14ac:dyDescent="0.25">
      <c r="A113" s="170">
        <v>42171</v>
      </c>
      <c r="B113" s="116">
        <v>42</v>
      </c>
      <c r="C113" s="116">
        <v>38</v>
      </c>
      <c r="D113" s="116">
        <v>37</v>
      </c>
      <c r="E113" s="116">
        <v>42</v>
      </c>
      <c r="F113" s="116">
        <v>190</v>
      </c>
      <c r="G113">
        <v>95</v>
      </c>
      <c r="H113" s="116"/>
      <c r="I113" s="116"/>
      <c r="L113" s="170">
        <v>42167</v>
      </c>
      <c r="M113" s="116">
        <v>40.799999999999997</v>
      </c>
      <c r="N113" s="116">
        <v>40.799999999999997</v>
      </c>
      <c r="O113" s="116">
        <v>38.489999999999995</v>
      </c>
      <c r="P113" s="116">
        <v>39.200000000000003</v>
      </c>
      <c r="Q113" s="116">
        <v>204</v>
      </c>
      <c r="R113">
        <v>504</v>
      </c>
    </row>
    <row r="114" spans="1:18" x14ac:dyDescent="0.25">
      <c r="A114" s="170">
        <v>42172</v>
      </c>
      <c r="B114" s="116">
        <v>41</v>
      </c>
      <c r="C114" s="116">
        <v>37.96</v>
      </c>
      <c r="D114" s="116">
        <v>37.200000000000003</v>
      </c>
      <c r="E114" s="116">
        <v>39</v>
      </c>
      <c r="F114" s="116">
        <v>189.8</v>
      </c>
      <c r="G114">
        <v>176</v>
      </c>
      <c r="H114" s="116"/>
      <c r="I114" s="116"/>
      <c r="L114" s="170">
        <v>42170</v>
      </c>
      <c r="M114" s="116">
        <v>38.36</v>
      </c>
      <c r="N114" s="116">
        <v>40.799999999999997</v>
      </c>
      <c r="O114" s="116">
        <v>36.260000000000005</v>
      </c>
      <c r="P114" s="116">
        <v>40.200000000000003</v>
      </c>
      <c r="Q114" s="116">
        <v>191.8</v>
      </c>
      <c r="R114">
        <v>639</v>
      </c>
    </row>
    <row r="115" spans="1:18" x14ac:dyDescent="0.25">
      <c r="A115" s="170">
        <v>42173</v>
      </c>
      <c r="B115" s="116">
        <v>40.4</v>
      </c>
      <c r="C115" s="116">
        <v>38.980000000000004</v>
      </c>
      <c r="D115" s="116">
        <v>37.200000000000003</v>
      </c>
      <c r="E115" s="116">
        <v>37.200000000000003</v>
      </c>
      <c r="F115" s="116">
        <v>194.9</v>
      </c>
      <c r="G115">
        <v>158</v>
      </c>
      <c r="H115" s="116"/>
      <c r="I115" s="116"/>
      <c r="L115" s="170">
        <v>42171</v>
      </c>
      <c r="M115" s="116">
        <v>38.019999999999996</v>
      </c>
      <c r="N115" s="116">
        <v>38.799999999999997</v>
      </c>
      <c r="O115" s="116">
        <v>37.31</v>
      </c>
      <c r="P115" s="116">
        <v>37.31</v>
      </c>
      <c r="Q115" s="116">
        <v>190.1</v>
      </c>
      <c r="R115">
        <v>376</v>
      </c>
    </row>
    <row r="116" spans="1:18" x14ac:dyDescent="0.25">
      <c r="A116" s="170">
        <v>42174</v>
      </c>
      <c r="B116" s="116">
        <v>40.980000000000004</v>
      </c>
      <c r="C116" s="116">
        <v>39.799999999999997</v>
      </c>
      <c r="D116" s="116">
        <v>39.78</v>
      </c>
      <c r="E116" s="116">
        <v>40.980000000000004</v>
      </c>
      <c r="F116" s="116">
        <v>199</v>
      </c>
      <c r="G116">
        <v>3</v>
      </c>
      <c r="H116" s="116"/>
      <c r="I116" s="116"/>
      <c r="L116" s="170">
        <v>42172</v>
      </c>
      <c r="M116" s="116">
        <v>38.489999999999995</v>
      </c>
      <c r="N116" s="116">
        <v>40.200000000000003</v>
      </c>
      <c r="O116" s="116">
        <v>37.450000000000003</v>
      </c>
      <c r="P116" s="116">
        <v>38</v>
      </c>
      <c r="Q116" s="116">
        <v>192.45</v>
      </c>
      <c r="R116">
        <v>417</v>
      </c>
    </row>
    <row r="117" spans="1:18" x14ac:dyDescent="0.25">
      <c r="A117" s="170">
        <v>42177</v>
      </c>
      <c r="B117" s="116">
        <v>40.58</v>
      </c>
      <c r="C117" s="116">
        <v>40.380000000000003</v>
      </c>
      <c r="D117" s="116">
        <v>40.380000000000003</v>
      </c>
      <c r="E117" s="116">
        <v>40.58</v>
      </c>
      <c r="F117" s="116">
        <v>201.9</v>
      </c>
      <c r="G117">
        <v>106</v>
      </c>
      <c r="H117" s="116"/>
      <c r="I117" s="116"/>
      <c r="L117" s="170">
        <v>42173</v>
      </c>
      <c r="M117" s="116">
        <v>39.46</v>
      </c>
      <c r="N117" s="116">
        <v>39.980000000000004</v>
      </c>
      <c r="O117" s="116">
        <v>38.6</v>
      </c>
      <c r="P117" s="116">
        <v>39.5</v>
      </c>
      <c r="Q117" s="116">
        <v>197.3</v>
      </c>
      <c r="R117">
        <v>810</v>
      </c>
    </row>
    <row r="118" spans="1:18" x14ac:dyDescent="0.25">
      <c r="A118" s="170">
        <v>42178</v>
      </c>
      <c r="B118" s="116">
        <v>40.58</v>
      </c>
      <c r="C118" s="116">
        <v>38.760000000000005</v>
      </c>
      <c r="D118" s="116">
        <v>38.22</v>
      </c>
      <c r="E118" s="116">
        <v>39</v>
      </c>
      <c r="F118" s="116">
        <v>193.8</v>
      </c>
      <c r="G118">
        <v>184</v>
      </c>
      <c r="H118" s="116"/>
      <c r="I118" s="116"/>
      <c r="L118" s="170">
        <v>42174</v>
      </c>
      <c r="M118" s="116">
        <v>38.660000000000004</v>
      </c>
      <c r="N118" s="116">
        <v>40.6</v>
      </c>
      <c r="O118" s="116">
        <v>38.619999999999997</v>
      </c>
      <c r="P118" s="116">
        <v>39.46</v>
      </c>
      <c r="Q118" s="116">
        <v>193.3</v>
      </c>
      <c r="R118">
        <v>320</v>
      </c>
    </row>
    <row r="119" spans="1:18" x14ac:dyDescent="0.25">
      <c r="A119" s="170">
        <v>42179</v>
      </c>
      <c r="B119" s="116">
        <v>40.6</v>
      </c>
      <c r="C119" s="116">
        <v>40.4</v>
      </c>
      <c r="D119" s="116">
        <v>38.6</v>
      </c>
      <c r="E119" s="116">
        <v>38.6</v>
      </c>
      <c r="F119" s="116">
        <v>202</v>
      </c>
      <c r="G119">
        <v>22</v>
      </c>
      <c r="H119" s="116"/>
      <c r="I119" s="116"/>
      <c r="L119" s="170">
        <v>42177</v>
      </c>
      <c r="M119" s="116">
        <v>38.4</v>
      </c>
      <c r="N119" s="116">
        <v>38.78</v>
      </c>
      <c r="O119" s="116">
        <v>38.269999999999996</v>
      </c>
      <c r="P119" s="116">
        <v>38.29</v>
      </c>
      <c r="Q119" s="116">
        <v>192</v>
      </c>
      <c r="R119">
        <v>180</v>
      </c>
    </row>
    <row r="120" spans="1:18" x14ac:dyDescent="0.25">
      <c r="A120" s="170">
        <v>42180</v>
      </c>
      <c r="B120" s="116">
        <v>39.46</v>
      </c>
      <c r="C120" s="116">
        <v>39.46</v>
      </c>
      <c r="D120" s="116">
        <v>38</v>
      </c>
      <c r="E120" s="116">
        <v>38.119999999999997</v>
      </c>
      <c r="F120" s="116">
        <v>197.3</v>
      </c>
      <c r="G120">
        <v>453</v>
      </c>
      <c r="H120" s="116"/>
      <c r="I120" s="116"/>
      <c r="L120" s="170">
        <v>42178</v>
      </c>
      <c r="M120" s="116">
        <v>38.83</v>
      </c>
      <c r="N120" s="116">
        <v>39.6</v>
      </c>
      <c r="O120" s="116">
        <v>38.4</v>
      </c>
      <c r="P120" s="116">
        <v>38.4</v>
      </c>
      <c r="Q120" s="116">
        <v>194.15</v>
      </c>
      <c r="R120">
        <v>115</v>
      </c>
    </row>
    <row r="121" spans="1:18" x14ac:dyDescent="0.25">
      <c r="A121" s="170">
        <v>42181</v>
      </c>
      <c r="B121" s="116">
        <v>39.6</v>
      </c>
      <c r="C121" s="116">
        <v>39.299999999999997</v>
      </c>
      <c r="D121" s="116">
        <v>39.299999999999997</v>
      </c>
      <c r="E121" s="116">
        <v>39.6</v>
      </c>
      <c r="F121" s="116">
        <v>196.5</v>
      </c>
      <c r="G121">
        <v>200</v>
      </c>
      <c r="H121" s="116"/>
      <c r="I121" s="116"/>
      <c r="L121" s="170">
        <v>42179</v>
      </c>
      <c r="M121" s="116">
        <v>39.760000000000005</v>
      </c>
      <c r="N121" s="116">
        <v>40</v>
      </c>
      <c r="O121" s="116">
        <v>38.839999999999996</v>
      </c>
      <c r="P121" s="116">
        <v>38.839999999999996</v>
      </c>
      <c r="Q121" s="116">
        <v>198.8</v>
      </c>
      <c r="R121">
        <v>328</v>
      </c>
    </row>
    <row r="122" spans="1:18" x14ac:dyDescent="0.25">
      <c r="A122" s="170">
        <v>42184</v>
      </c>
      <c r="B122" s="116">
        <v>40</v>
      </c>
      <c r="C122" s="116">
        <v>39.380000000000003</v>
      </c>
      <c r="D122" s="116">
        <v>38.200000000000003</v>
      </c>
      <c r="E122" s="116">
        <v>39.78</v>
      </c>
      <c r="F122" s="116">
        <v>196.9</v>
      </c>
      <c r="G122">
        <v>437</v>
      </c>
      <c r="H122" s="116"/>
      <c r="I122" s="116"/>
      <c r="L122" s="170">
        <v>42180</v>
      </c>
      <c r="M122" s="116">
        <v>39.1</v>
      </c>
      <c r="N122" s="116">
        <v>39.96</v>
      </c>
      <c r="O122" s="116">
        <v>38.119999999999997</v>
      </c>
      <c r="P122" s="116">
        <v>39</v>
      </c>
      <c r="Q122" s="116">
        <v>195.5</v>
      </c>
      <c r="R122">
        <v>296</v>
      </c>
    </row>
    <row r="123" spans="1:18" x14ac:dyDescent="0.25">
      <c r="A123" s="170">
        <v>42185</v>
      </c>
      <c r="B123" s="116">
        <v>40</v>
      </c>
      <c r="C123" s="116">
        <v>38.700000000000003</v>
      </c>
      <c r="D123" s="116">
        <v>38.22</v>
      </c>
      <c r="E123" s="116">
        <v>38.22</v>
      </c>
      <c r="F123" s="116">
        <v>193.5</v>
      </c>
      <c r="G123">
        <v>166</v>
      </c>
      <c r="H123" s="116"/>
      <c r="I123" s="116"/>
      <c r="L123" s="170">
        <v>42181</v>
      </c>
      <c r="M123" s="116">
        <v>39</v>
      </c>
      <c r="N123" s="116">
        <v>39.86</v>
      </c>
      <c r="O123" s="116">
        <v>39</v>
      </c>
      <c r="P123" s="116">
        <v>39</v>
      </c>
      <c r="Q123" s="116">
        <v>195</v>
      </c>
      <c r="R123">
        <v>259</v>
      </c>
    </row>
    <row r="124" spans="1:18" x14ac:dyDescent="0.25">
      <c r="A124" s="170">
        <v>42186</v>
      </c>
      <c r="B124" s="116">
        <v>40.78</v>
      </c>
      <c r="C124" s="116">
        <v>40.700000000000003</v>
      </c>
      <c r="D124" s="116">
        <v>40.6</v>
      </c>
      <c r="E124" s="116">
        <v>40.78</v>
      </c>
      <c r="F124" s="116">
        <v>203.5</v>
      </c>
      <c r="G124">
        <v>2</v>
      </c>
      <c r="H124" s="116"/>
      <c r="I124" s="116"/>
      <c r="L124" s="170">
        <v>42184</v>
      </c>
      <c r="M124" s="116">
        <v>39.17</v>
      </c>
      <c r="N124" s="116">
        <v>39.799999999999997</v>
      </c>
      <c r="O124" s="116">
        <v>38.6</v>
      </c>
      <c r="P124" s="116">
        <v>38.6</v>
      </c>
      <c r="Q124" s="116">
        <v>195.85</v>
      </c>
      <c r="R124">
        <v>316</v>
      </c>
    </row>
    <row r="125" spans="1:18" x14ac:dyDescent="0.25">
      <c r="A125" s="170">
        <v>42187</v>
      </c>
      <c r="B125" s="116">
        <v>40.42</v>
      </c>
      <c r="C125" s="116">
        <v>40.06</v>
      </c>
      <c r="D125" s="116">
        <v>39.42</v>
      </c>
      <c r="E125" s="116">
        <v>40.42</v>
      </c>
      <c r="F125" s="116">
        <v>200.3</v>
      </c>
      <c r="G125">
        <v>672</v>
      </c>
      <c r="H125" s="116"/>
      <c r="I125" s="116"/>
      <c r="L125" s="170">
        <v>42185</v>
      </c>
      <c r="M125" s="116">
        <v>39.65</v>
      </c>
      <c r="N125" s="116">
        <v>39.78</v>
      </c>
      <c r="O125" s="116">
        <v>37.299999999999997</v>
      </c>
      <c r="P125" s="116">
        <v>38.6</v>
      </c>
      <c r="Q125" s="116">
        <v>198.25</v>
      </c>
      <c r="R125">
        <v>229</v>
      </c>
    </row>
    <row r="126" spans="1:18" x14ac:dyDescent="0.25">
      <c r="A126" s="170">
        <v>42188</v>
      </c>
      <c r="B126" s="116">
        <v>40.56</v>
      </c>
      <c r="C126" s="116">
        <v>39.4</v>
      </c>
      <c r="D126" s="116">
        <v>39.4</v>
      </c>
      <c r="E126" s="116">
        <v>39.42</v>
      </c>
      <c r="F126" s="116">
        <v>197</v>
      </c>
      <c r="G126">
        <v>267</v>
      </c>
      <c r="H126" s="116"/>
      <c r="I126" s="116"/>
      <c r="L126" s="170">
        <v>42186</v>
      </c>
      <c r="M126" s="116">
        <v>40.160000000000004</v>
      </c>
      <c r="N126" s="116">
        <v>40.79</v>
      </c>
      <c r="O126" s="116">
        <v>38.799999999999997</v>
      </c>
      <c r="P126" s="116">
        <v>40</v>
      </c>
      <c r="Q126" s="116">
        <v>200.8</v>
      </c>
      <c r="R126">
        <v>500</v>
      </c>
    </row>
    <row r="127" spans="1:18" x14ac:dyDescent="0.25">
      <c r="A127" s="170">
        <v>42191</v>
      </c>
      <c r="B127" s="116">
        <v>40.799999999999997</v>
      </c>
      <c r="C127" s="116">
        <v>40.799999999999997</v>
      </c>
      <c r="D127" s="116">
        <v>40.78</v>
      </c>
      <c r="E127" s="116">
        <v>40.78</v>
      </c>
      <c r="F127" s="116">
        <v>204</v>
      </c>
      <c r="G127">
        <v>2</v>
      </c>
      <c r="H127" s="116"/>
      <c r="I127" s="116"/>
      <c r="L127" s="170">
        <v>42187</v>
      </c>
      <c r="M127" s="116">
        <v>39.760000000000005</v>
      </c>
      <c r="N127" s="116">
        <v>40</v>
      </c>
      <c r="O127" s="116">
        <v>38.799999999999997</v>
      </c>
      <c r="P127" s="116">
        <v>39.4</v>
      </c>
      <c r="Q127" s="116">
        <v>198.8</v>
      </c>
      <c r="R127">
        <v>533</v>
      </c>
    </row>
    <row r="128" spans="1:18" x14ac:dyDescent="0.25">
      <c r="A128" s="170">
        <v>42192</v>
      </c>
      <c r="B128" s="116">
        <v>40.799999999999997</v>
      </c>
      <c r="C128" s="116">
        <v>40</v>
      </c>
      <c r="D128" s="116">
        <v>39.799999999999997</v>
      </c>
      <c r="E128" s="116">
        <v>40.799999999999997</v>
      </c>
      <c r="F128" s="116">
        <v>200</v>
      </c>
      <c r="G128">
        <v>802</v>
      </c>
      <c r="H128" s="116"/>
      <c r="I128" s="116"/>
      <c r="L128" s="170">
        <v>42188</v>
      </c>
      <c r="M128" s="116">
        <v>39.54</v>
      </c>
      <c r="N128" s="116">
        <v>40.6</v>
      </c>
      <c r="O128" s="116">
        <v>39.4</v>
      </c>
      <c r="P128" s="116">
        <v>40.6</v>
      </c>
      <c r="Q128" s="116">
        <v>197.7</v>
      </c>
      <c r="R128">
        <v>89</v>
      </c>
    </row>
    <row r="129" spans="1:18" x14ac:dyDescent="0.25">
      <c r="A129" s="170">
        <v>42193</v>
      </c>
      <c r="B129" s="116">
        <v>40.58</v>
      </c>
      <c r="C129" s="116">
        <v>39.5</v>
      </c>
      <c r="D129" s="116">
        <v>39.339999999999996</v>
      </c>
      <c r="E129" s="116">
        <v>39.339999999999996</v>
      </c>
      <c r="F129" s="116">
        <v>197.5</v>
      </c>
      <c r="G129">
        <v>178</v>
      </c>
      <c r="H129" s="116"/>
      <c r="I129" s="116"/>
      <c r="L129" s="170">
        <v>42191</v>
      </c>
      <c r="M129" s="116">
        <v>39.94</v>
      </c>
      <c r="N129" s="116">
        <v>40.799999999999997</v>
      </c>
      <c r="O129" s="116">
        <v>39.6</v>
      </c>
      <c r="P129" s="116">
        <v>40.75</v>
      </c>
      <c r="Q129" s="116">
        <v>199.7</v>
      </c>
      <c r="R129">
        <v>676</v>
      </c>
    </row>
    <row r="130" spans="1:18" x14ac:dyDescent="0.25">
      <c r="A130" s="170">
        <v>42194</v>
      </c>
      <c r="B130" s="116">
        <v>41</v>
      </c>
      <c r="C130" s="116">
        <v>40.86</v>
      </c>
      <c r="D130" s="116">
        <v>40.4</v>
      </c>
      <c r="E130" s="116">
        <v>40.58</v>
      </c>
      <c r="F130" s="116">
        <v>204.3</v>
      </c>
      <c r="G130">
        <v>138</v>
      </c>
      <c r="H130" s="116"/>
      <c r="I130" s="116"/>
      <c r="L130" s="170">
        <v>42192</v>
      </c>
      <c r="M130" s="116">
        <v>40.6</v>
      </c>
      <c r="N130" s="116">
        <v>40.6</v>
      </c>
      <c r="O130" s="116">
        <v>40.6</v>
      </c>
      <c r="P130" s="116">
        <v>40.6</v>
      </c>
      <c r="Q130" s="116">
        <v>203</v>
      </c>
      <c r="R130">
        <v>3</v>
      </c>
    </row>
    <row r="131" spans="1:18" x14ac:dyDescent="0.25">
      <c r="A131" s="170">
        <v>42195</v>
      </c>
      <c r="B131" s="116">
        <v>40.86</v>
      </c>
      <c r="C131" s="116">
        <v>40.019999999999996</v>
      </c>
      <c r="D131" s="116">
        <v>40</v>
      </c>
      <c r="E131" s="116">
        <v>40.86</v>
      </c>
      <c r="F131" s="116">
        <v>200.1</v>
      </c>
      <c r="G131">
        <v>159</v>
      </c>
      <c r="H131" s="116"/>
      <c r="I131" s="116"/>
      <c r="L131" s="170">
        <v>42193</v>
      </c>
      <c r="M131" s="116">
        <v>39.950000000000003</v>
      </c>
      <c r="N131" s="116">
        <v>42.78</v>
      </c>
      <c r="O131" s="116">
        <v>39.6</v>
      </c>
      <c r="P131" s="116">
        <v>42.78</v>
      </c>
      <c r="Q131" s="116">
        <v>199.75</v>
      </c>
      <c r="R131">
        <v>491</v>
      </c>
    </row>
    <row r="132" spans="1:18" x14ac:dyDescent="0.25">
      <c r="A132" s="170">
        <v>42198</v>
      </c>
      <c r="B132" s="116">
        <v>41</v>
      </c>
      <c r="C132" s="116">
        <v>40.04</v>
      </c>
      <c r="D132" s="116">
        <v>40.019999999999996</v>
      </c>
      <c r="E132" s="116">
        <v>41</v>
      </c>
      <c r="F132" s="116">
        <v>200.2</v>
      </c>
      <c r="G132">
        <v>161</v>
      </c>
      <c r="H132" s="116"/>
      <c r="I132" s="116"/>
      <c r="L132" s="170">
        <v>42194</v>
      </c>
      <c r="M132" s="116">
        <v>40.58</v>
      </c>
      <c r="N132" s="116">
        <v>41</v>
      </c>
      <c r="O132" s="116">
        <v>39.410000000000004</v>
      </c>
      <c r="P132" s="116">
        <v>41</v>
      </c>
      <c r="Q132" s="116">
        <v>202.9</v>
      </c>
      <c r="R132">
        <v>460</v>
      </c>
    </row>
    <row r="133" spans="1:18" x14ac:dyDescent="0.25">
      <c r="A133" s="170">
        <v>42199</v>
      </c>
      <c r="B133" s="116">
        <v>42</v>
      </c>
      <c r="C133" s="116">
        <v>40.299999999999997</v>
      </c>
      <c r="D133" s="116">
        <v>40.200000000000003</v>
      </c>
      <c r="E133" s="116">
        <v>41</v>
      </c>
      <c r="F133" s="116">
        <v>201.5</v>
      </c>
      <c r="G133">
        <v>618</v>
      </c>
      <c r="H133" s="116"/>
      <c r="I133" s="116"/>
      <c r="L133" s="170">
        <v>42195</v>
      </c>
      <c r="M133" s="116">
        <v>40.450000000000003</v>
      </c>
      <c r="N133" s="116">
        <v>40.6</v>
      </c>
      <c r="O133" s="116">
        <v>39.799999999999997</v>
      </c>
      <c r="P133" s="116">
        <v>39.82</v>
      </c>
      <c r="Q133" s="116">
        <v>202.25</v>
      </c>
      <c r="R133">
        <v>79</v>
      </c>
    </row>
    <row r="134" spans="1:18" x14ac:dyDescent="0.25">
      <c r="A134" s="170">
        <v>42200</v>
      </c>
      <c r="B134" s="116">
        <v>42</v>
      </c>
      <c r="C134" s="116">
        <v>41.96</v>
      </c>
      <c r="D134" s="116">
        <v>40.299999999999997</v>
      </c>
      <c r="E134" s="116">
        <v>40.299999999999997</v>
      </c>
      <c r="F134" s="116">
        <v>209.8</v>
      </c>
      <c r="G134">
        <v>28</v>
      </c>
      <c r="H134" s="116"/>
      <c r="I134" s="116"/>
      <c r="L134" s="170">
        <v>42198</v>
      </c>
      <c r="M134" s="116">
        <v>41.12</v>
      </c>
      <c r="N134" s="116">
        <v>42</v>
      </c>
      <c r="O134" s="116">
        <v>40.200000000000003</v>
      </c>
      <c r="P134" s="116">
        <v>40.200000000000003</v>
      </c>
      <c r="Q134" s="116">
        <v>205.6</v>
      </c>
      <c r="R134">
        <v>395</v>
      </c>
    </row>
    <row r="135" spans="1:18" x14ac:dyDescent="0.25">
      <c r="A135" s="170">
        <v>42201</v>
      </c>
      <c r="B135" s="116">
        <v>43.8</v>
      </c>
      <c r="C135" s="116">
        <v>41.64</v>
      </c>
      <c r="D135" s="116">
        <v>40.799999999999997</v>
      </c>
      <c r="E135" s="116">
        <v>42</v>
      </c>
      <c r="F135" s="116">
        <v>208.2</v>
      </c>
      <c r="G135">
        <v>2323</v>
      </c>
      <c r="H135" s="116"/>
      <c r="I135" s="116"/>
      <c r="L135" s="170">
        <v>42199</v>
      </c>
      <c r="M135" s="116">
        <v>40.799999999999997</v>
      </c>
      <c r="N135" s="116">
        <v>42</v>
      </c>
      <c r="O135" s="116">
        <v>39.25</v>
      </c>
      <c r="P135" s="116">
        <v>41.78</v>
      </c>
      <c r="Q135" s="116">
        <v>204</v>
      </c>
      <c r="R135">
        <v>227</v>
      </c>
    </row>
    <row r="136" spans="1:18" x14ac:dyDescent="0.25">
      <c r="A136" s="170">
        <v>42202</v>
      </c>
      <c r="B136" s="116">
        <v>42.3</v>
      </c>
      <c r="C136" s="116">
        <v>41.56</v>
      </c>
      <c r="D136" s="116">
        <v>41.44</v>
      </c>
      <c r="E136" s="116">
        <v>41.6</v>
      </c>
      <c r="F136" s="116">
        <v>207.8</v>
      </c>
      <c r="G136">
        <v>144</v>
      </c>
      <c r="H136" s="116"/>
      <c r="I136" s="116"/>
      <c r="L136" s="170">
        <v>42200</v>
      </c>
      <c r="M136" s="116">
        <v>41.769999999999996</v>
      </c>
      <c r="N136" s="116">
        <v>41.8</v>
      </c>
      <c r="O136" s="116">
        <v>40.21</v>
      </c>
      <c r="P136" s="116">
        <v>40.22</v>
      </c>
      <c r="Q136" s="116">
        <v>208.85</v>
      </c>
      <c r="R136">
        <v>638</v>
      </c>
    </row>
    <row r="137" spans="1:18" x14ac:dyDescent="0.25">
      <c r="A137" s="170">
        <v>42205</v>
      </c>
      <c r="B137" s="116">
        <v>41.980000000000004</v>
      </c>
      <c r="C137" s="116">
        <v>41.980000000000004</v>
      </c>
      <c r="D137" s="116">
        <v>41.519999999999996</v>
      </c>
      <c r="E137" s="116">
        <v>41.6</v>
      </c>
      <c r="F137" s="116">
        <v>209.9</v>
      </c>
      <c r="G137">
        <v>530</v>
      </c>
      <c r="H137" s="116"/>
      <c r="I137" s="116"/>
      <c r="L137" s="170">
        <v>42201</v>
      </c>
      <c r="M137" s="116">
        <v>41.63</v>
      </c>
      <c r="N137" s="116">
        <v>43.2</v>
      </c>
      <c r="O137" s="116">
        <v>40.64</v>
      </c>
      <c r="P137" s="116">
        <v>41.8</v>
      </c>
      <c r="Q137" s="116">
        <v>208.15</v>
      </c>
      <c r="R137">
        <v>2275</v>
      </c>
    </row>
    <row r="138" spans="1:18" x14ac:dyDescent="0.25">
      <c r="A138" s="170">
        <v>42206</v>
      </c>
      <c r="B138" s="116">
        <v>42.2</v>
      </c>
      <c r="C138" s="116">
        <v>41.3</v>
      </c>
      <c r="D138" s="116">
        <v>41.2</v>
      </c>
      <c r="E138" s="116">
        <v>42.2</v>
      </c>
      <c r="F138" s="116">
        <v>206.5</v>
      </c>
      <c r="G138">
        <v>152</v>
      </c>
      <c r="H138" s="116"/>
      <c r="I138" s="116"/>
      <c r="L138" s="170">
        <v>42202</v>
      </c>
      <c r="M138" s="116">
        <v>41.519999999999996</v>
      </c>
      <c r="N138" s="116">
        <v>42.980000000000004</v>
      </c>
      <c r="O138" s="116">
        <v>41.05</v>
      </c>
      <c r="P138" s="116">
        <v>42.980000000000004</v>
      </c>
      <c r="Q138" s="116">
        <v>207.6</v>
      </c>
      <c r="R138">
        <v>734</v>
      </c>
    </row>
    <row r="139" spans="1:18" x14ac:dyDescent="0.25">
      <c r="A139" s="170">
        <v>42208</v>
      </c>
      <c r="B139" s="116">
        <v>41.5</v>
      </c>
      <c r="C139" s="116">
        <v>41.12</v>
      </c>
      <c r="D139" s="116">
        <v>41.1</v>
      </c>
      <c r="E139" s="116">
        <v>41.5</v>
      </c>
      <c r="F139" s="116">
        <v>205.6</v>
      </c>
      <c r="G139">
        <v>219</v>
      </c>
      <c r="H139" s="116"/>
      <c r="I139" s="116"/>
      <c r="L139" s="170">
        <v>42205</v>
      </c>
      <c r="M139" s="116">
        <v>42.14</v>
      </c>
      <c r="N139" s="116">
        <v>42.56</v>
      </c>
      <c r="O139" s="116">
        <v>41.089999999999996</v>
      </c>
      <c r="P139" s="116">
        <v>41.6</v>
      </c>
      <c r="Q139" s="116">
        <v>210.7</v>
      </c>
      <c r="R139">
        <v>931</v>
      </c>
    </row>
    <row r="140" spans="1:18" x14ac:dyDescent="0.25">
      <c r="A140" s="170">
        <v>42209</v>
      </c>
      <c r="B140" s="116">
        <v>42</v>
      </c>
      <c r="C140" s="116">
        <v>42</v>
      </c>
      <c r="D140" s="116">
        <v>41.32</v>
      </c>
      <c r="E140" s="116">
        <v>42</v>
      </c>
      <c r="F140" s="116">
        <v>210</v>
      </c>
      <c r="G140">
        <v>56</v>
      </c>
      <c r="H140" s="116"/>
      <c r="I140" s="116"/>
      <c r="L140" s="170">
        <v>42206</v>
      </c>
      <c r="M140" s="116">
        <v>41.54</v>
      </c>
      <c r="N140" s="116">
        <v>41.8</v>
      </c>
      <c r="O140" s="116">
        <v>40.79</v>
      </c>
      <c r="P140" s="116">
        <v>41.6</v>
      </c>
      <c r="Q140" s="116">
        <v>207.7</v>
      </c>
      <c r="R140">
        <v>124</v>
      </c>
    </row>
    <row r="141" spans="1:18" x14ac:dyDescent="0.25">
      <c r="A141" s="170">
        <v>42212</v>
      </c>
      <c r="B141" s="116">
        <v>42</v>
      </c>
      <c r="C141" s="116">
        <v>40.22</v>
      </c>
      <c r="D141" s="116">
        <v>40</v>
      </c>
      <c r="E141" s="116">
        <v>42</v>
      </c>
      <c r="F141" s="116">
        <v>201.1</v>
      </c>
      <c r="G141">
        <v>892</v>
      </c>
      <c r="H141" s="116"/>
      <c r="I141" s="116"/>
      <c r="L141" s="170">
        <v>42207</v>
      </c>
      <c r="M141" s="116">
        <v>41.54</v>
      </c>
      <c r="N141" s="116">
        <v>42</v>
      </c>
      <c r="O141" s="116">
        <v>41.3</v>
      </c>
      <c r="P141" s="116">
        <v>41.3</v>
      </c>
      <c r="Q141" s="116">
        <v>207.7</v>
      </c>
      <c r="R141">
        <v>1316</v>
      </c>
    </row>
    <row r="142" spans="1:18" x14ac:dyDescent="0.25">
      <c r="A142" s="170">
        <v>42213</v>
      </c>
      <c r="B142" s="116">
        <v>42.3</v>
      </c>
      <c r="C142" s="116">
        <v>42.2</v>
      </c>
      <c r="D142" s="116">
        <v>41</v>
      </c>
      <c r="E142" s="116">
        <v>41</v>
      </c>
      <c r="F142" s="116">
        <v>211</v>
      </c>
      <c r="G142">
        <v>1462</v>
      </c>
      <c r="H142" s="116"/>
      <c r="I142" s="116"/>
      <c r="L142" s="170">
        <v>42208</v>
      </c>
      <c r="M142" s="116">
        <v>42.04</v>
      </c>
      <c r="N142" s="116">
        <v>42.2</v>
      </c>
      <c r="O142" s="116">
        <v>41.22</v>
      </c>
      <c r="P142" s="116">
        <v>41.410000000000004</v>
      </c>
      <c r="Q142" s="116">
        <v>210.2</v>
      </c>
      <c r="R142">
        <v>1047</v>
      </c>
    </row>
    <row r="143" spans="1:18" x14ac:dyDescent="0.25">
      <c r="A143" s="170">
        <v>42214</v>
      </c>
      <c r="B143" s="116">
        <v>42.46</v>
      </c>
      <c r="C143" s="116">
        <v>41.96</v>
      </c>
      <c r="D143" s="116">
        <v>41.260000000000005</v>
      </c>
      <c r="E143" s="116">
        <v>41.260000000000005</v>
      </c>
      <c r="F143" s="116">
        <v>209.8</v>
      </c>
      <c r="G143">
        <v>562</v>
      </c>
      <c r="H143" s="116"/>
      <c r="I143" s="116"/>
      <c r="L143" s="170">
        <v>42209</v>
      </c>
      <c r="M143" s="116">
        <v>42.11</v>
      </c>
      <c r="N143" s="116">
        <v>42.93</v>
      </c>
      <c r="O143" s="116">
        <v>41.4</v>
      </c>
      <c r="P143" s="116">
        <v>42.2</v>
      </c>
      <c r="Q143" s="116">
        <v>210.55</v>
      </c>
      <c r="R143">
        <v>2747</v>
      </c>
    </row>
    <row r="144" spans="1:18" x14ac:dyDescent="0.25">
      <c r="A144" s="170">
        <v>42215</v>
      </c>
      <c r="B144" s="116">
        <v>44.8</v>
      </c>
      <c r="C144" s="116">
        <v>44.12</v>
      </c>
      <c r="D144" s="116">
        <v>42.019999999999996</v>
      </c>
      <c r="E144" s="116">
        <v>42.4</v>
      </c>
      <c r="F144" s="116">
        <v>220.6</v>
      </c>
      <c r="G144">
        <v>379</v>
      </c>
      <c r="H144" s="116"/>
      <c r="I144" s="116"/>
      <c r="L144" s="170">
        <v>42212</v>
      </c>
      <c r="M144" s="116">
        <v>41</v>
      </c>
      <c r="N144" s="116">
        <v>41.989999999999995</v>
      </c>
      <c r="O144" s="116">
        <v>40.22</v>
      </c>
      <c r="P144" s="116">
        <v>41.5</v>
      </c>
      <c r="Q144" s="116">
        <v>205</v>
      </c>
      <c r="R144">
        <v>327</v>
      </c>
    </row>
    <row r="145" spans="1:18" x14ac:dyDescent="0.25">
      <c r="A145" s="170">
        <v>42216</v>
      </c>
      <c r="B145" s="116">
        <v>47.2</v>
      </c>
      <c r="C145" s="116">
        <v>46.04</v>
      </c>
      <c r="D145" s="116">
        <v>44.8</v>
      </c>
      <c r="E145" s="116">
        <v>45</v>
      </c>
      <c r="F145" s="116">
        <v>230.2</v>
      </c>
      <c r="G145">
        <v>3340</v>
      </c>
      <c r="H145" s="116"/>
      <c r="I145" s="116"/>
      <c r="L145" s="170">
        <v>42213</v>
      </c>
      <c r="M145" s="116">
        <v>41.839999999999996</v>
      </c>
      <c r="N145" s="116">
        <v>42.78</v>
      </c>
      <c r="O145" s="116">
        <v>40.410000000000004</v>
      </c>
      <c r="P145" s="116">
        <v>40.6</v>
      </c>
      <c r="Q145" s="116">
        <v>209.2</v>
      </c>
      <c r="R145">
        <v>1556</v>
      </c>
    </row>
    <row r="146" spans="1:18" x14ac:dyDescent="0.25">
      <c r="A146" s="170">
        <v>42219</v>
      </c>
      <c r="B146" s="116">
        <v>51.4</v>
      </c>
      <c r="C146" s="116">
        <v>47.019999999999996</v>
      </c>
      <c r="D146" s="116">
        <v>45</v>
      </c>
      <c r="E146" s="116">
        <v>46.2</v>
      </c>
      <c r="F146" s="116">
        <v>235.1</v>
      </c>
      <c r="G146">
        <v>6853</v>
      </c>
      <c r="H146" s="116"/>
      <c r="I146" s="116"/>
      <c r="L146" s="170">
        <v>42214</v>
      </c>
      <c r="M146" s="116">
        <v>41.88</v>
      </c>
      <c r="N146" s="116">
        <v>42.4</v>
      </c>
      <c r="O146" s="116">
        <v>40.760000000000005</v>
      </c>
      <c r="P146" s="116">
        <v>41.260000000000005</v>
      </c>
      <c r="Q146" s="116">
        <v>209.4</v>
      </c>
      <c r="R146">
        <v>1314</v>
      </c>
    </row>
    <row r="147" spans="1:18" x14ac:dyDescent="0.25">
      <c r="A147" s="170">
        <v>42220</v>
      </c>
      <c r="B147" s="116">
        <v>47.78</v>
      </c>
      <c r="C147" s="116">
        <v>46.480000000000004</v>
      </c>
      <c r="D147" s="116">
        <v>45</v>
      </c>
      <c r="E147" s="116">
        <v>47.78</v>
      </c>
      <c r="F147" s="116">
        <v>232.4</v>
      </c>
      <c r="G147">
        <v>438</v>
      </c>
      <c r="H147" s="116"/>
      <c r="I147" s="116"/>
      <c r="L147" s="170">
        <v>42215</v>
      </c>
      <c r="M147" s="116">
        <v>44</v>
      </c>
      <c r="N147" s="116">
        <v>45</v>
      </c>
      <c r="O147" s="116">
        <v>41.45</v>
      </c>
      <c r="P147" s="116">
        <v>41.45</v>
      </c>
      <c r="Q147" s="116">
        <v>220</v>
      </c>
      <c r="R147">
        <v>2311</v>
      </c>
    </row>
    <row r="148" spans="1:18" x14ac:dyDescent="0.25">
      <c r="A148" s="170">
        <v>42221</v>
      </c>
      <c r="B148" s="116">
        <v>45.4</v>
      </c>
      <c r="C148" s="116">
        <v>43.1</v>
      </c>
      <c r="D148" s="116">
        <v>42.04</v>
      </c>
      <c r="E148" s="116">
        <v>45.2</v>
      </c>
      <c r="F148" s="116">
        <v>215.5</v>
      </c>
      <c r="G148">
        <v>1549</v>
      </c>
      <c r="H148" s="116"/>
      <c r="I148" s="116"/>
      <c r="L148" s="170">
        <v>42216</v>
      </c>
      <c r="M148" s="116">
        <v>45.769999999999996</v>
      </c>
      <c r="N148" s="116">
        <v>47.260000000000005</v>
      </c>
      <c r="O148" s="116">
        <v>43.019999999999996</v>
      </c>
      <c r="P148" s="116">
        <v>43.62</v>
      </c>
      <c r="Q148" s="116">
        <v>228.85</v>
      </c>
      <c r="R148">
        <v>4093</v>
      </c>
    </row>
    <row r="149" spans="1:18" x14ac:dyDescent="0.25">
      <c r="A149" s="170">
        <v>42222</v>
      </c>
      <c r="B149" s="116">
        <v>43.8</v>
      </c>
      <c r="C149" s="116">
        <v>43.04</v>
      </c>
      <c r="D149" s="116">
        <v>42.2</v>
      </c>
      <c r="E149" s="116">
        <v>43</v>
      </c>
      <c r="F149" s="116">
        <v>215.2</v>
      </c>
      <c r="G149">
        <v>72</v>
      </c>
      <c r="H149" s="116"/>
      <c r="I149" s="116"/>
      <c r="L149" s="170">
        <v>42219</v>
      </c>
      <c r="M149" s="116">
        <v>46.53</v>
      </c>
      <c r="N149" s="116">
        <v>50.739999999999995</v>
      </c>
      <c r="O149" s="116">
        <v>45.2</v>
      </c>
      <c r="P149" s="116">
        <v>45.2</v>
      </c>
      <c r="Q149" s="116">
        <v>232.65</v>
      </c>
      <c r="R149">
        <v>8027</v>
      </c>
    </row>
    <row r="150" spans="1:18" x14ac:dyDescent="0.25">
      <c r="A150" s="170">
        <v>42223</v>
      </c>
      <c r="B150" s="116">
        <v>44</v>
      </c>
      <c r="C150" s="116">
        <v>44</v>
      </c>
      <c r="D150" s="116">
        <v>43.08</v>
      </c>
      <c r="E150" s="116">
        <v>43.58</v>
      </c>
      <c r="F150" s="116">
        <v>220</v>
      </c>
      <c r="G150">
        <v>717</v>
      </c>
      <c r="H150" s="116"/>
      <c r="I150" s="116"/>
      <c r="L150" s="170">
        <v>42220</v>
      </c>
      <c r="M150" s="116">
        <v>46.28</v>
      </c>
      <c r="N150" s="116">
        <v>48</v>
      </c>
      <c r="O150" s="116">
        <v>45.6</v>
      </c>
      <c r="P150" s="116">
        <v>48</v>
      </c>
      <c r="Q150" s="116">
        <v>231.4</v>
      </c>
      <c r="R150">
        <v>1196</v>
      </c>
    </row>
    <row r="151" spans="1:18" x14ac:dyDescent="0.25">
      <c r="A151" s="170">
        <v>42226</v>
      </c>
      <c r="B151" s="116">
        <v>45</v>
      </c>
      <c r="C151" s="116">
        <v>42.46</v>
      </c>
      <c r="D151" s="116">
        <v>42.1</v>
      </c>
      <c r="E151" s="116">
        <v>45</v>
      </c>
      <c r="F151" s="116">
        <v>212.3</v>
      </c>
      <c r="G151">
        <v>861</v>
      </c>
      <c r="H151" s="116"/>
      <c r="I151" s="116"/>
      <c r="L151" s="170">
        <v>42221</v>
      </c>
      <c r="M151" s="116">
        <v>43.55</v>
      </c>
      <c r="N151" s="116">
        <v>45.980000000000004</v>
      </c>
      <c r="O151" s="116">
        <v>42.79</v>
      </c>
      <c r="P151" s="116">
        <v>45.6</v>
      </c>
      <c r="Q151" s="116">
        <v>217.75</v>
      </c>
      <c r="R151">
        <v>3441</v>
      </c>
    </row>
    <row r="152" spans="1:18" x14ac:dyDescent="0.25">
      <c r="A152" s="170">
        <v>42227</v>
      </c>
      <c r="B152" s="116">
        <v>42.22</v>
      </c>
      <c r="C152" s="116">
        <v>42</v>
      </c>
      <c r="D152" s="116">
        <v>42</v>
      </c>
      <c r="E152" s="116">
        <v>42.22</v>
      </c>
      <c r="F152" s="116">
        <v>210</v>
      </c>
      <c r="G152">
        <v>210</v>
      </c>
      <c r="H152" s="116"/>
      <c r="I152" s="116"/>
      <c r="L152" s="170">
        <v>42222</v>
      </c>
      <c r="M152" s="116">
        <v>43.36</v>
      </c>
      <c r="N152" s="116">
        <v>44</v>
      </c>
      <c r="O152" s="116">
        <v>41.6</v>
      </c>
      <c r="P152" s="116">
        <v>43</v>
      </c>
      <c r="Q152" s="116">
        <v>216.8</v>
      </c>
      <c r="R152">
        <v>1359</v>
      </c>
    </row>
    <row r="153" spans="1:18" x14ac:dyDescent="0.25">
      <c r="A153" s="170">
        <v>42228</v>
      </c>
      <c r="B153" s="116">
        <v>42.2</v>
      </c>
      <c r="C153" s="116">
        <v>42.2</v>
      </c>
      <c r="D153" s="116">
        <v>41.88</v>
      </c>
      <c r="E153" s="116">
        <v>41.9</v>
      </c>
      <c r="F153" s="116">
        <v>211</v>
      </c>
      <c r="G153">
        <v>151</v>
      </c>
      <c r="H153" s="116"/>
      <c r="I153" s="116"/>
      <c r="L153" s="170">
        <v>42223</v>
      </c>
      <c r="M153" s="116">
        <v>43.6</v>
      </c>
      <c r="N153" s="116">
        <v>44.68</v>
      </c>
      <c r="O153" s="116">
        <v>42.8</v>
      </c>
      <c r="P153" s="116">
        <v>44.68</v>
      </c>
      <c r="Q153" s="116">
        <v>218</v>
      </c>
      <c r="R153">
        <v>629</v>
      </c>
    </row>
    <row r="154" spans="1:18" x14ac:dyDescent="0.25">
      <c r="A154" s="170">
        <v>42230</v>
      </c>
      <c r="B154" s="116">
        <v>46</v>
      </c>
      <c r="C154" s="116">
        <v>44.36</v>
      </c>
      <c r="D154" s="116">
        <v>42</v>
      </c>
      <c r="E154" s="116">
        <v>42</v>
      </c>
      <c r="F154" s="116">
        <v>221.8</v>
      </c>
      <c r="G154">
        <v>260</v>
      </c>
      <c r="H154" s="116"/>
      <c r="I154" s="116"/>
      <c r="L154" s="170">
        <v>42226</v>
      </c>
      <c r="M154" s="116">
        <v>42.839999999999996</v>
      </c>
      <c r="N154" s="116">
        <v>47.4</v>
      </c>
      <c r="O154" s="116">
        <v>41.12</v>
      </c>
      <c r="P154" s="116">
        <v>47.4</v>
      </c>
      <c r="Q154" s="116">
        <v>214.2</v>
      </c>
      <c r="R154">
        <v>2141</v>
      </c>
    </row>
    <row r="155" spans="1:18" x14ac:dyDescent="0.25">
      <c r="A155" s="170">
        <v>42233</v>
      </c>
      <c r="B155" s="116">
        <v>45</v>
      </c>
      <c r="C155" s="116">
        <v>43.92</v>
      </c>
      <c r="D155" s="116">
        <v>43.8</v>
      </c>
      <c r="E155" s="116">
        <v>45</v>
      </c>
      <c r="F155" s="116">
        <v>219.6</v>
      </c>
      <c r="G155">
        <v>1402</v>
      </c>
      <c r="H155" s="116"/>
      <c r="I155" s="116"/>
      <c r="L155" s="170">
        <v>42227</v>
      </c>
      <c r="M155" s="116">
        <v>42.989999999999995</v>
      </c>
      <c r="N155" s="116">
        <v>43</v>
      </c>
      <c r="O155" s="116">
        <v>41.14</v>
      </c>
      <c r="P155" s="116">
        <v>42</v>
      </c>
      <c r="Q155" s="116">
        <v>214.95</v>
      </c>
      <c r="R155">
        <v>259</v>
      </c>
    </row>
    <row r="156" spans="1:18" x14ac:dyDescent="0.25">
      <c r="A156" s="170">
        <v>42234</v>
      </c>
      <c r="B156" s="116">
        <v>44</v>
      </c>
      <c r="C156" s="116">
        <v>43.56</v>
      </c>
      <c r="D156" s="116">
        <v>43.2</v>
      </c>
      <c r="E156" s="116">
        <v>43.6</v>
      </c>
      <c r="F156" s="116">
        <v>217.8</v>
      </c>
      <c r="G156">
        <v>34</v>
      </c>
      <c r="H156" s="116"/>
      <c r="I156" s="116"/>
      <c r="L156" s="170">
        <v>42228</v>
      </c>
      <c r="M156" s="116">
        <v>42.010000000000005</v>
      </c>
      <c r="N156" s="116">
        <v>42.4</v>
      </c>
      <c r="O156" s="116">
        <v>42.010000000000005</v>
      </c>
      <c r="P156" s="116">
        <v>42.4</v>
      </c>
      <c r="Q156" s="116">
        <v>210.05</v>
      </c>
      <c r="R156">
        <v>152</v>
      </c>
    </row>
    <row r="157" spans="1:18" x14ac:dyDescent="0.25">
      <c r="A157" s="170">
        <v>42235</v>
      </c>
      <c r="B157" s="116">
        <v>45.8</v>
      </c>
      <c r="C157" s="116">
        <v>44.18</v>
      </c>
      <c r="D157" s="116">
        <v>43.6</v>
      </c>
      <c r="E157" s="116">
        <v>44.2</v>
      </c>
      <c r="F157" s="116">
        <v>220.9</v>
      </c>
      <c r="G157">
        <v>397</v>
      </c>
      <c r="H157" s="116"/>
      <c r="I157" s="116"/>
      <c r="L157" s="170">
        <v>42229</v>
      </c>
      <c r="M157" s="116">
        <v>41.81</v>
      </c>
      <c r="N157" s="116">
        <v>45.79</v>
      </c>
      <c r="O157" s="116">
        <v>41.44</v>
      </c>
      <c r="P157" s="116">
        <v>45.79</v>
      </c>
      <c r="Q157" s="116">
        <v>209.05</v>
      </c>
      <c r="R157">
        <v>311</v>
      </c>
    </row>
    <row r="158" spans="1:18" x14ac:dyDescent="0.25">
      <c r="A158" s="170">
        <v>42236</v>
      </c>
      <c r="B158" s="116">
        <v>44.96</v>
      </c>
      <c r="C158" s="116">
        <v>43.32</v>
      </c>
      <c r="D158" s="116">
        <v>42</v>
      </c>
      <c r="E158" s="116">
        <v>44.96</v>
      </c>
      <c r="F158" s="116">
        <v>216.6</v>
      </c>
      <c r="G158">
        <v>291</v>
      </c>
      <c r="H158" s="116"/>
      <c r="I158" s="116"/>
      <c r="L158" s="170">
        <v>42230</v>
      </c>
      <c r="M158" s="116">
        <v>44.75</v>
      </c>
      <c r="N158" s="116">
        <v>45.58</v>
      </c>
      <c r="O158" s="116">
        <v>42.989999999999995</v>
      </c>
      <c r="P158" s="116">
        <v>42.989999999999995</v>
      </c>
      <c r="Q158" s="116">
        <v>223.75</v>
      </c>
      <c r="R158">
        <v>407</v>
      </c>
    </row>
    <row r="159" spans="1:18" x14ac:dyDescent="0.25">
      <c r="A159" s="170">
        <v>42237</v>
      </c>
      <c r="B159" s="116">
        <v>43.94</v>
      </c>
      <c r="C159" s="116">
        <v>43.68</v>
      </c>
      <c r="D159" s="116">
        <v>43</v>
      </c>
      <c r="E159" s="116">
        <v>43.94</v>
      </c>
      <c r="F159" s="116">
        <v>218.4</v>
      </c>
      <c r="G159">
        <v>52</v>
      </c>
      <c r="H159" s="116"/>
      <c r="I159" s="116"/>
      <c r="L159" s="170">
        <v>42233</v>
      </c>
      <c r="M159" s="116">
        <v>43.739999999999995</v>
      </c>
      <c r="N159" s="116">
        <v>45.4</v>
      </c>
      <c r="O159" s="116">
        <v>43.6</v>
      </c>
      <c r="P159" s="116">
        <v>44.75</v>
      </c>
      <c r="Q159" s="116">
        <v>218.7</v>
      </c>
      <c r="R159">
        <v>637</v>
      </c>
    </row>
    <row r="160" spans="1:18" x14ac:dyDescent="0.25">
      <c r="A160" s="170">
        <v>42240</v>
      </c>
      <c r="B160" s="116">
        <v>43</v>
      </c>
      <c r="C160" s="116">
        <v>39.799999999999997</v>
      </c>
      <c r="D160" s="116">
        <v>39.619999999999997</v>
      </c>
      <c r="E160" s="116">
        <v>40</v>
      </c>
      <c r="F160" s="116">
        <v>199</v>
      </c>
      <c r="G160">
        <v>321</v>
      </c>
      <c r="H160" s="116"/>
      <c r="I160" s="116"/>
      <c r="L160" s="170">
        <v>42234</v>
      </c>
      <c r="M160" s="116">
        <v>43.72</v>
      </c>
      <c r="N160" s="116">
        <v>44</v>
      </c>
      <c r="O160" s="116">
        <v>43.21</v>
      </c>
      <c r="P160" s="116">
        <v>43.22</v>
      </c>
      <c r="Q160" s="116">
        <v>218.6</v>
      </c>
      <c r="R160">
        <v>332</v>
      </c>
    </row>
    <row r="161" spans="1:18" x14ac:dyDescent="0.25">
      <c r="A161" s="170">
        <v>42241</v>
      </c>
      <c r="B161" s="116">
        <v>40</v>
      </c>
      <c r="C161" s="116">
        <v>38.68</v>
      </c>
      <c r="D161" s="116">
        <v>38.4</v>
      </c>
      <c r="E161" s="116">
        <v>40</v>
      </c>
      <c r="F161" s="116">
        <v>193.4</v>
      </c>
      <c r="G161">
        <v>486</v>
      </c>
      <c r="H161" s="116"/>
      <c r="I161" s="116"/>
      <c r="L161" s="170">
        <v>42235</v>
      </c>
      <c r="M161" s="116">
        <v>44.47</v>
      </c>
      <c r="N161" s="116">
        <v>45</v>
      </c>
      <c r="O161" s="116">
        <v>44</v>
      </c>
      <c r="P161" s="116">
        <v>44.4</v>
      </c>
      <c r="Q161" s="116">
        <v>222.35</v>
      </c>
      <c r="R161">
        <v>1306</v>
      </c>
    </row>
    <row r="162" spans="1:18" x14ac:dyDescent="0.25">
      <c r="A162" s="170">
        <v>42242</v>
      </c>
      <c r="B162" s="116">
        <v>41.4</v>
      </c>
      <c r="C162" s="116">
        <v>40</v>
      </c>
      <c r="D162" s="116">
        <v>40</v>
      </c>
      <c r="E162" s="116">
        <v>41.4</v>
      </c>
      <c r="F162" s="116">
        <v>200</v>
      </c>
      <c r="G162">
        <v>58</v>
      </c>
      <c r="H162" s="116"/>
      <c r="I162" s="116"/>
      <c r="L162" s="170">
        <v>42236</v>
      </c>
      <c r="M162" s="116">
        <v>42.980000000000004</v>
      </c>
      <c r="N162" s="116">
        <v>45.6</v>
      </c>
      <c r="O162" s="116">
        <v>41.92</v>
      </c>
      <c r="P162" s="116">
        <v>44</v>
      </c>
      <c r="Q162" s="116">
        <v>214.9</v>
      </c>
      <c r="R162">
        <v>2935</v>
      </c>
    </row>
    <row r="163" spans="1:18" x14ac:dyDescent="0.25">
      <c r="A163" s="170">
        <v>42243</v>
      </c>
      <c r="B163" s="116">
        <v>40.880000000000003</v>
      </c>
      <c r="C163" s="116">
        <v>40.36</v>
      </c>
      <c r="D163" s="116">
        <v>39</v>
      </c>
      <c r="E163" s="116">
        <v>39.4</v>
      </c>
      <c r="F163" s="116">
        <v>201.8</v>
      </c>
      <c r="G163">
        <v>228</v>
      </c>
      <c r="H163" s="116"/>
      <c r="I163" s="116"/>
      <c r="L163" s="170">
        <v>42237</v>
      </c>
      <c r="M163" s="116">
        <v>41.4</v>
      </c>
      <c r="N163" s="116">
        <v>42.4</v>
      </c>
      <c r="O163" s="116">
        <v>40.04</v>
      </c>
      <c r="P163" s="116">
        <v>42.4</v>
      </c>
      <c r="Q163" s="116">
        <v>207</v>
      </c>
      <c r="R163">
        <v>203</v>
      </c>
    </row>
    <row r="164" spans="1:18" x14ac:dyDescent="0.25">
      <c r="A164" s="170">
        <v>42244</v>
      </c>
      <c r="B164" s="116">
        <v>40.96</v>
      </c>
      <c r="C164" s="116">
        <v>40.6</v>
      </c>
      <c r="D164" s="116">
        <v>40.6</v>
      </c>
      <c r="E164" s="116">
        <v>40.96</v>
      </c>
      <c r="F164" s="116">
        <v>203</v>
      </c>
      <c r="G164">
        <v>19</v>
      </c>
      <c r="H164" s="116"/>
      <c r="I164" s="116"/>
      <c r="L164" s="170">
        <v>42240</v>
      </c>
      <c r="M164" s="116">
        <v>39.94</v>
      </c>
      <c r="N164" s="116">
        <v>42.78</v>
      </c>
      <c r="O164" s="116">
        <v>37.82</v>
      </c>
      <c r="P164" s="116">
        <v>40.799999999999997</v>
      </c>
      <c r="Q164" s="116">
        <v>199.7</v>
      </c>
      <c r="R164">
        <v>232</v>
      </c>
    </row>
    <row r="165" spans="1:18" x14ac:dyDescent="0.25">
      <c r="A165" s="170">
        <v>42247</v>
      </c>
      <c r="B165" s="116">
        <v>40.6</v>
      </c>
      <c r="C165" s="116">
        <v>40.44</v>
      </c>
      <c r="D165" s="116">
        <v>38</v>
      </c>
      <c r="E165" s="116">
        <v>39</v>
      </c>
      <c r="F165" s="116">
        <v>202.2</v>
      </c>
      <c r="G165">
        <v>402</v>
      </c>
      <c r="H165" s="116"/>
      <c r="I165" s="116"/>
      <c r="L165" s="170">
        <v>42241</v>
      </c>
      <c r="M165" s="116">
        <v>39</v>
      </c>
      <c r="N165" s="116">
        <v>39</v>
      </c>
      <c r="O165" s="116">
        <v>38.799999999999997</v>
      </c>
      <c r="P165" s="116">
        <v>38.799999999999997</v>
      </c>
      <c r="Q165" s="116">
        <v>195</v>
      </c>
      <c r="R165">
        <v>102</v>
      </c>
    </row>
    <row r="166" spans="1:18" x14ac:dyDescent="0.25">
      <c r="A166" s="170">
        <v>42248</v>
      </c>
      <c r="B166" s="116">
        <v>40</v>
      </c>
      <c r="C166" s="116">
        <v>39</v>
      </c>
      <c r="D166" s="116">
        <v>38.200000000000003</v>
      </c>
      <c r="E166" s="116">
        <v>40</v>
      </c>
      <c r="F166" s="116">
        <v>195</v>
      </c>
      <c r="G166">
        <v>1159</v>
      </c>
      <c r="H166" s="116"/>
      <c r="I166" s="116"/>
      <c r="L166" s="170">
        <v>42242</v>
      </c>
      <c r="M166" s="116">
        <v>39.71</v>
      </c>
      <c r="N166" s="116">
        <v>42.3</v>
      </c>
      <c r="O166" s="116">
        <v>39.619999999999997</v>
      </c>
      <c r="P166" s="116">
        <v>42.3</v>
      </c>
      <c r="Q166" s="116">
        <v>198.55</v>
      </c>
      <c r="R166">
        <v>35</v>
      </c>
    </row>
    <row r="167" spans="1:18" x14ac:dyDescent="0.25">
      <c r="A167" s="170">
        <v>42249</v>
      </c>
      <c r="B167" s="116">
        <v>41</v>
      </c>
      <c r="C167" s="116">
        <v>41</v>
      </c>
      <c r="D167" s="116">
        <v>41</v>
      </c>
      <c r="E167" s="116">
        <v>41</v>
      </c>
      <c r="F167" s="116">
        <v>205</v>
      </c>
      <c r="G167">
        <v>2</v>
      </c>
      <c r="H167" s="116"/>
      <c r="I167" s="116"/>
      <c r="L167" s="170">
        <v>42243</v>
      </c>
      <c r="M167" s="116">
        <v>39.549999999999997</v>
      </c>
      <c r="N167" s="116">
        <v>46.86</v>
      </c>
      <c r="O167" s="116">
        <v>39.03</v>
      </c>
      <c r="P167" s="116">
        <v>43.28</v>
      </c>
      <c r="Q167" s="116">
        <v>197.75</v>
      </c>
      <c r="R167">
        <v>304</v>
      </c>
    </row>
    <row r="168" spans="1:18" x14ac:dyDescent="0.25">
      <c r="A168" s="170">
        <v>42250</v>
      </c>
      <c r="B168" s="116">
        <v>41.78</v>
      </c>
      <c r="C168" s="116">
        <v>41.1</v>
      </c>
      <c r="D168" s="116">
        <v>38.46</v>
      </c>
      <c r="E168" s="116">
        <v>41.78</v>
      </c>
      <c r="F168" s="116">
        <v>205.5</v>
      </c>
      <c r="G168">
        <v>33</v>
      </c>
      <c r="H168" s="116"/>
      <c r="I168" s="116"/>
      <c r="L168" s="170">
        <v>42244</v>
      </c>
      <c r="M168" s="116">
        <v>40.799999999999997</v>
      </c>
      <c r="N168" s="116">
        <v>42.2</v>
      </c>
      <c r="O168" s="116">
        <v>40.200000000000003</v>
      </c>
      <c r="P168" s="116">
        <v>42.2</v>
      </c>
      <c r="Q168" s="116">
        <v>204</v>
      </c>
      <c r="R168">
        <v>230</v>
      </c>
    </row>
    <row r="169" spans="1:18" x14ac:dyDescent="0.25">
      <c r="A169" s="170">
        <v>42251</v>
      </c>
      <c r="B169" s="116">
        <v>41.6</v>
      </c>
      <c r="C169" s="116">
        <v>40.839999999999996</v>
      </c>
      <c r="D169" s="116">
        <v>37.58</v>
      </c>
      <c r="E169" s="116">
        <v>39</v>
      </c>
      <c r="F169" s="116">
        <v>204.2</v>
      </c>
      <c r="G169">
        <v>4684</v>
      </c>
      <c r="H169" s="116"/>
      <c r="I169" s="116"/>
      <c r="L169" s="170">
        <v>42247</v>
      </c>
      <c r="M169" s="116">
        <v>39.049999999999997</v>
      </c>
      <c r="N169" s="116">
        <v>40</v>
      </c>
      <c r="O169" s="116">
        <v>38.799999999999997</v>
      </c>
      <c r="P169" s="116">
        <v>39.4</v>
      </c>
      <c r="Q169" s="116">
        <v>195.25</v>
      </c>
      <c r="R169">
        <v>1135</v>
      </c>
    </row>
    <row r="170" spans="1:18" x14ac:dyDescent="0.25">
      <c r="A170" s="170">
        <v>42254</v>
      </c>
      <c r="B170" s="116">
        <v>40.019999999999996</v>
      </c>
      <c r="C170" s="116">
        <v>40.019999999999996</v>
      </c>
      <c r="D170" s="116">
        <v>40</v>
      </c>
      <c r="E170" s="116">
        <v>40</v>
      </c>
      <c r="F170" s="116">
        <v>200.1</v>
      </c>
      <c r="G170">
        <v>25</v>
      </c>
      <c r="H170" s="116"/>
      <c r="I170" s="116"/>
      <c r="L170" s="170">
        <v>42248</v>
      </c>
      <c r="M170" s="116">
        <v>38.43</v>
      </c>
      <c r="N170" s="116">
        <v>40</v>
      </c>
      <c r="O170" s="116">
        <v>38.299999999999997</v>
      </c>
      <c r="P170" s="116">
        <v>40</v>
      </c>
      <c r="Q170" s="116">
        <v>192.15</v>
      </c>
      <c r="R170">
        <v>609</v>
      </c>
    </row>
    <row r="171" spans="1:18" x14ac:dyDescent="0.25">
      <c r="A171" s="170">
        <v>42255</v>
      </c>
      <c r="B171" s="116">
        <v>44</v>
      </c>
      <c r="C171" s="116">
        <v>43.2</v>
      </c>
      <c r="D171" s="116">
        <v>40.4</v>
      </c>
      <c r="E171" s="116">
        <v>41.58</v>
      </c>
      <c r="F171" s="116">
        <v>216</v>
      </c>
      <c r="G171">
        <v>1004</v>
      </c>
      <c r="H171" s="116"/>
      <c r="I171" s="116"/>
      <c r="L171" s="170">
        <v>42250</v>
      </c>
      <c r="M171" s="116">
        <v>38.44</v>
      </c>
      <c r="N171" s="116">
        <v>41</v>
      </c>
      <c r="O171" s="116">
        <v>38.04</v>
      </c>
      <c r="P171" s="116">
        <v>41</v>
      </c>
      <c r="Q171" s="116">
        <v>192.2</v>
      </c>
      <c r="R171">
        <v>186</v>
      </c>
    </row>
    <row r="172" spans="1:18" x14ac:dyDescent="0.25">
      <c r="A172" s="170">
        <v>42256</v>
      </c>
      <c r="B172" s="116">
        <v>44</v>
      </c>
      <c r="C172" s="116">
        <v>43.38</v>
      </c>
      <c r="D172" s="116">
        <v>41.660000000000004</v>
      </c>
      <c r="E172" s="116">
        <v>43.42</v>
      </c>
      <c r="F172" s="116">
        <v>216.9</v>
      </c>
      <c r="G172">
        <v>708</v>
      </c>
      <c r="H172" s="116"/>
      <c r="I172" s="116"/>
      <c r="L172" s="170">
        <v>42251</v>
      </c>
      <c r="M172" s="116">
        <v>40.869999999999997</v>
      </c>
      <c r="N172" s="116">
        <v>41.480000000000004</v>
      </c>
      <c r="O172" s="116">
        <v>37.4</v>
      </c>
      <c r="P172" s="116">
        <v>41.480000000000004</v>
      </c>
      <c r="Q172" s="116">
        <v>204.35</v>
      </c>
      <c r="R172">
        <v>3274</v>
      </c>
    </row>
    <row r="173" spans="1:18" x14ac:dyDescent="0.25">
      <c r="A173" s="170">
        <v>42257</v>
      </c>
      <c r="B173" s="116">
        <v>45.7</v>
      </c>
      <c r="C173" s="116">
        <v>44.5</v>
      </c>
      <c r="D173" s="116">
        <v>44</v>
      </c>
      <c r="E173" s="116">
        <v>44</v>
      </c>
      <c r="F173" s="116">
        <v>222.5</v>
      </c>
      <c r="G173">
        <v>663</v>
      </c>
      <c r="H173" s="116"/>
      <c r="I173" s="116"/>
      <c r="L173" s="170">
        <v>42254</v>
      </c>
      <c r="M173" s="116">
        <v>40.22</v>
      </c>
      <c r="N173" s="116">
        <v>41</v>
      </c>
      <c r="O173" s="116">
        <v>40</v>
      </c>
      <c r="P173" s="116">
        <v>40</v>
      </c>
      <c r="Q173" s="116">
        <v>201.1</v>
      </c>
      <c r="R173">
        <v>777</v>
      </c>
    </row>
    <row r="174" spans="1:18" x14ac:dyDescent="0.25">
      <c r="A174" s="170">
        <v>42258</v>
      </c>
      <c r="B174" s="116">
        <v>48.4</v>
      </c>
      <c r="C174" s="116">
        <v>47.239999999999995</v>
      </c>
      <c r="D174" s="116">
        <v>43.1</v>
      </c>
      <c r="E174" s="116">
        <v>46</v>
      </c>
      <c r="F174" s="116">
        <v>236.2</v>
      </c>
      <c r="G174">
        <v>2899</v>
      </c>
      <c r="H174" s="116"/>
      <c r="I174" s="116"/>
      <c r="L174" s="170">
        <v>42255</v>
      </c>
      <c r="M174" s="116">
        <v>43.46</v>
      </c>
      <c r="N174" s="116">
        <v>45.8</v>
      </c>
      <c r="O174" s="116">
        <v>38.46</v>
      </c>
      <c r="P174" s="116">
        <v>40.4</v>
      </c>
      <c r="Q174" s="116">
        <v>217.3</v>
      </c>
      <c r="R174">
        <v>1691</v>
      </c>
    </row>
    <row r="175" spans="1:18" x14ac:dyDescent="0.25">
      <c r="A175" s="170">
        <v>42261</v>
      </c>
      <c r="B175" s="116">
        <v>47.88</v>
      </c>
      <c r="C175" s="116">
        <v>46.72</v>
      </c>
      <c r="D175" s="116">
        <v>46</v>
      </c>
      <c r="E175" s="116">
        <v>47.42</v>
      </c>
      <c r="F175" s="116">
        <v>233.6</v>
      </c>
      <c r="G175">
        <v>328</v>
      </c>
      <c r="H175" s="116"/>
      <c r="I175" s="116"/>
      <c r="L175" s="170">
        <v>42256</v>
      </c>
      <c r="M175" s="116">
        <v>43.93</v>
      </c>
      <c r="N175" s="116">
        <v>44.010000000000005</v>
      </c>
      <c r="O175" s="116">
        <v>41.65</v>
      </c>
      <c r="P175" s="116">
        <v>42.010000000000005</v>
      </c>
      <c r="Q175" s="116">
        <v>219.65</v>
      </c>
      <c r="R175">
        <v>1049</v>
      </c>
    </row>
    <row r="176" spans="1:18" x14ac:dyDescent="0.25">
      <c r="A176" s="170">
        <v>42262</v>
      </c>
      <c r="B176" s="116">
        <v>55</v>
      </c>
      <c r="C176" s="116">
        <v>50.58</v>
      </c>
      <c r="D176" s="116">
        <v>48.980000000000004</v>
      </c>
      <c r="E176" s="116">
        <v>48.980000000000004</v>
      </c>
      <c r="F176" s="116">
        <v>252.9</v>
      </c>
      <c r="G176">
        <v>323297</v>
      </c>
      <c r="H176" s="116"/>
      <c r="I176" s="116"/>
      <c r="L176" s="170">
        <v>42257</v>
      </c>
      <c r="M176" s="116">
        <v>45.58</v>
      </c>
      <c r="N176" s="116">
        <v>46</v>
      </c>
      <c r="O176" s="116">
        <v>42.2</v>
      </c>
      <c r="P176" s="116">
        <v>42.6</v>
      </c>
      <c r="Q176" s="116">
        <v>227.9</v>
      </c>
      <c r="R176">
        <v>3555</v>
      </c>
    </row>
    <row r="177" spans="1:18" x14ac:dyDescent="0.25">
      <c r="A177" s="170">
        <v>42263</v>
      </c>
      <c r="B177" s="116">
        <v>50</v>
      </c>
      <c r="C177" s="116">
        <v>47.96</v>
      </c>
      <c r="D177" s="116">
        <v>47.019999999999996</v>
      </c>
      <c r="E177" s="116">
        <v>50</v>
      </c>
      <c r="F177" s="116">
        <v>239.8</v>
      </c>
      <c r="G177">
        <v>782</v>
      </c>
      <c r="H177" s="116"/>
      <c r="I177" s="116"/>
      <c r="L177" s="170">
        <v>42258</v>
      </c>
      <c r="M177" s="116">
        <v>47.5</v>
      </c>
      <c r="N177" s="116">
        <v>48</v>
      </c>
      <c r="O177" s="116">
        <v>43.239999999999995</v>
      </c>
      <c r="P177" s="116">
        <v>45</v>
      </c>
      <c r="Q177" s="116">
        <v>237.5</v>
      </c>
      <c r="R177">
        <v>4563</v>
      </c>
    </row>
    <row r="178" spans="1:18" x14ac:dyDescent="0.25">
      <c r="A178" s="170">
        <v>42265</v>
      </c>
      <c r="B178" s="116">
        <v>51.6</v>
      </c>
      <c r="C178" s="116">
        <v>47.760000000000005</v>
      </c>
      <c r="D178" s="116">
        <v>46</v>
      </c>
      <c r="E178" s="116">
        <v>51.6</v>
      </c>
      <c r="F178" s="116">
        <v>238.8</v>
      </c>
      <c r="G178">
        <v>1230</v>
      </c>
      <c r="H178" s="116"/>
      <c r="I178" s="116"/>
      <c r="L178" s="170">
        <v>42261</v>
      </c>
      <c r="M178" s="116">
        <v>46.489999999999995</v>
      </c>
      <c r="N178" s="116">
        <v>48.8</v>
      </c>
      <c r="O178" s="116">
        <v>45.2</v>
      </c>
      <c r="P178" s="116">
        <v>47.8</v>
      </c>
      <c r="Q178" s="116">
        <v>232.45</v>
      </c>
      <c r="R178">
        <v>1804</v>
      </c>
    </row>
    <row r="179" spans="1:18" x14ac:dyDescent="0.25">
      <c r="A179" s="170">
        <v>42268</v>
      </c>
      <c r="B179" s="116">
        <v>48</v>
      </c>
      <c r="C179" s="116">
        <v>46.86</v>
      </c>
      <c r="D179" s="116">
        <v>46.519999999999996</v>
      </c>
      <c r="E179" s="116">
        <v>46.519999999999996</v>
      </c>
      <c r="F179" s="116">
        <v>234.3</v>
      </c>
      <c r="G179">
        <v>220</v>
      </c>
      <c r="H179" s="116"/>
      <c r="I179" s="116"/>
      <c r="L179" s="170">
        <v>42262</v>
      </c>
      <c r="M179" s="116">
        <v>49.28</v>
      </c>
      <c r="N179" s="116">
        <v>54.379999999999995</v>
      </c>
      <c r="O179" s="116">
        <v>44.45</v>
      </c>
      <c r="P179" s="116">
        <v>44.45</v>
      </c>
      <c r="Q179" s="116">
        <v>246.4</v>
      </c>
      <c r="R179">
        <v>24922</v>
      </c>
    </row>
    <row r="180" spans="1:18" x14ac:dyDescent="0.25">
      <c r="A180" s="170">
        <v>42269</v>
      </c>
      <c r="B180" s="116">
        <v>48.8</v>
      </c>
      <c r="C180" s="116">
        <v>46.7</v>
      </c>
      <c r="D180" s="116">
        <v>46.2</v>
      </c>
      <c r="E180" s="116">
        <v>47</v>
      </c>
      <c r="F180" s="116">
        <v>233.5</v>
      </c>
      <c r="G180">
        <v>326</v>
      </c>
      <c r="H180" s="116"/>
      <c r="I180" s="116"/>
      <c r="L180" s="170">
        <v>42263</v>
      </c>
      <c r="M180" s="116">
        <v>48.239999999999995</v>
      </c>
      <c r="N180" s="116">
        <v>51.54</v>
      </c>
      <c r="O180" s="116">
        <v>47.010000000000005</v>
      </c>
      <c r="P180" s="116">
        <v>51.54</v>
      </c>
      <c r="Q180" s="116">
        <v>241.2</v>
      </c>
      <c r="R180">
        <v>2546</v>
      </c>
    </row>
    <row r="181" spans="1:18" x14ac:dyDescent="0.25">
      <c r="A181" s="170">
        <v>42270</v>
      </c>
      <c r="B181" s="116">
        <v>48.6</v>
      </c>
      <c r="C181" s="116">
        <v>46.72</v>
      </c>
      <c r="D181" s="116">
        <v>45.519999999999996</v>
      </c>
      <c r="E181" s="116">
        <v>46</v>
      </c>
      <c r="F181" s="116">
        <v>233.6</v>
      </c>
      <c r="G181">
        <v>510</v>
      </c>
      <c r="H181" s="116"/>
      <c r="I181" s="116"/>
      <c r="L181" s="170">
        <v>42265</v>
      </c>
      <c r="M181" s="116">
        <v>47.769999999999996</v>
      </c>
      <c r="N181" s="116">
        <v>49.339999999999996</v>
      </c>
      <c r="O181" s="116">
        <v>47.2</v>
      </c>
      <c r="P181" s="116">
        <v>47.21</v>
      </c>
      <c r="Q181" s="116">
        <v>238.85</v>
      </c>
      <c r="R181">
        <v>1243</v>
      </c>
    </row>
    <row r="182" spans="1:18" x14ac:dyDescent="0.25">
      <c r="A182" s="170">
        <v>42271</v>
      </c>
      <c r="B182" s="116">
        <v>46.019999999999996</v>
      </c>
      <c r="C182" s="116">
        <v>46</v>
      </c>
      <c r="D182" s="116">
        <v>46</v>
      </c>
      <c r="E182" s="116">
        <v>46.019999999999996</v>
      </c>
      <c r="F182" s="116">
        <v>230</v>
      </c>
      <c r="G182">
        <v>29</v>
      </c>
      <c r="H182" s="116"/>
      <c r="I182" s="116"/>
      <c r="L182" s="170">
        <v>42268</v>
      </c>
      <c r="M182" s="116">
        <v>46.78</v>
      </c>
      <c r="N182" s="116">
        <v>47.980000000000004</v>
      </c>
      <c r="O182" s="116">
        <v>46.510000000000005</v>
      </c>
      <c r="P182" s="116">
        <v>47.980000000000004</v>
      </c>
      <c r="Q182" s="116">
        <v>233.9</v>
      </c>
      <c r="R182">
        <v>298</v>
      </c>
    </row>
    <row r="183" spans="1:18" x14ac:dyDescent="0.25">
      <c r="A183" s="170">
        <v>42275</v>
      </c>
      <c r="B183" s="116">
        <v>46</v>
      </c>
      <c r="C183" s="116">
        <v>44.839999999999996</v>
      </c>
      <c r="D183" s="116">
        <v>44.6</v>
      </c>
      <c r="E183" s="116">
        <v>46</v>
      </c>
      <c r="F183" s="116">
        <v>224.2</v>
      </c>
      <c r="G183">
        <v>141</v>
      </c>
      <c r="H183" s="116"/>
      <c r="I183" s="116"/>
      <c r="L183" s="170">
        <v>42269</v>
      </c>
      <c r="M183" s="116">
        <v>46.6</v>
      </c>
      <c r="N183" s="116">
        <v>48.94</v>
      </c>
      <c r="O183" s="116">
        <v>46.6</v>
      </c>
      <c r="P183" s="116">
        <v>47</v>
      </c>
      <c r="Q183" s="116">
        <v>233</v>
      </c>
      <c r="R183">
        <v>705</v>
      </c>
    </row>
    <row r="184" spans="1:18" x14ac:dyDescent="0.25">
      <c r="A184" s="170">
        <v>42276</v>
      </c>
      <c r="B184" s="116">
        <v>46.980000000000004</v>
      </c>
      <c r="C184" s="116">
        <v>46.86</v>
      </c>
      <c r="D184" s="116">
        <v>44</v>
      </c>
      <c r="E184" s="116">
        <v>44.2</v>
      </c>
      <c r="F184" s="116">
        <v>234.3</v>
      </c>
      <c r="G184">
        <v>6</v>
      </c>
      <c r="H184" s="116"/>
      <c r="I184" s="116"/>
      <c r="L184" s="170">
        <v>42270</v>
      </c>
      <c r="M184" s="116">
        <v>46.03</v>
      </c>
      <c r="N184" s="116">
        <v>49.79</v>
      </c>
      <c r="O184" s="116">
        <v>45</v>
      </c>
      <c r="P184" s="116">
        <v>49.79</v>
      </c>
      <c r="Q184" s="116">
        <v>230.15</v>
      </c>
      <c r="R184">
        <v>1099</v>
      </c>
    </row>
    <row r="185" spans="1:18" x14ac:dyDescent="0.25">
      <c r="A185" s="170">
        <v>42277</v>
      </c>
      <c r="B185" s="116">
        <v>47</v>
      </c>
      <c r="C185" s="116">
        <v>46.2</v>
      </c>
      <c r="D185" s="116">
        <v>46</v>
      </c>
      <c r="E185" s="116">
        <v>47</v>
      </c>
      <c r="F185" s="116">
        <v>231</v>
      </c>
      <c r="G185">
        <v>307</v>
      </c>
      <c r="H185" s="116"/>
      <c r="I185" s="116"/>
      <c r="L185" s="170">
        <v>42271</v>
      </c>
      <c r="M185" s="116">
        <v>46</v>
      </c>
      <c r="N185" s="116">
        <v>48.980000000000004</v>
      </c>
      <c r="O185" s="116">
        <v>45.93</v>
      </c>
      <c r="P185" s="116">
        <v>48.980000000000004</v>
      </c>
      <c r="Q185" s="116">
        <v>230</v>
      </c>
      <c r="R185">
        <v>621</v>
      </c>
    </row>
    <row r="186" spans="1:18" x14ac:dyDescent="0.25">
      <c r="A186" s="170">
        <v>42278</v>
      </c>
      <c r="B186" s="116">
        <v>47.160000000000004</v>
      </c>
      <c r="C186" s="116">
        <v>44.32</v>
      </c>
      <c r="D186" s="116">
        <v>44.019999999999996</v>
      </c>
      <c r="E186" s="116">
        <v>47</v>
      </c>
      <c r="F186" s="116">
        <v>221.6</v>
      </c>
      <c r="G186">
        <v>248</v>
      </c>
      <c r="H186" s="116"/>
      <c r="I186" s="116"/>
      <c r="L186" s="170">
        <v>42275</v>
      </c>
      <c r="M186" s="116">
        <v>45.46</v>
      </c>
      <c r="N186" s="116">
        <v>47.38</v>
      </c>
      <c r="O186" s="116">
        <v>45.22</v>
      </c>
      <c r="P186" s="116">
        <v>45.6</v>
      </c>
      <c r="Q186" s="116">
        <v>227.3</v>
      </c>
      <c r="R186">
        <v>883</v>
      </c>
    </row>
    <row r="187" spans="1:18" x14ac:dyDescent="0.25">
      <c r="A187" s="170">
        <v>42282</v>
      </c>
      <c r="B187" s="116">
        <v>46.58</v>
      </c>
      <c r="C187" s="116">
        <v>44.839999999999996</v>
      </c>
      <c r="D187" s="116">
        <v>44.8</v>
      </c>
      <c r="E187" s="116">
        <v>46.58</v>
      </c>
      <c r="F187" s="116">
        <v>224.2</v>
      </c>
      <c r="G187">
        <v>160</v>
      </c>
      <c r="H187" s="116"/>
      <c r="I187" s="116"/>
      <c r="L187" s="170">
        <v>42276</v>
      </c>
      <c r="M187" s="116">
        <v>45.47</v>
      </c>
      <c r="N187" s="116">
        <v>46</v>
      </c>
      <c r="O187" s="116">
        <v>44</v>
      </c>
      <c r="P187" s="116">
        <v>45.2</v>
      </c>
      <c r="Q187" s="116">
        <v>227.35</v>
      </c>
      <c r="R187">
        <v>349</v>
      </c>
    </row>
    <row r="188" spans="1:18" x14ac:dyDescent="0.25">
      <c r="A188" s="170">
        <v>42283</v>
      </c>
      <c r="B188" s="116">
        <v>47</v>
      </c>
      <c r="C188" s="116">
        <v>46.6</v>
      </c>
      <c r="D188" s="116">
        <v>46</v>
      </c>
      <c r="E188" s="116">
        <v>47</v>
      </c>
      <c r="F188" s="116">
        <v>233</v>
      </c>
      <c r="G188">
        <v>83</v>
      </c>
      <c r="H188" s="116"/>
      <c r="I188" s="116"/>
      <c r="L188" s="170">
        <v>42277</v>
      </c>
      <c r="M188" s="116">
        <v>45.1</v>
      </c>
      <c r="N188" s="116">
        <v>46.4</v>
      </c>
      <c r="O188" s="116">
        <v>44.22</v>
      </c>
      <c r="P188" s="116">
        <v>46</v>
      </c>
      <c r="Q188" s="116">
        <v>225.5</v>
      </c>
      <c r="R188">
        <v>700</v>
      </c>
    </row>
    <row r="189" spans="1:18" x14ac:dyDescent="0.25">
      <c r="A189" s="170">
        <v>42284</v>
      </c>
      <c r="B189" s="116">
        <v>47.2</v>
      </c>
      <c r="C189" s="116">
        <v>47</v>
      </c>
      <c r="D189" s="116">
        <v>47</v>
      </c>
      <c r="E189" s="116">
        <v>47</v>
      </c>
      <c r="F189" s="116">
        <v>235</v>
      </c>
      <c r="G189">
        <v>260</v>
      </c>
      <c r="H189" s="116"/>
      <c r="I189" s="116"/>
      <c r="L189" s="170">
        <v>42278</v>
      </c>
      <c r="M189" s="116">
        <v>45.44</v>
      </c>
      <c r="N189" s="116">
        <v>46.58</v>
      </c>
      <c r="O189" s="116">
        <v>44.8</v>
      </c>
      <c r="P189" s="116">
        <v>44.839999999999996</v>
      </c>
      <c r="Q189" s="116">
        <v>227.2</v>
      </c>
      <c r="R189">
        <v>73</v>
      </c>
    </row>
    <row r="190" spans="1:18" x14ac:dyDescent="0.25">
      <c r="A190" s="170">
        <v>42285</v>
      </c>
      <c r="B190" s="116">
        <v>45</v>
      </c>
      <c r="C190" s="116">
        <v>45</v>
      </c>
      <c r="D190" s="116">
        <v>45</v>
      </c>
      <c r="E190" s="116">
        <v>45</v>
      </c>
      <c r="F190" s="116">
        <v>225</v>
      </c>
      <c r="G190">
        <v>285</v>
      </c>
      <c r="H190" s="116"/>
      <c r="I190" s="116"/>
      <c r="L190" s="170">
        <v>42282</v>
      </c>
      <c r="M190" s="116">
        <v>44.72</v>
      </c>
      <c r="N190" s="116">
        <v>46.78</v>
      </c>
      <c r="O190" s="116">
        <v>44.06</v>
      </c>
      <c r="P190" s="116">
        <v>44.4</v>
      </c>
      <c r="Q190" s="116">
        <v>223.6</v>
      </c>
      <c r="R190">
        <v>275</v>
      </c>
    </row>
    <row r="191" spans="1:18" x14ac:dyDescent="0.25">
      <c r="A191" s="170">
        <v>42286</v>
      </c>
      <c r="B191" s="116">
        <v>47.58</v>
      </c>
      <c r="C191" s="116">
        <v>44.58</v>
      </c>
      <c r="D191" s="116">
        <v>44.54</v>
      </c>
      <c r="E191" s="116">
        <v>47.58</v>
      </c>
      <c r="F191" s="116">
        <v>222.9</v>
      </c>
      <c r="G191">
        <v>121</v>
      </c>
      <c r="H191" s="116"/>
      <c r="I191" s="116"/>
      <c r="L191" s="170">
        <v>42283</v>
      </c>
      <c r="M191" s="116">
        <v>45</v>
      </c>
      <c r="N191" s="116">
        <v>46.989999999999995</v>
      </c>
      <c r="O191" s="116">
        <v>44.47</v>
      </c>
      <c r="P191" s="116">
        <v>45.980000000000004</v>
      </c>
      <c r="Q191" s="116">
        <v>225</v>
      </c>
      <c r="R191">
        <v>577</v>
      </c>
    </row>
    <row r="192" spans="1:18" x14ac:dyDescent="0.25">
      <c r="A192" s="170">
        <v>42289</v>
      </c>
      <c r="B192" s="116">
        <v>48.38</v>
      </c>
      <c r="C192" s="116">
        <v>45</v>
      </c>
      <c r="D192" s="116">
        <v>45</v>
      </c>
      <c r="E192" s="116">
        <v>48.38</v>
      </c>
      <c r="F192" s="116">
        <v>225</v>
      </c>
      <c r="G192">
        <v>22</v>
      </c>
      <c r="H192" s="116"/>
      <c r="I192" s="116"/>
      <c r="L192" s="170">
        <v>42284</v>
      </c>
      <c r="M192" s="116">
        <v>44.87</v>
      </c>
      <c r="N192" s="116">
        <v>45.6</v>
      </c>
      <c r="O192" s="116">
        <v>44.519999999999996</v>
      </c>
      <c r="P192" s="116">
        <v>45</v>
      </c>
      <c r="Q192" s="116">
        <v>224.35</v>
      </c>
      <c r="R192">
        <v>661</v>
      </c>
    </row>
    <row r="193" spans="1:18" x14ac:dyDescent="0.25">
      <c r="A193" s="170">
        <v>42290</v>
      </c>
      <c r="B193" s="116">
        <v>46.019999999999996</v>
      </c>
      <c r="C193" s="116">
        <v>46</v>
      </c>
      <c r="D193" s="116">
        <v>45.6</v>
      </c>
      <c r="E193" s="116">
        <v>45.6</v>
      </c>
      <c r="F193" s="116">
        <v>230</v>
      </c>
      <c r="G193">
        <v>339</v>
      </c>
      <c r="H193" s="116"/>
      <c r="I193" s="116"/>
      <c r="L193" s="170">
        <v>42285</v>
      </c>
      <c r="M193" s="116">
        <v>45</v>
      </c>
      <c r="N193" s="116">
        <v>45</v>
      </c>
      <c r="O193" s="116">
        <v>45</v>
      </c>
      <c r="P193" s="116">
        <v>45</v>
      </c>
      <c r="Q193" s="116">
        <v>225</v>
      </c>
      <c r="R193">
        <v>35</v>
      </c>
    </row>
    <row r="194" spans="1:18" x14ac:dyDescent="0.25">
      <c r="A194" s="170">
        <v>42291</v>
      </c>
      <c r="B194" s="116">
        <v>46.019999999999996</v>
      </c>
      <c r="C194" s="116">
        <v>46</v>
      </c>
      <c r="D194" s="116">
        <v>46</v>
      </c>
      <c r="E194" s="116">
        <v>46</v>
      </c>
      <c r="F194" s="116">
        <v>230</v>
      </c>
      <c r="G194">
        <v>70</v>
      </c>
      <c r="H194" s="116"/>
      <c r="I194" s="116"/>
      <c r="L194" s="170">
        <v>42286</v>
      </c>
      <c r="M194" s="116">
        <v>45</v>
      </c>
      <c r="N194" s="116">
        <v>45.2</v>
      </c>
      <c r="O194" s="116">
        <v>45</v>
      </c>
      <c r="P194" s="116">
        <v>45.2</v>
      </c>
      <c r="Q194" s="116">
        <v>225</v>
      </c>
      <c r="R194">
        <v>42</v>
      </c>
    </row>
    <row r="195" spans="1:18" x14ac:dyDescent="0.25">
      <c r="A195" s="170">
        <v>42292</v>
      </c>
      <c r="B195" s="116">
        <v>46.06</v>
      </c>
      <c r="C195" s="116">
        <v>46.06</v>
      </c>
      <c r="D195" s="116">
        <v>46.06</v>
      </c>
      <c r="E195" s="116">
        <v>46.06</v>
      </c>
      <c r="F195" s="116">
        <v>230.3</v>
      </c>
      <c r="G195">
        <v>13</v>
      </c>
      <c r="H195" s="116"/>
      <c r="I195" s="116"/>
      <c r="L195" s="170">
        <v>42289</v>
      </c>
      <c r="M195" s="116">
        <v>46</v>
      </c>
      <c r="N195" s="116">
        <v>46</v>
      </c>
      <c r="O195" s="116">
        <v>46</v>
      </c>
      <c r="P195" s="116">
        <v>46</v>
      </c>
      <c r="Q195" s="116">
        <v>230</v>
      </c>
      <c r="R195">
        <v>69</v>
      </c>
    </row>
    <row r="196" spans="1:18" x14ac:dyDescent="0.25">
      <c r="A196" s="170">
        <v>42293</v>
      </c>
      <c r="B196" s="116">
        <v>46.8</v>
      </c>
      <c r="C196" s="116">
        <v>45.519999999999996</v>
      </c>
      <c r="D196" s="116">
        <v>45.42</v>
      </c>
      <c r="E196" s="116">
        <v>46.8</v>
      </c>
      <c r="F196" s="116">
        <v>227.6</v>
      </c>
      <c r="G196">
        <v>12</v>
      </c>
      <c r="H196" s="116"/>
      <c r="I196" s="116"/>
      <c r="L196" s="170">
        <v>42290</v>
      </c>
      <c r="M196" s="116">
        <v>46</v>
      </c>
      <c r="N196" s="116">
        <v>47</v>
      </c>
      <c r="O196" s="116">
        <v>45</v>
      </c>
      <c r="P196" s="116">
        <v>45.79</v>
      </c>
      <c r="Q196" s="116">
        <v>230</v>
      </c>
      <c r="R196">
        <v>1440</v>
      </c>
    </row>
    <row r="197" spans="1:18" x14ac:dyDescent="0.25">
      <c r="A197" s="170">
        <v>42296</v>
      </c>
      <c r="B197" s="116">
        <v>47</v>
      </c>
      <c r="C197" s="116">
        <v>45.519999999999996</v>
      </c>
      <c r="D197" s="116">
        <v>45.519999999999996</v>
      </c>
      <c r="E197" s="116">
        <v>47</v>
      </c>
      <c r="F197" s="116">
        <v>227.6</v>
      </c>
      <c r="G197">
        <v>23</v>
      </c>
      <c r="H197" s="116"/>
      <c r="I197" s="116"/>
      <c r="L197" s="170">
        <v>42291</v>
      </c>
      <c r="M197" s="116">
        <v>46</v>
      </c>
      <c r="N197" s="116">
        <v>46.010000000000005</v>
      </c>
      <c r="O197" s="116">
        <v>46</v>
      </c>
      <c r="P197" s="116">
        <v>46</v>
      </c>
      <c r="Q197" s="116">
        <v>230</v>
      </c>
      <c r="R197">
        <v>237</v>
      </c>
    </row>
    <row r="198" spans="1:18" x14ac:dyDescent="0.25">
      <c r="A198" s="170">
        <v>42297</v>
      </c>
      <c r="B198" s="116">
        <v>46</v>
      </c>
      <c r="C198" s="116">
        <v>46</v>
      </c>
      <c r="D198" s="116">
        <v>46</v>
      </c>
      <c r="E198" s="116">
        <v>46</v>
      </c>
      <c r="F198" s="116">
        <v>230</v>
      </c>
      <c r="G198">
        <v>261</v>
      </c>
      <c r="H198" s="116"/>
      <c r="I198" s="116"/>
      <c r="L198" s="170">
        <v>42292</v>
      </c>
      <c r="M198" s="116">
        <v>46.4</v>
      </c>
      <c r="N198" s="116">
        <v>46.4</v>
      </c>
      <c r="O198" s="116">
        <v>46</v>
      </c>
      <c r="P198" s="116">
        <v>46</v>
      </c>
      <c r="Q198" s="116">
        <v>232</v>
      </c>
      <c r="R198">
        <v>790</v>
      </c>
    </row>
    <row r="199" spans="1:18" x14ac:dyDescent="0.25">
      <c r="A199" s="170">
        <v>42298</v>
      </c>
      <c r="B199" s="116">
        <v>46.6</v>
      </c>
      <c r="C199" s="116">
        <v>45.94</v>
      </c>
      <c r="D199" s="116">
        <v>44.3</v>
      </c>
      <c r="E199" s="116">
        <v>46.6</v>
      </c>
      <c r="F199" s="116">
        <v>229.7</v>
      </c>
      <c r="G199">
        <v>189</v>
      </c>
      <c r="H199" s="116"/>
      <c r="I199" s="116"/>
      <c r="L199" s="170">
        <v>42293</v>
      </c>
      <c r="M199" s="116">
        <v>46</v>
      </c>
      <c r="N199" s="116">
        <v>46.9</v>
      </c>
      <c r="O199" s="116">
        <v>46</v>
      </c>
      <c r="P199" s="116">
        <v>46.9</v>
      </c>
      <c r="Q199" s="116">
        <v>230</v>
      </c>
      <c r="R199">
        <v>422</v>
      </c>
    </row>
    <row r="200" spans="1:18" x14ac:dyDescent="0.25">
      <c r="A200" s="170">
        <v>42300</v>
      </c>
      <c r="B200" s="116">
        <v>46.6</v>
      </c>
      <c r="C200" s="116">
        <v>46</v>
      </c>
      <c r="D200" s="116">
        <v>45.8</v>
      </c>
      <c r="E200" s="116">
        <v>46.6</v>
      </c>
      <c r="F200" s="116">
        <v>230</v>
      </c>
      <c r="G200">
        <v>336</v>
      </c>
      <c r="H200" s="116"/>
      <c r="I200" s="116"/>
      <c r="L200" s="170">
        <v>42296</v>
      </c>
      <c r="M200" s="116">
        <v>46.839999999999996</v>
      </c>
      <c r="N200" s="116">
        <v>46.9</v>
      </c>
      <c r="O200" s="116">
        <v>46.79</v>
      </c>
      <c r="P200" s="116">
        <v>46.8</v>
      </c>
      <c r="Q200" s="116">
        <v>234.2</v>
      </c>
      <c r="R200">
        <v>4</v>
      </c>
    </row>
    <row r="201" spans="1:18" x14ac:dyDescent="0.25">
      <c r="A201" s="170">
        <v>42303</v>
      </c>
      <c r="B201" s="116">
        <v>47.9</v>
      </c>
      <c r="C201" s="116">
        <v>46.62</v>
      </c>
      <c r="D201" s="116">
        <v>46.2</v>
      </c>
      <c r="E201" s="116">
        <v>47</v>
      </c>
      <c r="F201" s="116">
        <v>233.1</v>
      </c>
      <c r="G201">
        <v>438</v>
      </c>
      <c r="H201" s="116"/>
      <c r="I201" s="116"/>
      <c r="L201" s="170">
        <v>42297</v>
      </c>
      <c r="M201" s="116">
        <v>47.58</v>
      </c>
      <c r="N201" s="116">
        <v>47.58</v>
      </c>
      <c r="O201" s="116">
        <v>46.010000000000005</v>
      </c>
      <c r="P201" s="116">
        <v>46.010000000000005</v>
      </c>
      <c r="Q201" s="116">
        <v>237.9</v>
      </c>
      <c r="R201">
        <v>1136</v>
      </c>
    </row>
    <row r="202" spans="1:18" x14ac:dyDescent="0.25">
      <c r="A202" s="170">
        <v>42304</v>
      </c>
      <c r="B202" s="116">
        <v>47</v>
      </c>
      <c r="C202" s="116">
        <v>45.8</v>
      </c>
      <c r="D202" s="116">
        <v>45.8</v>
      </c>
      <c r="E202" s="116">
        <v>47</v>
      </c>
      <c r="F202" s="116">
        <v>229</v>
      </c>
      <c r="G202">
        <v>27</v>
      </c>
      <c r="H202" s="116"/>
      <c r="I202" s="116"/>
      <c r="L202" s="170">
        <v>42298</v>
      </c>
      <c r="M202" s="116">
        <v>46.44</v>
      </c>
      <c r="N202" s="116">
        <v>46.94</v>
      </c>
      <c r="O202" s="116">
        <v>46.010000000000005</v>
      </c>
      <c r="P202" s="116">
        <v>46.8</v>
      </c>
      <c r="Q202" s="116">
        <v>232.2</v>
      </c>
      <c r="R202">
        <v>356</v>
      </c>
    </row>
    <row r="203" spans="1:18" x14ac:dyDescent="0.25">
      <c r="A203" s="170">
        <v>42305</v>
      </c>
      <c r="B203" s="116">
        <v>46</v>
      </c>
      <c r="C203" s="116">
        <v>45.2</v>
      </c>
      <c r="D203" s="116">
        <v>45.2</v>
      </c>
      <c r="E203" s="116">
        <v>45.6</v>
      </c>
      <c r="F203" s="116">
        <v>226</v>
      </c>
      <c r="G203">
        <v>6</v>
      </c>
      <c r="H203" s="116"/>
      <c r="I203" s="116"/>
      <c r="L203" s="170">
        <v>42300</v>
      </c>
      <c r="M203" s="116">
        <v>46.3</v>
      </c>
      <c r="N203" s="116">
        <v>47</v>
      </c>
      <c r="O203" s="116">
        <v>46.3</v>
      </c>
      <c r="P203" s="116">
        <v>47</v>
      </c>
      <c r="Q203" s="116">
        <v>231.5</v>
      </c>
      <c r="R203">
        <v>1110</v>
      </c>
    </row>
    <row r="204" spans="1:18" x14ac:dyDescent="0.25">
      <c r="A204" s="170">
        <v>42306</v>
      </c>
      <c r="B204" s="116">
        <v>45.4</v>
      </c>
      <c r="C204" s="116">
        <v>44.92</v>
      </c>
      <c r="D204" s="116">
        <v>44.5</v>
      </c>
      <c r="E204" s="116">
        <v>45.019999999999996</v>
      </c>
      <c r="F204" s="116">
        <v>224.6</v>
      </c>
      <c r="G204">
        <v>612</v>
      </c>
      <c r="H204" s="116"/>
      <c r="I204" s="116"/>
      <c r="L204" s="170">
        <v>42303</v>
      </c>
      <c r="M204" s="116">
        <v>45.67</v>
      </c>
      <c r="N204" s="116">
        <v>47</v>
      </c>
      <c r="O204" s="116">
        <v>45.339999999999996</v>
      </c>
      <c r="P204" s="116">
        <v>46.96</v>
      </c>
      <c r="Q204" s="116">
        <v>228.35</v>
      </c>
      <c r="R204">
        <v>2037</v>
      </c>
    </row>
    <row r="205" spans="1:18" x14ac:dyDescent="0.25">
      <c r="A205" s="170">
        <v>42307</v>
      </c>
      <c r="B205" s="116">
        <v>45.8</v>
      </c>
      <c r="C205" s="116">
        <v>45.8</v>
      </c>
      <c r="D205" s="116">
        <v>44.54</v>
      </c>
      <c r="E205" s="116">
        <v>44.92</v>
      </c>
      <c r="F205" s="116">
        <v>229</v>
      </c>
      <c r="G205">
        <v>127</v>
      </c>
      <c r="H205" s="116"/>
      <c r="I205" s="116"/>
      <c r="L205" s="170">
        <v>42304</v>
      </c>
      <c r="M205" s="116">
        <v>45.62</v>
      </c>
      <c r="N205" s="116">
        <v>45.8</v>
      </c>
      <c r="O205" s="116">
        <v>45.2</v>
      </c>
      <c r="P205" s="116">
        <v>45.4</v>
      </c>
      <c r="Q205" s="116">
        <v>228.1</v>
      </c>
      <c r="R205">
        <v>92</v>
      </c>
    </row>
    <row r="206" spans="1:18" x14ac:dyDescent="0.25">
      <c r="A206" s="170">
        <v>42310</v>
      </c>
      <c r="B206" s="116">
        <v>44.4</v>
      </c>
      <c r="C206" s="116">
        <v>44.22</v>
      </c>
      <c r="D206" s="116">
        <v>44</v>
      </c>
      <c r="E206" s="116">
        <v>44.4</v>
      </c>
      <c r="F206" s="116">
        <v>221.1</v>
      </c>
      <c r="G206">
        <v>52</v>
      </c>
      <c r="H206" s="116"/>
      <c r="I206" s="116"/>
      <c r="L206" s="170">
        <v>42305</v>
      </c>
      <c r="M206" s="116">
        <v>46.92</v>
      </c>
      <c r="N206" s="116">
        <v>47.5</v>
      </c>
      <c r="O206" s="116">
        <v>45.2</v>
      </c>
      <c r="P206" s="116">
        <v>45.2</v>
      </c>
      <c r="Q206" s="116">
        <v>234.6</v>
      </c>
      <c r="R206">
        <v>438</v>
      </c>
    </row>
    <row r="207" spans="1:18" x14ac:dyDescent="0.25">
      <c r="A207" s="170">
        <v>42311</v>
      </c>
      <c r="B207" s="116">
        <v>45.980000000000004</v>
      </c>
      <c r="C207" s="116">
        <v>44.6</v>
      </c>
      <c r="D207" s="116">
        <v>44.6</v>
      </c>
      <c r="E207" s="116">
        <v>44.6</v>
      </c>
      <c r="F207" s="116">
        <v>223</v>
      </c>
      <c r="G207">
        <v>107</v>
      </c>
      <c r="H207" s="116"/>
      <c r="I207" s="116"/>
      <c r="L207" s="170">
        <v>42306</v>
      </c>
      <c r="M207" s="116">
        <v>44.8</v>
      </c>
      <c r="N207" s="116">
        <v>47.2</v>
      </c>
      <c r="O207" s="116">
        <v>44.6</v>
      </c>
      <c r="P207" s="116">
        <v>45.4</v>
      </c>
      <c r="Q207" s="116">
        <v>224</v>
      </c>
      <c r="R207">
        <v>1108</v>
      </c>
    </row>
    <row r="208" spans="1:18" x14ac:dyDescent="0.25">
      <c r="A208" s="170">
        <v>42312</v>
      </c>
      <c r="B208" s="116">
        <v>44.42</v>
      </c>
      <c r="C208" s="116">
        <v>44.4</v>
      </c>
      <c r="D208" s="116">
        <v>44.4</v>
      </c>
      <c r="E208" s="116">
        <v>44.42</v>
      </c>
      <c r="F208" s="116">
        <v>222</v>
      </c>
      <c r="G208">
        <v>10</v>
      </c>
      <c r="H208" s="116"/>
      <c r="I208" s="116"/>
      <c r="L208" s="170">
        <v>42307</v>
      </c>
      <c r="M208" s="116">
        <v>46.010000000000005</v>
      </c>
      <c r="N208" s="116">
        <v>47.8</v>
      </c>
      <c r="O208" s="116">
        <v>44.2</v>
      </c>
      <c r="P208" s="116">
        <v>47.8</v>
      </c>
      <c r="Q208" s="116">
        <v>230.05</v>
      </c>
      <c r="R208">
        <v>771</v>
      </c>
    </row>
    <row r="209" spans="1:18" x14ac:dyDescent="0.25">
      <c r="A209" s="170">
        <v>42313</v>
      </c>
      <c r="B209" s="116">
        <v>44.980000000000004</v>
      </c>
      <c r="C209" s="116">
        <v>44.2</v>
      </c>
      <c r="D209" s="116">
        <v>43</v>
      </c>
      <c r="E209" s="116">
        <v>44.42</v>
      </c>
      <c r="F209" s="116">
        <v>221</v>
      </c>
      <c r="G209">
        <v>1187</v>
      </c>
      <c r="H209" s="116"/>
      <c r="I209" s="116"/>
      <c r="L209" s="170">
        <v>42311</v>
      </c>
      <c r="M209" s="116">
        <v>44.1</v>
      </c>
      <c r="N209" s="116">
        <v>45.2</v>
      </c>
      <c r="O209" s="116">
        <v>44.06</v>
      </c>
      <c r="P209" s="116">
        <v>45.2</v>
      </c>
      <c r="Q209" s="116">
        <v>220.5</v>
      </c>
      <c r="R209">
        <v>530</v>
      </c>
    </row>
    <row r="210" spans="1:18" x14ac:dyDescent="0.25">
      <c r="A210" s="170">
        <v>42317</v>
      </c>
      <c r="B210" s="116">
        <v>45</v>
      </c>
      <c r="C210" s="116">
        <v>45</v>
      </c>
      <c r="D210" s="116">
        <v>45</v>
      </c>
      <c r="E210" s="116">
        <v>45</v>
      </c>
      <c r="F210" s="116">
        <v>225</v>
      </c>
      <c r="G210">
        <v>46</v>
      </c>
      <c r="H210" s="116"/>
      <c r="I210" s="116"/>
      <c r="L210" s="170">
        <v>42312</v>
      </c>
      <c r="M210" s="116">
        <v>45.4</v>
      </c>
      <c r="N210" s="116">
        <v>46.739999999999995</v>
      </c>
      <c r="O210" s="116">
        <v>44.4</v>
      </c>
      <c r="P210" s="116">
        <v>46.739999999999995</v>
      </c>
      <c r="Q210" s="116">
        <v>227</v>
      </c>
      <c r="R210">
        <v>349</v>
      </c>
    </row>
    <row r="211" spans="1:18" x14ac:dyDescent="0.25">
      <c r="A211" s="170">
        <v>42318</v>
      </c>
      <c r="B211" s="116">
        <v>46</v>
      </c>
      <c r="C211" s="116">
        <v>45.8</v>
      </c>
      <c r="D211" s="116">
        <v>42.260000000000005</v>
      </c>
      <c r="E211" s="116">
        <v>43.2</v>
      </c>
      <c r="F211" s="116">
        <v>229</v>
      </c>
      <c r="G211">
        <v>343</v>
      </c>
      <c r="H211" s="116"/>
      <c r="I211" s="116"/>
      <c r="L211" s="170">
        <v>42313</v>
      </c>
      <c r="M211" s="116">
        <v>44.8</v>
      </c>
      <c r="N211" s="116">
        <v>45</v>
      </c>
      <c r="O211" s="116">
        <v>44.5</v>
      </c>
      <c r="P211" s="116">
        <v>45</v>
      </c>
      <c r="Q211" s="116">
        <v>224</v>
      </c>
      <c r="R211">
        <v>621</v>
      </c>
    </row>
    <row r="212" spans="1:18" x14ac:dyDescent="0.25">
      <c r="A212" s="170">
        <v>42319</v>
      </c>
      <c r="B212" s="116">
        <v>47</v>
      </c>
      <c r="C212" s="116">
        <v>47</v>
      </c>
      <c r="D212" s="116">
        <v>47</v>
      </c>
      <c r="E212" s="116">
        <v>47</v>
      </c>
      <c r="F212" s="116">
        <v>235</v>
      </c>
      <c r="G212">
        <v>1</v>
      </c>
      <c r="H212" s="116"/>
      <c r="I212" s="116"/>
      <c r="L212" s="170">
        <v>42314</v>
      </c>
      <c r="M212" s="116">
        <v>45</v>
      </c>
      <c r="N212" s="116">
        <v>45</v>
      </c>
      <c r="O212" s="116">
        <v>44.5</v>
      </c>
      <c r="P212" s="116">
        <v>44.5</v>
      </c>
      <c r="Q212" s="116">
        <v>225</v>
      </c>
      <c r="R212">
        <v>130</v>
      </c>
    </row>
    <row r="213" spans="1:18" x14ac:dyDescent="0.25">
      <c r="A213" s="170">
        <v>42324</v>
      </c>
      <c r="B213" s="116">
        <v>45.9</v>
      </c>
      <c r="C213" s="116">
        <v>45.08</v>
      </c>
      <c r="D213" s="116">
        <v>44.8</v>
      </c>
      <c r="E213" s="116">
        <v>45.2</v>
      </c>
      <c r="F213" s="116">
        <v>225.4</v>
      </c>
      <c r="G213">
        <v>252</v>
      </c>
      <c r="H213" s="116"/>
      <c r="I213" s="116"/>
      <c r="L213" s="170">
        <v>42317</v>
      </c>
      <c r="M213" s="116">
        <v>44.1</v>
      </c>
      <c r="N213" s="116">
        <v>44.2</v>
      </c>
      <c r="O213" s="116">
        <v>44.1</v>
      </c>
      <c r="P213" s="116">
        <v>44.2</v>
      </c>
      <c r="Q213" s="116">
        <v>220.5</v>
      </c>
      <c r="R213">
        <v>75</v>
      </c>
    </row>
    <row r="214" spans="1:18" x14ac:dyDescent="0.25">
      <c r="A214" s="170">
        <v>42325</v>
      </c>
      <c r="B214" s="116">
        <v>45.8</v>
      </c>
      <c r="C214" s="116">
        <v>45.739999999999995</v>
      </c>
      <c r="D214" s="116">
        <v>45</v>
      </c>
      <c r="E214" s="116">
        <v>45</v>
      </c>
      <c r="F214" s="116">
        <v>228.7</v>
      </c>
      <c r="G214">
        <v>601</v>
      </c>
      <c r="H214" s="116"/>
      <c r="I214" s="116"/>
      <c r="L214" s="170">
        <v>42318</v>
      </c>
      <c r="M214" s="116">
        <v>45.239999999999995</v>
      </c>
      <c r="N214" s="116">
        <v>47.4</v>
      </c>
      <c r="O214" s="116">
        <v>44.3</v>
      </c>
      <c r="P214" s="116">
        <v>47.4</v>
      </c>
      <c r="Q214" s="116">
        <v>226.2</v>
      </c>
      <c r="R214">
        <v>1415</v>
      </c>
    </row>
    <row r="215" spans="1:18" x14ac:dyDescent="0.25">
      <c r="A215" s="170">
        <v>42326</v>
      </c>
      <c r="B215" s="116">
        <v>47</v>
      </c>
      <c r="C215" s="116">
        <v>46.86</v>
      </c>
      <c r="D215" s="116">
        <v>46.6</v>
      </c>
      <c r="E215" s="116">
        <v>46.6</v>
      </c>
      <c r="F215" s="116">
        <v>234.3</v>
      </c>
      <c r="G215">
        <v>3</v>
      </c>
      <c r="H215" s="116"/>
      <c r="I215" s="116"/>
      <c r="L215" s="170">
        <v>42321</v>
      </c>
      <c r="M215" s="116">
        <v>45</v>
      </c>
      <c r="N215" s="116">
        <v>45.2</v>
      </c>
      <c r="O215" s="116">
        <v>44.2</v>
      </c>
      <c r="P215" s="116">
        <v>44.7</v>
      </c>
      <c r="Q215" s="116">
        <v>225</v>
      </c>
      <c r="R215">
        <v>529</v>
      </c>
    </row>
    <row r="216" spans="1:18" x14ac:dyDescent="0.25">
      <c r="A216" s="170">
        <v>42328</v>
      </c>
      <c r="B216" s="116">
        <v>47</v>
      </c>
      <c r="C216" s="116">
        <v>45</v>
      </c>
      <c r="D216" s="116">
        <v>45</v>
      </c>
      <c r="E216" s="116">
        <v>46.980000000000004</v>
      </c>
      <c r="F216" s="116">
        <v>225</v>
      </c>
      <c r="G216">
        <v>552</v>
      </c>
      <c r="H216" s="116"/>
      <c r="I216" s="116"/>
      <c r="L216" s="170">
        <v>42324</v>
      </c>
      <c r="M216" s="116">
        <v>45.05</v>
      </c>
      <c r="N216" s="116">
        <v>46.2</v>
      </c>
      <c r="O216" s="116">
        <v>43.45</v>
      </c>
      <c r="P216" s="116">
        <v>44.2</v>
      </c>
      <c r="Q216" s="116">
        <v>225.25</v>
      </c>
      <c r="R216">
        <v>1163</v>
      </c>
    </row>
    <row r="217" spans="1:18" x14ac:dyDescent="0.25">
      <c r="A217" s="170">
        <v>42331</v>
      </c>
      <c r="B217" s="116">
        <v>44.6</v>
      </c>
      <c r="C217" s="116">
        <v>44.4</v>
      </c>
      <c r="D217" s="116">
        <v>44</v>
      </c>
      <c r="E217" s="116">
        <v>44.6</v>
      </c>
      <c r="F217" s="116">
        <v>222</v>
      </c>
      <c r="G217">
        <v>110</v>
      </c>
      <c r="H217" s="116"/>
      <c r="I217" s="116"/>
      <c r="L217" s="170">
        <v>42325</v>
      </c>
      <c r="M217" s="116">
        <v>44.8</v>
      </c>
      <c r="N217" s="116">
        <v>45.58</v>
      </c>
      <c r="O217" s="116">
        <v>44.8</v>
      </c>
      <c r="P217" s="116">
        <v>45</v>
      </c>
      <c r="Q217" s="116">
        <v>224</v>
      </c>
      <c r="R217">
        <v>253</v>
      </c>
    </row>
    <row r="218" spans="1:18" x14ac:dyDescent="0.25">
      <c r="A218" s="170">
        <v>42332</v>
      </c>
      <c r="B218" s="116">
        <v>46.4</v>
      </c>
      <c r="C218" s="116">
        <v>45.6</v>
      </c>
      <c r="D218" s="116">
        <v>45.6</v>
      </c>
      <c r="E218" s="116">
        <v>46.4</v>
      </c>
      <c r="F218" s="116">
        <v>228</v>
      </c>
      <c r="G218">
        <v>55</v>
      </c>
      <c r="H218" s="116"/>
      <c r="I218" s="116"/>
      <c r="L218" s="170">
        <v>42326</v>
      </c>
      <c r="M218" s="116">
        <v>45.79</v>
      </c>
      <c r="N218" s="116">
        <v>45.8</v>
      </c>
      <c r="O218" s="116">
        <v>44.8</v>
      </c>
      <c r="P218" s="116">
        <v>45</v>
      </c>
      <c r="Q218" s="116">
        <v>228.95</v>
      </c>
      <c r="R218">
        <v>3701</v>
      </c>
    </row>
    <row r="219" spans="1:18" x14ac:dyDescent="0.25">
      <c r="A219" s="170">
        <v>42334</v>
      </c>
      <c r="B219" s="116">
        <v>46</v>
      </c>
      <c r="C219" s="116">
        <v>45</v>
      </c>
      <c r="D219" s="116">
        <v>45</v>
      </c>
      <c r="E219" s="116">
        <v>46</v>
      </c>
      <c r="F219" s="116">
        <v>225</v>
      </c>
      <c r="G219">
        <v>37</v>
      </c>
      <c r="H219" s="116"/>
      <c r="I219" s="116"/>
      <c r="L219" s="170">
        <v>42327</v>
      </c>
      <c r="M219" s="116">
        <v>45</v>
      </c>
      <c r="N219" s="116">
        <v>45</v>
      </c>
      <c r="O219" s="116">
        <v>45</v>
      </c>
      <c r="P219" s="116">
        <v>45</v>
      </c>
      <c r="Q219" s="116">
        <v>225</v>
      </c>
      <c r="R219">
        <v>32</v>
      </c>
    </row>
    <row r="220" spans="1:18" x14ac:dyDescent="0.25">
      <c r="A220" s="170">
        <v>42335</v>
      </c>
      <c r="B220" s="116">
        <v>45.8</v>
      </c>
      <c r="C220" s="116">
        <v>45.2</v>
      </c>
      <c r="D220" s="116">
        <v>45.2</v>
      </c>
      <c r="E220" s="116">
        <v>45.8</v>
      </c>
      <c r="F220" s="116">
        <v>226</v>
      </c>
      <c r="G220">
        <v>363</v>
      </c>
      <c r="H220" s="116"/>
      <c r="I220" s="116"/>
      <c r="L220" s="170">
        <v>42328</v>
      </c>
      <c r="M220" s="116">
        <v>45.22</v>
      </c>
      <c r="N220" s="116">
        <v>46.2</v>
      </c>
      <c r="O220" s="116">
        <v>44.9</v>
      </c>
      <c r="P220" s="116">
        <v>46.18</v>
      </c>
      <c r="Q220" s="116">
        <v>226.1</v>
      </c>
      <c r="R220">
        <v>2257</v>
      </c>
    </row>
    <row r="221" spans="1:18" x14ac:dyDescent="0.25">
      <c r="A221" s="170">
        <v>42338</v>
      </c>
      <c r="B221" s="116">
        <v>46.980000000000004</v>
      </c>
      <c r="C221" s="116">
        <v>46.8</v>
      </c>
      <c r="D221" s="116">
        <v>46.8</v>
      </c>
      <c r="E221" s="116">
        <v>46.980000000000004</v>
      </c>
      <c r="F221" s="116">
        <v>234</v>
      </c>
      <c r="G221">
        <v>2</v>
      </c>
      <c r="H221" s="116"/>
      <c r="I221" s="116"/>
      <c r="L221" s="170">
        <v>42331</v>
      </c>
      <c r="M221" s="116">
        <v>45.85</v>
      </c>
      <c r="N221" s="116">
        <v>46.28</v>
      </c>
      <c r="O221" s="116">
        <v>44.81</v>
      </c>
      <c r="P221" s="116">
        <v>45.760000000000005</v>
      </c>
      <c r="Q221" s="116">
        <v>229.25</v>
      </c>
      <c r="R221">
        <v>1485</v>
      </c>
    </row>
    <row r="222" spans="1:18" x14ac:dyDescent="0.25">
      <c r="A222" s="170">
        <v>42339</v>
      </c>
      <c r="B222" s="116">
        <v>46.58</v>
      </c>
      <c r="C222" s="116">
        <v>46.58</v>
      </c>
      <c r="D222" s="116">
        <v>46.58</v>
      </c>
      <c r="E222" s="116">
        <v>46.58</v>
      </c>
      <c r="F222" s="116">
        <v>232.9</v>
      </c>
      <c r="G222">
        <v>150</v>
      </c>
      <c r="H222" s="116"/>
      <c r="I222" s="116"/>
      <c r="L222" s="170">
        <v>42332</v>
      </c>
      <c r="M222" s="116">
        <v>45.4</v>
      </c>
      <c r="N222" s="116">
        <v>45.96</v>
      </c>
      <c r="O222" s="116">
        <v>45.39</v>
      </c>
      <c r="P222" s="116">
        <v>45.4</v>
      </c>
      <c r="Q222" s="116">
        <v>227</v>
      </c>
      <c r="R222">
        <v>847</v>
      </c>
    </row>
    <row r="223" spans="1:18" x14ac:dyDescent="0.25">
      <c r="A223" s="170">
        <v>42340</v>
      </c>
      <c r="B223" s="116">
        <v>46.6</v>
      </c>
      <c r="C223" s="116">
        <v>45.96</v>
      </c>
      <c r="D223" s="116">
        <v>45.3</v>
      </c>
      <c r="E223" s="116">
        <v>46.6</v>
      </c>
      <c r="F223" s="116">
        <v>229.8</v>
      </c>
      <c r="G223">
        <v>525</v>
      </c>
      <c r="H223" s="116"/>
      <c r="I223" s="116"/>
      <c r="L223" s="170">
        <v>42334</v>
      </c>
      <c r="M223" s="116">
        <v>45.4</v>
      </c>
      <c r="N223" s="116">
        <v>46.089999999999996</v>
      </c>
      <c r="O223" s="116">
        <v>45</v>
      </c>
      <c r="P223" s="116">
        <v>45</v>
      </c>
      <c r="Q223" s="116">
        <v>227</v>
      </c>
      <c r="R223">
        <v>468</v>
      </c>
    </row>
    <row r="224" spans="1:18" x14ac:dyDescent="0.25">
      <c r="A224" s="170">
        <v>42341</v>
      </c>
      <c r="B224" s="116">
        <v>45.58</v>
      </c>
      <c r="C224" s="116">
        <v>44.8</v>
      </c>
      <c r="D224" s="116">
        <v>44.6</v>
      </c>
      <c r="E224" s="116">
        <v>45</v>
      </c>
      <c r="F224" s="116">
        <v>224</v>
      </c>
      <c r="G224">
        <v>4489</v>
      </c>
      <c r="H224" s="116"/>
      <c r="I224" s="116"/>
      <c r="L224" s="170">
        <v>42335</v>
      </c>
      <c r="M224" s="116">
        <v>45.2</v>
      </c>
      <c r="N224" s="116">
        <v>45.6</v>
      </c>
      <c r="O224" s="116">
        <v>45.2</v>
      </c>
      <c r="P224" s="116">
        <v>45.2</v>
      </c>
      <c r="Q224" s="116">
        <v>226</v>
      </c>
      <c r="R224">
        <v>980</v>
      </c>
    </row>
    <row r="225" spans="1:18" x14ac:dyDescent="0.25">
      <c r="A225" s="170">
        <v>42342</v>
      </c>
      <c r="B225" s="116">
        <v>46.2</v>
      </c>
      <c r="C225" s="116">
        <v>46.1</v>
      </c>
      <c r="D225" s="116">
        <v>44.6</v>
      </c>
      <c r="E225" s="116">
        <v>46</v>
      </c>
      <c r="F225" s="116">
        <v>230.5</v>
      </c>
      <c r="G225">
        <v>736</v>
      </c>
      <c r="H225" s="116"/>
      <c r="I225" s="116"/>
      <c r="L225" s="170">
        <v>42338</v>
      </c>
      <c r="M225" s="116">
        <v>46.44</v>
      </c>
      <c r="N225" s="116">
        <v>46.8</v>
      </c>
      <c r="O225" s="116">
        <v>45.2</v>
      </c>
      <c r="P225" s="116">
        <v>45.6</v>
      </c>
      <c r="Q225" s="116">
        <v>232.2</v>
      </c>
      <c r="R225">
        <v>407</v>
      </c>
    </row>
    <row r="226" spans="1:18" x14ac:dyDescent="0.25">
      <c r="A226" s="170">
        <v>42345</v>
      </c>
      <c r="B226" s="116">
        <v>46</v>
      </c>
      <c r="C226" s="116">
        <v>45.32</v>
      </c>
      <c r="D226" s="116">
        <v>45</v>
      </c>
      <c r="E226" s="116">
        <v>45.2</v>
      </c>
      <c r="F226" s="116">
        <v>226.6</v>
      </c>
      <c r="G226">
        <v>170</v>
      </c>
      <c r="H226" s="116"/>
      <c r="I226" s="116"/>
      <c r="L226" s="170">
        <v>42339</v>
      </c>
      <c r="M226" s="116">
        <v>45.260000000000005</v>
      </c>
      <c r="N226" s="116">
        <v>46.4</v>
      </c>
      <c r="O226" s="116">
        <v>45.21</v>
      </c>
      <c r="P226" s="116">
        <v>46.4</v>
      </c>
      <c r="Q226" s="116">
        <v>226.3</v>
      </c>
      <c r="R226">
        <v>428</v>
      </c>
    </row>
    <row r="227" spans="1:18" x14ac:dyDescent="0.25">
      <c r="A227" s="170">
        <v>42346</v>
      </c>
      <c r="B227" s="116">
        <v>45.8</v>
      </c>
      <c r="C227" s="116">
        <v>44.72</v>
      </c>
      <c r="D227" s="116">
        <v>44.5</v>
      </c>
      <c r="E227" s="116">
        <v>45</v>
      </c>
      <c r="F227" s="116">
        <v>223.6</v>
      </c>
      <c r="G227">
        <v>14</v>
      </c>
      <c r="H227" s="116"/>
      <c r="I227" s="116"/>
      <c r="L227" s="170">
        <v>42340</v>
      </c>
      <c r="M227" s="116">
        <v>45.8</v>
      </c>
      <c r="N227" s="116">
        <v>46.18</v>
      </c>
      <c r="O227" s="116">
        <v>44.519999999999996</v>
      </c>
      <c r="P227" s="116">
        <v>45.22</v>
      </c>
      <c r="Q227" s="116">
        <v>229</v>
      </c>
      <c r="R227">
        <v>2223</v>
      </c>
    </row>
    <row r="228" spans="1:18" x14ac:dyDescent="0.25">
      <c r="A228" s="170">
        <v>42347</v>
      </c>
      <c r="B228" s="116">
        <v>44.2</v>
      </c>
      <c r="C228" s="116">
        <v>43.8</v>
      </c>
      <c r="D228" s="116">
        <v>42.68</v>
      </c>
      <c r="E228" s="116">
        <v>44.2</v>
      </c>
      <c r="F228" s="116">
        <v>219</v>
      </c>
      <c r="G228">
        <v>58</v>
      </c>
      <c r="H228" s="116"/>
      <c r="I228" s="116"/>
      <c r="L228" s="170">
        <v>42341</v>
      </c>
      <c r="M228" s="116">
        <v>44.82</v>
      </c>
      <c r="N228" s="116">
        <v>45.79</v>
      </c>
      <c r="O228" s="116">
        <v>44.72</v>
      </c>
      <c r="P228" s="116">
        <v>45.4</v>
      </c>
      <c r="Q228" s="116">
        <v>224.1</v>
      </c>
      <c r="R228">
        <v>4692</v>
      </c>
    </row>
    <row r="229" spans="1:18" x14ac:dyDescent="0.25">
      <c r="A229" s="170">
        <v>42348</v>
      </c>
      <c r="B229" s="116">
        <v>47</v>
      </c>
      <c r="C229" s="116">
        <v>46.42</v>
      </c>
      <c r="D229" s="116">
        <v>45.4</v>
      </c>
      <c r="E229" s="116">
        <v>46</v>
      </c>
      <c r="F229" s="116">
        <v>232.1</v>
      </c>
      <c r="G229">
        <v>7</v>
      </c>
      <c r="H229" s="116"/>
      <c r="I229" s="116"/>
      <c r="L229" s="170">
        <v>42342</v>
      </c>
      <c r="M229" s="116">
        <v>45.8</v>
      </c>
      <c r="N229" s="116">
        <v>45.8</v>
      </c>
      <c r="O229" s="116">
        <v>45.6</v>
      </c>
      <c r="P229" s="116">
        <v>45.6</v>
      </c>
      <c r="Q229" s="116">
        <v>229</v>
      </c>
      <c r="R229">
        <v>70</v>
      </c>
    </row>
    <row r="230" spans="1:18" x14ac:dyDescent="0.25">
      <c r="A230" s="170">
        <v>42349</v>
      </c>
      <c r="B230" s="116">
        <v>46.58</v>
      </c>
      <c r="C230" s="116">
        <v>44.64</v>
      </c>
      <c r="D230" s="116">
        <v>44.2</v>
      </c>
      <c r="E230" s="116">
        <v>46.58</v>
      </c>
      <c r="F230" s="116">
        <v>223.2</v>
      </c>
      <c r="G230">
        <v>7</v>
      </c>
      <c r="H230" s="116"/>
      <c r="I230" s="116"/>
      <c r="L230" s="170">
        <v>42345</v>
      </c>
      <c r="M230" s="116">
        <v>45.839999999999996</v>
      </c>
      <c r="N230" s="116">
        <v>46</v>
      </c>
      <c r="O230" s="116">
        <v>45.2</v>
      </c>
      <c r="P230" s="116">
        <v>45.2</v>
      </c>
      <c r="Q230" s="116">
        <v>229.2</v>
      </c>
      <c r="R230">
        <v>275</v>
      </c>
    </row>
    <row r="231" spans="1:18" x14ac:dyDescent="0.25">
      <c r="A231" s="170">
        <v>42352</v>
      </c>
      <c r="B231" s="116">
        <v>46.8</v>
      </c>
      <c r="C231" s="116">
        <v>44.8</v>
      </c>
      <c r="D231" s="116">
        <v>44.2</v>
      </c>
      <c r="E231" s="116">
        <v>44.2</v>
      </c>
      <c r="F231" s="116">
        <v>224</v>
      </c>
      <c r="G231">
        <v>4</v>
      </c>
      <c r="H231" s="116"/>
      <c r="I231" s="116"/>
      <c r="L231" s="170">
        <v>42346</v>
      </c>
      <c r="M231" s="116">
        <v>44.4</v>
      </c>
      <c r="N231" s="116">
        <v>45</v>
      </c>
      <c r="O231" s="116">
        <v>43.54</v>
      </c>
      <c r="P231" s="116">
        <v>44.8</v>
      </c>
      <c r="Q231" s="116">
        <v>222</v>
      </c>
      <c r="R231">
        <v>1161</v>
      </c>
    </row>
    <row r="232" spans="1:18" x14ac:dyDescent="0.25">
      <c r="A232" s="170">
        <v>42353</v>
      </c>
      <c r="B232" s="116">
        <v>45.6</v>
      </c>
      <c r="C232" s="116">
        <v>45.58</v>
      </c>
      <c r="D232" s="116">
        <v>43.68</v>
      </c>
      <c r="E232" s="116">
        <v>44</v>
      </c>
      <c r="F232" s="116">
        <v>227.9</v>
      </c>
      <c r="G232">
        <v>466</v>
      </c>
      <c r="H232" s="116"/>
      <c r="I232" s="116"/>
      <c r="L232" s="170">
        <v>42347</v>
      </c>
      <c r="M232" s="116">
        <v>43.660000000000004</v>
      </c>
      <c r="N232" s="116">
        <v>44.95</v>
      </c>
      <c r="O232" s="116">
        <v>43</v>
      </c>
      <c r="P232" s="116">
        <v>44.4</v>
      </c>
      <c r="Q232" s="116">
        <v>218.3</v>
      </c>
      <c r="R232">
        <v>617</v>
      </c>
    </row>
    <row r="233" spans="1:18" x14ac:dyDescent="0.25">
      <c r="A233" s="170">
        <v>42354</v>
      </c>
      <c r="B233" s="116">
        <v>45.8</v>
      </c>
      <c r="C233" s="116">
        <v>45.78</v>
      </c>
      <c r="D233" s="116">
        <v>45.38</v>
      </c>
      <c r="E233" s="116">
        <v>45.78</v>
      </c>
      <c r="F233" s="116">
        <v>228.9</v>
      </c>
      <c r="G233">
        <v>204</v>
      </c>
      <c r="H233" s="116"/>
      <c r="I233" s="116"/>
      <c r="L233" s="170">
        <v>42348</v>
      </c>
      <c r="M233" s="116">
        <v>44.46</v>
      </c>
      <c r="N233" s="116">
        <v>44.989999999999995</v>
      </c>
      <c r="O233" s="116">
        <v>43.480000000000004</v>
      </c>
      <c r="P233" s="116">
        <v>43.480000000000004</v>
      </c>
      <c r="Q233" s="116">
        <v>222.3</v>
      </c>
      <c r="R233">
        <v>118</v>
      </c>
    </row>
    <row r="234" spans="1:18" x14ac:dyDescent="0.25">
      <c r="A234" s="170">
        <v>42355</v>
      </c>
      <c r="B234" s="116">
        <v>46.8</v>
      </c>
      <c r="C234" s="116">
        <v>45.480000000000004</v>
      </c>
      <c r="D234" s="116">
        <v>44.2</v>
      </c>
      <c r="E234" s="116">
        <v>44.2</v>
      </c>
      <c r="F234" s="116">
        <v>227.4</v>
      </c>
      <c r="G234">
        <v>586</v>
      </c>
      <c r="H234" s="116"/>
      <c r="I234" s="116"/>
      <c r="L234" s="170">
        <v>42349</v>
      </c>
      <c r="M234" s="116">
        <v>44.7</v>
      </c>
      <c r="N234" s="116">
        <v>50</v>
      </c>
      <c r="O234" s="116">
        <v>44</v>
      </c>
      <c r="P234" s="116">
        <v>50</v>
      </c>
      <c r="Q234" s="116">
        <v>223.5</v>
      </c>
      <c r="R234">
        <v>393</v>
      </c>
    </row>
    <row r="235" spans="1:18" x14ac:dyDescent="0.25">
      <c r="A235" s="170">
        <v>42356</v>
      </c>
      <c r="B235" s="116">
        <v>45.14</v>
      </c>
      <c r="C235" s="116">
        <v>45.08</v>
      </c>
      <c r="D235" s="116">
        <v>45</v>
      </c>
      <c r="E235" s="116">
        <v>45.14</v>
      </c>
      <c r="F235" s="116">
        <v>225.4</v>
      </c>
      <c r="G235">
        <v>135</v>
      </c>
      <c r="H235" s="116"/>
      <c r="I235" s="116"/>
      <c r="L235" s="170">
        <v>42352</v>
      </c>
      <c r="M235" s="116">
        <v>44.4</v>
      </c>
      <c r="N235" s="116">
        <v>46.56</v>
      </c>
      <c r="O235" s="116">
        <v>44.4</v>
      </c>
      <c r="P235" s="116">
        <v>46.56</v>
      </c>
      <c r="Q235" s="116">
        <v>222</v>
      </c>
      <c r="R235">
        <v>445</v>
      </c>
    </row>
    <row r="236" spans="1:18" x14ac:dyDescent="0.25">
      <c r="A236" s="170">
        <v>42359</v>
      </c>
      <c r="B236" s="116">
        <v>45.6</v>
      </c>
      <c r="C236" s="116">
        <v>45.4</v>
      </c>
      <c r="D236" s="116">
        <v>45</v>
      </c>
      <c r="E236" s="116">
        <v>45.6</v>
      </c>
      <c r="F236" s="116">
        <v>227</v>
      </c>
      <c r="G236">
        <v>66</v>
      </c>
      <c r="H236" s="116"/>
      <c r="I236" s="116"/>
      <c r="L236" s="170">
        <v>42353</v>
      </c>
      <c r="M236" s="116">
        <v>45.31</v>
      </c>
      <c r="N236" s="116">
        <v>47</v>
      </c>
      <c r="O236" s="116">
        <v>44.21</v>
      </c>
      <c r="P236" s="116">
        <v>44.21</v>
      </c>
      <c r="Q236" s="116">
        <v>226.55</v>
      </c>
      <c r="R236">
        <v>289</v>
      </c>
    </row>
    <row r="237" spans="1:18" x14ac:dyDescent="0.25">
      <c r="A237" s="170">
        <v>42360</v>
      </c>
      <c r="B237" s="116">
        <v>48</v>
      </c>
      <c r="C237" s="116">
        <v>46.4</v>
      </c>
      <c r="D237" s="116">
        <v>45</v>
      </c>
      <c r="E237" s="116">
        <v>45</v>
      </c>
      <c r="F237" s="116">
        <v>232</v>
      </c>
      <c r="G237">
        <v>445</v>
      </c>
      <c r="H237" s="116"/>
      <c r="I237" s="116"/>
      <c r="L237" s="170">
        <v>42354</v>
      </c>
      <c r="M237" s="116">
        <v>44.42</v>
      </c>
      <c r="N237" s="116">
        <v>44.6</v>
      </c>
      <c r="O237" s="116">
        <v>43.61</v>
      </c>
      <c r="P237" s="116">
        <v>44.4</v>
      </c>
      <c r="Q237" s="116">
        <v>222.1</v>
      </c>
      <c r="R237">
        <v>593</v>
      </c>
    </row>
    <row r="238" spans="1:18" x14ac:dyDescent="0.25">
      <c r="A238" s="170">
        <v>42361</v>
      </c>
      <c r="B238" s="116">
        <v>48</v>
      </c>
      <c r="C238" s="116">
        <v>46.4</v>
      </c>
      <c r="D238" s="116">
        <v>46</v>
      </c>
      <c r="E238" s="116">
        <v>48</v>
      </c>
      <c r="F238" s="116">
        <v>232</v>
      </c>
      <c r="G238">
        <v>1378</v>
      </c>
      <c r="H238" s="116"/>
      <c r="I238" s="116"/>
      <c r="L238" s="170">
        <v>42355</v>
      </c>
      <c r="M238" s="116">
        <v>45.4</v>
      </c>
      <c r="N238" s="116">
        <v>45.989999999999995</v>
      </c>
      <c r="O238" s="116">
        <v>44.239999999999995</v>
      </c>
      <c r="P238" s="116">
        <v>44.239999999999995</v>
      </c>
      <c r="Q238" s="116">
        <v>227</v>
      </c>
      <c r="R238">
        <v>1310</v>
      </c>
    </row>
    <row r="239" spans="1:18" x14ac:dyDescent="0.25">
      <c r="A239" s="170">
        <v>42362</v>
      </c>
      <c r="B239" s="116">
        <v>47.9</v>
      </c>
      <c r="C239" s="116">
        <v>47.9</v>
      </c>
      <c r="D239" s="116">
        <v>47.5</v>
      </c>
      <c r="E239" s="116">
        <v>47.5</v>
      </c>
      <c r="F239" s="116">
        <v>239.5</v>
      </c>
      <c r="G239">
        <v>200</v>
      </c>
      <c r="H239" s="116"/>
      <c r="I239" s="116"/>
      <c r="L239" s="170">
        <v>42356</v>
      </c>
      <c r="M239" s="116">
        <v>45.06</v>
      </c>
      <c r="N239" s="116">
        <v>46</v>
      </c>
      <c r="O239" s="116">
        <v>45</v>
      </c>
      <c r="P239" s="116">
        <v>46</v>
      </c>
      <c r="Q239" s="116">
        <v>225.3</v>
      </c>
      <c r="R239">
        <v>2300</v>
      </c>
    </row>
    <row r="240" spans="1:18" x14ac:dyDescent="0.25">
      <c r="A240" s="170">
        <v>42366</v>
      </c>
      <c r="B240" s="116">
        <v>48</v>
      </c>
      <c r="C240" s="116">
        <v>47.18</v>
      </c>
      <c r="D240" s="116">
        <v>46.1</v>
      </c>
      <c r="E240" s="116">
        <v>47</v>
      </c>
      <c r="F240" s="116">
        <v>235.9</v>
      </c>
      <c r="G240">
        <v>353</v>
      </c>
      <c r="H240" s="116"/>
      <c r="I240" s="116"/>
      <c r="L240" s="170">
        <v>42359</v>
      </c>
      <c r="M240" s="116">
        <v>45.160000000000004</v>
      </c>
      <c r="N240" s="116">
        <v>45.58</v>
      </c>
      <c r="O240" s="116">
        <v>45</v>
      </c>
      <c r="P240" s="116">
        <v>45.230000000000004</v>
      </c>
      <c r="Q240" s="116">
        <v>225.8</v>
      </c>
      <c r="R240">
        <v>1618</v>
      </c>
    </row>
    <row r="241" spans="1:18" x14ac:dyDescent="0.25">
      <c r="A241" s="170">
        <v>42367</v>
      </c>
      <c r="B241" s="116">
        <v>46.4</v>
      </c>
      <c r="C241" s="116">
        <v>45.6</v>
      </c>
      <c r="D241" s="116">
        <v>45.6</v>
      </c>
      <c r="E241" s="116">
        <v>46</v>
      </c>
      <c r="F241" s="116">
        <v>228</v>
      </c>
      <c r="G241">
        <v>136</v>
      </c>
      <c r="H241" s="116"/>
      <c r="I241" s="116"/>
      <c r="L241" s="170">
        <v>42360</v>
      </c>
      <c r="M241" s="116">
        <v>46.61</v>
      </c>
      <c r="N241" s="116">
        <v>47.3</v>
      </c>
      <c r="O241" s="116">
        <v>45.1</v>
      </c>
      <c r="P241" s="116">
        <v>45.1</v>
      </c>
      <c r="Q241" s="116">
        <v>233.05</v>
      </c>
      <c r="R241">
        <v>2585</v>
      </c>
    </row>
    <row r="242" spans="1:18" x14ac:dyDescent="0.25">
      <c r="A242" s="170">
        <v>42368</v>
      </c>
      <c r="B242" s="116">
        <v>48</v>
      </c>
      <c r="C242" s="116">
        <v>45.62</v>
      </c>
      <c r="D242" s="116">
        <v>45.4</v>
      </c>
      <c r="E242" s="116">
        <v>45.4</v>
      </c>
      <c r="F242" s="116">
        <v>228.1</v>
      </c>
      <c r="G242">
        <v>21</v>
      </c>
      <c r="H242" s="116"/>
      <c r="I242" s="116"/>
      <c r="L242" s="170">
        <v>42361</v>
      </c>
      <c r="M242" s="116">
        <v>46.4</v>
      </c>
      <c r="N242" s="116">
        <v>46.730000000000004</v>
      </c>
      <c r="O242" s="116">
        <v>46.2</v>
      </c>
      <c r="P242" s="116">
        <v>46.61</v>
      </c>
      <c r="Q242" s="116">
        <v>232</v>
      </c>
      <c r="R242">
        <v>1583</v>
      </c>
    </row>
    <row r="243" spans="1:18" x14ac:dyDescent="0.25">
      <c r="A243" s="170">
        <v>42369</v>
      </c>
      <c r="B243" s="116">
        <v>48</v>
      </c>
      <c r="C243" s="116">
        <v>47.980000000000004</v>
      </c>
      <c r="D243" s="116">
        <v>46.3</v>
      </c>
      <c r="E243" s="116">
        <v>46.3</v>
      </c>
      <c r="F243" s="116">
        <v>239.9</v>
      </c>
      <c r="G243">
        <v>836</v>
      </c>
      <c r="H243" s="116"/>
      <c r="I243" s="116"/>
      <c r="L243" s="170">
        <v>42362</v>
      </c>
      <c r="M243" s="116">
        <v>46</v>
      </c>
      <c r="N243" s="116">
        <v>46.93</v>
      </c>
      <c r="O243" s="116">
        <v>46</v>
      </c>
      <c r="P243" s="116">
        <v>46.4</v>
      </c>
      <c r="Q243" s="116">
        <v>230</v>
      </c>
      <c r="R243">
        <v>795</v>
      </c>
    </row>
    <row r="244" spans="1:18" x14ac:dyDescent="0.25">
      <c r="A244" s="170">
        <v>42370</v>
      </c>
      <c r="B244" s="116">
        <v>48.82</v>
      </c>
      <c r="C244" s="116">
        <v>48.18</v>
      </c>
      <c r="D244" s="116">
        <v>47.9</v>
      </c>
      <c r="E244" s="116">
        <v>48.8</v>
      </c>
      <c r="F244" s="116">
        <v>240.9</v>
      </c>
      <c r="G244">
        <v>1614</v>
      </c>
      <c r="H244" s="116"/>
      <c r="I244" s="116"/>
      <c r="L244" s="170">
        <v>42366</v>
      </c>
      <c r="M244" s="116">
        <v>47.5</v>
      </c>
      <c r="N244" s="116">
        <v>47.760000000000005</v>
      </c>
      <c r="O244" s="116">
        <v>46.2</v>
      </c>
      <c r="P244" s="116">
        <v>46.2</v>
      </c>
      <c r="Q244" s="116">
        <v>237.5</v>
      </c>
      <c r="R244">
        <v>803</v>
      </c>
    </row>
    <row r="245" spans="1:18" x14ac:dyDescent="0.25">
      <c r="A245" s="170">
        <v>42373</v>
      </c>
      <c r="B245" s="116">
        <v>49.980000000000004</v>
      </c>
      <c r="C245" s="116">
        <v>48.660000000000004</v>
      </c>
      <c r="D245" s="116">
        <v>48</v>
      </c>
      <c r="E245" s="116">
        <v>49</v>
      </c>
      <c r="F245" s="116">
        <v>243.3</v>
      </c>
      <c r="G245">
        <v>1963</v>
      </c>
      <c r="H245" s="116"/>
      <c r="I245" s="116"/>
      <c r="L245" s="170">
        <v>42367</v>
      </c>
      <c r="M245" s="116">
        <v>46.239999999999995</v>
      </c>
      <c r="N245" s="116">
        <v>46.3</v>
      </c>
      <c r="O245" s="116">
        <v>46.2</v>
      </c>
      <c r="P245" s="116">
        <v>46.25</v>
      </c>
      <c r="Q245" s="116">
        <v>231.2</v>
      </c>
      <c r="R245">
        <v>175</v>
      </c>
    </row>
    <row r="246" spans="1:18" x14ac:dyDescent="0.25">
      <c r="A246" s="170">
        <v>42374</v>
      </c>
      <c r="B246" s="116">
        <v>49.4</v>
      </c>
      <c r="C246" s="116">
        <v>48.88</v>
      </c>
      <c r="D246" s="116">
        <v>47.6</v>
      </c>
      <c r="E246" s="116">
        <v>47.6</v>
      </c>
      <c r="F246" s="116">
        <v>244.4</v>
      </c>
      <c r="G246">
        <v>607</v>
      </c>
      <c r="H246" s="116"/>
      <c r="I246" s="116"/>
      <c r="L246" s="170">
        <v>42368</v>
      </c>
      <c r="M246" s="116">
        <v>46</v>
      </c>
      <c r="N246" s="116">
        <v>46.04</v>
      </c>
      <c r="O246" s="116">
        <v>46</v>
      </c>
      <c r="P246" s="116">
        <v>46</v>
      </c>
      <c r="Q246" s="116">
        <v>230</v>
      </c>
      <c r="R246">
        <v>235</v>
      </c>
    </row>
    <row r="247" spans="1:18" x14ac:dyDescent="0.25">
      <c r="A247" s="170">
        <v>42375</v>
      </c>
      <c r="B247" s="116">
        <v>49.6</v>
      </c>
      <c r="C247" s="116">
        <v>47.32</v>
      </c>
      <c r="D247" s="116">
        <v>47.3</v>
      </c>
      <c r="E247" s="116">
        <v>49.6</v>
      </c>
      <c r="F247" s="116">
        <v>236.6</v>
      </c>
      <c r="G247">
        <v>247</v>
      </c>
      <c r="H247" s="116"/>
      <c r="I247" s="116"/>
      <c r="L247" s="170">
        <v>42369</v>
      </c>
      <c r="M247" s="116">
        <v>47.79</v>
      </c>
      <c r="N247" s="116">
        <v>48</v>
      </c>
      <c r="O247" s="116">
        <v>46.03</v>
      </c>
      <c r="P247" s="116">
        <v>47</v>
      </c>
      <c r="Q247" s="116">
        <v>238.95</v>
      </c>
      <c r="R247">
        <v>3935</v>
      </c>
    </row>
    <row r="248" spans="1:18" x14ac:dyDescent="0.25">
      <c r="A248" s="170">
        <v>42376</v>
      </c>
      <c r="B248" s="116">
        <v>47</v>
      </c>
      <c r="C248" s="116">
        <v>45.62</v>
      </c>
      <c r="D248" s="116">
        <v>45.6</v>
      </c>
      <c r="E248" s="116">
        <v>47</v>
      </c>
      <c r="F248" s="116">
        <v>228.1</v>
      </c>
      <c r="G248">
        <v>405</v>
      </c>
      <c r="H248" s="116"/>
      <c r="I248" s="116"/>
      <c r="L248" s="170">
        <v>42370</v>
      </c>
      <c r="M248" s="116">
        <v>48.31</v>
      </c>
      <c r="N248" s="116">
        <v>49.79</v>
      </c>
      <c r="O248" s="116">
        <v>48.31</v>
      </c>
      <c r="P248" s="116">
        <v>49.79</v>
      </c>
      <c r="Q248" s="116">
        <v>241.55</v>
      </c>
      <c r="R248">
        <v>2017</v>
      </c>
    </row>
    <row r="249" spans="1:18" x14ac:dyDescent="0.25">
      <c r="A249" s="170">
        <v>42377</v>
      </c>
      <c r="B249" s="116">
        <v>47</v>
      </c>
      <c r="C249" s="116">
        <v>47</v>
      </c>
      <c r="D249" s="116">
        <v>45</v>
      </c>
      <c r="E249" s="116">
        <v>46</v>
      </c>
      <c r="F249" s="116">
        <v>235</v>
      </c>
      <c r="G249">
        <v>268</v>
      </c>
      <c r="H249" s="116"/>
      <c r="I249" s="116"/>
      <c r="L249" s="170">
        <v>42373</v>
      </c>
      <c r="M249" s="116">
        <v>48.489999999999995</v>
      </c>
      <c r="N249" s="116">
        <v>49.6</v>
      </c>
      <c r="O249" s="116">
        <v>47.22</v>
      </c>
      <c r="P249" s="116">
        <v>48.2</v>
      </c>
      <c r="Q249" s="116">
        <v>242.45</v>
      </c>
      <c r="R249">
        <v>1275</v>
      </c>
    </row>
    <row r="250" spans="1:18" x14ac:dyDescent="0.25">
      <c r="A250" s="170">
        <v>42380</v>
      </c>
      <c r="B250" s="116">
        <v>47.4</v>
      </c>
      <c r="C250" s="116">
        <v>47</v>
      </c>
      <c r="D250" s="116">
        <v>45.4</v>
      </c>
      <c r="E250" s="116">
        <v>47.4</v>
      </c>
      <c r="F250" s="116">
        <v>235</v>
      </c>
      <c r="G250">
        <v>4</v>
      </c>
      <c r="H250" s="116"/>
      <c r="I250" s="116"/>
      <c r="L250" s="170">
        <v>42374</v>
      </c>
      <c r="M250" s="116">
        <v>48.46</v>
      </c>
      <c r="N250" s="116">
        <v>49.4</v>
      </c>
      <c r="O250" s="116">
        <v>47.239999999999995</v>
      </c>
      <c r="P250" s="116">
        <v>47.8</v>
      </c>
      <c r="Q250" s="116">
        <v>242.3</v>
      </c>
      <c r="R250">
        <v>3151</v>
      </c>
    </row>
    <row r="251" spans="1:18" x14ac:dyDescent="0.25">
      <c r="A251" s="170">
        <v>42381</v>
      </c>
      <c r="B251" s="116">
        <v>47</v>
      </c>
      <c r="C251" s="116">
        <v>45.2</v>
      </c>
      <c r="D251" s="116">
        <v>45.2</v>
      </c>
      <c r="E251" s="116">
        <v>47</v>
      </c>
      <c r="F251" s="116">
        <v>226</v>
      </c>
      <c r="G251">
        <v>1305</v>
      </c>
      <c r="H251" s="116"/>
      <c r="I251" s="116"/>
      <c r="L251" s="170">
        <v>42375</v>
      </c>
      <c r="M251" s="116">
        <v>47.15</v>
      </c>
      <c r="N251" s="116">
        <v>48.8</v>
      </c>
      <c r="O251" s="116">
        <v>47.1</v>
      </c>
      <c r="P251" s="116">
        <v>48</v>
      </c>
      <c r="Q251" s="116">
        <v>235.75</v>
      </c>
      <c r="R251">
        <v>167</v>
      </c>
    </row>
    <row r="252" spans="1:18" x14ac:dyDescent="0.25">
      <c r="A252" s="170">
        <v>42382</v>
      </c>
      <c r="B252" s="116">
        <v>46</v>
      </c>
      <c r="C252" s="116">
        <v>44.36</v>
      </c>
      <c r="D252" s="116">
        <v>43.5</v>
      </c>
      <c r="E252" s="116">
        <v>46</v>
      </c>
      <c r="F252" s="116">
        <v>221.8</v>
      </c>
      <c r="G252">
        <v>100</v>
      </c>
      <c r="H252" s="116"/>
      <c r="I252" s="116"/>
      <c r="L252" s="170">
        <v>42376</v>
      </c>
      <c r="M252" s="116">
        <v>45.6</v>
      </c>
      <c r="N252" s="116">
        <v>47.45</v>
      </c>
      <c r="O252" s="116">
        <v>45.2</v>
      </c>
      <c r="P252" s="116">
        <v>46.6</v>
      </c>
      <c r="Q252" s="116">
        <v>228</v>
      </c>
      <c r="R252">
        <v>227</v>
      </c>
    </row>
    <row r="253" spans="1:18" x14ac:dyDescent="0.25">
      <c r="A253" s="170">
        <v>42383</v>
      </c>
      <c r="B253" s="116">
        <v>46</v>
      </c>
      <c r="C253" s="116">
        <v>46</v>
      </c>
      <c r="D253" s="116">
        <v>46</v>
      </c>
      <c r="E253" s="116">
        <v>46</v>
      </c>
      <c r="F253" s="116">
        <v>230</v>
      </c>
      <c r="G253">
        <v>2</v>
      </c>
      <c r="H253" s="116"/>
      <c r="I253" s="116"/>
      <c r="L253" s="170">
        <v>42377</v>
      </c>
      <c r="M253" s="116">
        <v>45.56</v>
      </c>
      <c r="N253" s="116">
        <v>47.4</v>
      </c>
      <c r="O253" s="116">
        <v>44.839999999999996</v>
      </c>
      <c r="P253" s="116">
        <v>46.8</v>
      </c>
      <c r="Q253" s="116">
        <v>227.8</v>
      </c>
      <c r="R253">
        <v>86</v>
      </c>
    </row>
    <row r="254" spans="1:18" x14ac:dyDescent="0.25">
      <c r="A254" s="170">
        <v>42384</v>
      </c>
      <c r="B254" s="116">
        <v>46</v>
      </c>
      <c r="C254" s="116">
        <v>43.480000000000004</v>
      </c>
      <c r="D254" s="116">
        <v>43.4</v>
      </c>
      <c r="E254" s="116">
        <v>46</v>
      </c>
      <c r="F254" s="116">
        <v>217.4</v>
      </c>
      <c r="G254">
        <v>283</v>
      </c>
      <c r="H254" s="116"/>
      <c r="I254" s="116"/>
      <c r="L254" s="170">
        <v>42380</v>
      </c>
      <c r="M254" s="116">
        <v>47.1</v>
      </c>
      <c r="N254" s="116">
        <v>47.1</v>
      </c>
      <c r="O254" s="116">
        <v>45.2</v>
      </c>
      <c r="P254" s="116">
        <v>45.6</v>
      </c>
      <c r="Q254" s="116">
        <v>235.5</v>
      </c>
      <c r="R254">
        <v>232</v>
      </c>
    </row>
    <row r="255" spans="1:18" x14ac:dyDescent="0.25">
      <c r="A255" s="170">
        <v>42387</v>
      </c>
      <c r="B255" s="116">
        <v>44.4</v>
      </c>
      <c r="C255" s="116">
        <v>41</v>
      </c>
      <c r="D255" s="116">
        <v>41</v>
      </c>
      <c r="E255" s="116">
        <v>44.4</v>
      </c>
      <c r="F255" s="116">
        <v>205</v>
      </c>
      <c r="G255">
        <v>15</v>
      </c>
      <c r="H255" s="116"/>
      <c r="I255" s="116"/>
      <c r="L255" s="170">
        <v>42381</v>
      </c>
      <c r="M255" s="116">
        <v>45.08</v>
      </c>
      <c r="N255" s="116">
        <v>47</v>
      </c>
      <c r="O255" s="116">
        <v>45.019999999999996</v>
      </c>
      <c r="P255" s="116">
        <v>46.239999999999995</v>
      </c>
      <c r="Q255" s="116">
        <v>225.4</v>
      </c>
      <c r="R255">
        <v>376</v>
      </c>
    </row>
    <row r="256" spans="1:18" x14ac:dyDescent="0.25">
      <c r="A256" s="170">
        <v>42388</v>
      </c>
      <c r="B256" s="116">
        <v>43</v>
      </c>
      <c r="C256" s="116">
        <v>42.8</v>
      </c>
      <c r="D256" s="116">
        <v>42.8</v>
      </c>
      <c r="E256" s="116">
        <v>43</v>
      </c>
      <c r="F256" s="116">
        <v>214</v>
      </c>
      <c r="G256">
        <v>3</v>
      </c>
      <c r="H256" s="116"/>
      <c r="I256" s="116"/>
      <c r="L256" s="170">
        <v>42382</v>
      </c>
      <c r="M256" s="116">
        <v>44</v>
      </c>
      <c r="N256" s="116">
        <v>48.1</v>
      </c>
      <c r="O256" s="116">
        <v>42</v>
      </c>
      <c r="P256" s="116">
        <v>45.6</v>
      </c>
      <c r="Q256" s="116">
        <v>220</v>
      </c>
      <c r="R256">
        <v>2832</v>
      </c>
    </row>
    <row r="257" spans="1:18" x14ac:dyDescent="0.25">
      <c r="A257" s="170">
        <v>42389</v>
      </c>
      <c r="B257" s="116">
        <v>41.980000000000004</v>
      </c>
      <c r="C257" s="116">
        <v>41.980000000000004</v>
      </c>
      <c r="D257" s="116">
        <v>40.06</v>
      </c>
      <c r="E257" s="116">
        <v>41.1</v>
      </c>
      <c r="F257" s="116">
        <v>209.9</v>
      </c>
      <c r="G257">
        <v>281</v>
      </c>
      <c r="H257" s="116"/>
      <c r="I257" s="116"/>
      <c r="L257" s="170">
        <v>42383</v>
      </c>
      <c r="M257" s="116">
        <v>44.4</v>
      </c>
      <c r="N257" s="116">
        <v>45.4</v>
      </c>
      <c r="O257" s="116">
        <v>42</v>
      </c>
      <c r="P257" s="116">
        <v>42.2</v>
      </c>
      <c r="Q257" s="116">
        <v>222</v>
      </c>
      <c r="R257">
        <v>36</v>
      </c>
    </row>
    <row r="258" spans="1:18" x14ac:dyDescent="0.25">
      <c r="A258" s="170">
        <v>42390</v>
      </c>
      <c r="B258" s="116">
        <v>43</v>
      </c>
      <c r="C258" s="116">
        <v>41.8</v>
      </c>
      <c r="D258" s="116">
        <v>41.8</v>
      </c>
      <c r="E258" s="116">
        <v>42</v>
      </c>
      <c r="F258" s="116">
        <v>209</v>
      </c>
      <c r="G258">
        <v>8</v>
      </c>
      <c r="H258" s="116"/>
      <c r="I258" s="116"/>
      <c r="L258" s="170">
        <v>42384</v>
      </c>
      <c r="M258" s="116">
        <v>44</v>
      </c>
      <c r="N258" s="116">
        <v>45</v>
      </c>
      <c r="O258" s="116">
        <v>43.42</v>
      </c>
      <c r="P258" s="116">
        <v>45</v>
      </c>
      <c r="Q258" s="116">
        <v>220</v>
      </c>
      <c r="R258">
        <v>536</v>
      </c>
    </row>
    <row r="259" spans="1:18" x14ac:dyDescent="0.25">
      <c r="A259" s="170">
        <v>42391</v>
      </c>
      <c r="B259" s="116">
        <v>42.6</v>
      </c>
      <c r="C259" s="116">
        <v>42.04</v>
      </c>
      <c r="D259" s="116">
        <v>40.880000000000003</v>
      </c>
      <c r="E259" s="116">
        <v>42</v>
      </c>
      <c r="F259" s="116">
        <v>210.2</v>
      </c>
      <c r="G259">
        <v>478</v>
      </c>
      <c r="H259" s="116"/>
      <c r="I259" s="116"/>
      <c r="L259" s="170">
        <v>42387</v>
      </c>
      <c r="M259" s="116">
        <v>41.87</v>
      </c>
      <c r="N259" s="116">
        <v>44.989999999999995</v>
      </c>
      <c r="O259" s="116">
        <v>41.25</v>
      </c>
      <c r="P259" s="116">
        <v>44.989999999999995</v>
      </c>
      <c r="Q259" s="116">
        <v>209.35</v>
      </c>
      <c r="R259">
        <v>113</v>
      </c>
    </row>
    <row r="260" spans="1:18" x14ac:dyDescent="0.25">
      <c r="A260" s="170">
        <v>42394</v>
      </c>
      <c r="B260" s="116">
        <v>44.9</v>
      </c>
      <c r="C260" s="116">
        <v>44</v>
      </c>
      <c r="D260" s="116">
        <v>43</v>
      </c>
      <c r="E260" s="116">
        <v>44.9</v>
      </c>
      <c r="F260" s="116">
        <v>220</v>
      </c>
      <c r="G260">
        <v>4</v>
      </c>
      <c r="H260" s="116"/>
      <c r="I260" s="116"/>
      <c r="L260" s="170">
        <v>42388</v>
      </c>
      <c r="M260" s="116">
        <v>41.339999999999996</v>
      </c>
      <c r="N260" s="116">
        <v>43.4</v>
      </c>
      <c r="O260" s="116">
        <v>41</v>
      </c>
      <c r="P260" s="116">
        <v>43.4</v>
      </c>
      <c r="Q260" s="116">
        <v>206.7</v>
      </c>
      <c r="R260">
        <v>142</v>
      </c>
    </row>
    <row r="261" spans="1:18" x14ac:dyDescent="0.25">
      <c r="A261" s="170">
        <v>42396</v>
      </c>
      <c r="B261" s="116">
        <v>45</v>
      </c>
      <c r="C261" s="116">
        <v>43.54</v>
      </c>
      <c r="D261" s="116">
        <v>41.06</v>
      </c>
      <c r="E261" s="116">
        <v>45</v>
      </c>
      <c r="F261" s="116">
        <v>217.7</v>
      </c>
      <c r="G261">
        <v>161</v>
      </c>
      <c r="H261" s="116"/>
      <c r="I261" s="116"/>
      <c r="L261" s="170">
        <v>42389</v>
      </c>
      <c r="M261" s="116">
        <v>41.260000000000005</v>
      </c>
      <c r="N261" s="116">
        <v>42</v>
      </c>
      <c r="O261" s="116">
        <v>40.019999999999996</v>
      </c>
      <c r="P261" s="116">
        <v>41.339999999999996</v>
      </c>
      <c r="Q261" s="116">
        <v>206.3</v>
      </c>
      <c r="R261">
        <v>227</v>
      </c>
    </row>
    <row r="262" spans="1:18" x14ac:dyDescent="0.25">
      <c r="A262" s="170">
        <v>42398</v>
      </c>
      <c r="B262" s="116">
        <v>44.8</v>
      </c>
      <c r="C262" s="116">
        <v>44</v>
      </c>
      <c r="D262" s="116">
        <v>44</v>
      </c>
      <c r="E262" s="116">
        <v>44</v>
      </c>
      <c r="F262" s="116">
        <v>220</v>
      </c>
      <c r="G262">
        <v>51</v>
      </c>
      <c r="H262" s="116"/>
      <c r="I262" s="116"/>
      <c r="L262" s="170">
        <v>42390</v>
      </c>
      <c r="M262" s="116">
        <v>40.04</v>
      </c>
      <c r="N262" s="116">
        <v>41</v>
      </c>
      <c r="O262" s="116">
        <v>40</v>
      </c>
      <c r="P262" s="116">
        <v>40.4</v>
      </c>
      <c r="Q262" s="116">
        <v>200.2</v>
      </c>
      <c r="R262">
        <v>846</v>
      </c>
    </row>
    <row r="263" spans="1:18" x14ac:dyDescent="0.25">
      <c r="A263" s="170">
        <v>42401</v>
      </c>
      <c r="B263" s="116">
        <v>44.6</v>
      </c>
      <c r="C263" s="116">
        <v>42.1</v>
      </c>
      <c r="D263" s="116">
        <v>41.68</v>
      </c>
      <c r="E263" s="116">
        <v>43.2</v>
      </c>
      <c r="F263" s="116">
        <v>210.5</v>
      </c>
      <c r="G263">
        <v>520</v>
      </c>
      <c r="H263" s="116"/>
      <c r="I263" s="116"/>
      <c r="L263" s="170">
        <v>42391</v>
      </c>
      <c r="M263" s="116">
        <v>42.36</v>
      </c>
      <c r="N263" s="116">
        <v>42.4</v>
      </c>
      <c r="O263" s="116">
        <v>41.6</v>
      </c>
      <c r="P263" s="116">
        <v>42</v>
      </c>
      <c r="Q263" s="116">
        <v>211.8</v>
      </c>
      <c r="R263">
        <v>922</v>
      </c>
    </row>
    <row r="264" spans="1:18" x14ac:dyDescent="0.25">
      <c r="A264" s="170">
        <v>42402</v>
      </c>
      <c r="B264" s="116">
        <v>44</v>
      </c>
      <c r="C264" s="116">
        <v>44</v>
      </c>
      <c r="D264" s="116">
        <v>44</v>
      </c>
      <c r="E264" s="116">
        <v>44</v>
      </c>
      <c r="F264" s="116">
        <v>220</v>
      </c>
      <c r="G264">
        <v>1</v>
      </c>
      <c r="H264" s="116"/>
      <c r="I264" s="116"/>
      <c r="L264" s="170">
        <v>42394</v>
      </c>
      <c r="M264" s="116">
        <v>43.07</v>
      </c>
      <c r="N264" s="116">
        <v>44.5</v>
      </c>
      <c r="O264" s="116">
        <v>42.62</v>
      </c>
      <c r="P264" s="116">
        <v>43</v>
      </c>
      <c r="Q264" s="116">
        <v>215.35</v>
      </c>
      <c r="R264">
        <v>563</v>
      </c>
    </row>
    <row r="265" spans="1:18" x14ac:dyDescent="0.25">
      <c r="A265" s="170">
        <v>42403</v>
      </c>
      <c r="B265" s="116">
        <v>43</v>
      </c>
      <c r="C265" s="116">
        <v>43</v>
      </c>
      <c r="D265" s="116">
        <v>43</v>
      </c>
      <c r="E265" s="116">
        <v>43</v>
      </c>
      <c r="F265" s="116">
        <v>215</v>
      </c>
      <c r="G265">
        <v>1</v>
      </c>
      <c r="H265" s="116"/>
      <c r="I265" s="116"/>
      <c r="L265" s="170">
        <v>42396</v>
      </c>
      <c r="M265" s="116">
        <v>42.510000000000005</v>
      </c>
      <c r="N265" s="116">
        <v>46.94</v>
      </c>
      <c r="O265" s="116">
        <v>42.230000000000004</v>
      </c>
      <c r="P265" s="116">
        <v>45.660000000000004</v>
      </c>
      <c r="Q265" s="116">
        <v>212.55</v>
      </c>
      <c r="R265">
        <v>781</v>
      </c>
    </row>
    <row r="266" spans="1:18" x14ac:dyDescent="0.25">
      <c r="A266" s="170">
        <v>42404</v>
      </c>
      <c r="B266" s="116">
        <v>43.2</v>
      </c>
      <c r="C266" s="116">
        <v>40.68</v>
      </c>
      <c r="D266" s="116">
        <v>40.019999999999996</v>
      </c>
      <c r="E266" s="116">
        <v>43.2</v>
      </c>
      <c r="F266" s="116">
        <v>203.4</v>
      </c>
      <c r="G266">
        <v>207</v>
      </c>
      <c r="H266" s="116"/>
      <c r="I266" s="116"/>
      <c r="L266" s="170">
        <v>42397</v>
      </c>
      <c r="M266" s="116">
        <v>42.64</v>
      </c>
      <c r="N266" s="116">
        <v>45.739999999999995</v>
      </c>
      <c r="O266" s="116">
        <v>41.660000000000004</v>
      </c>
      <c r="P266" s="116">
        <v>45.06</v>
      </c>
      <c r="Q266" s="116">
        <v>213.2</v>
      </c>
      <c r="R266">
        <v>74</v>
      </c>
    </row>
    <row r="267" spans="1:18" x14ac:dyDescent="0.25">
      <c r="A267" s="170">
        <v>42405</v>
      </c>
      <c r="B267" s="116">
        <v>42.68</v>
      </c>
      <c r="C267" s="116">
        <v>42.68</v>
      </c>
      <c r="D267" s="116">
        <v>40.619999999999997</v>
      </c>
      <c r="E267" s="116">
        <v>40.619999999999997</v>
      </c>
      <c r="F267" s="116">
        <v>213.4</v>
      </c>
      <c r="G267">
        <v>14</v>
      </c>
      <c r="H267" s="116"/>
      <c r="I267" s="116"/>
      <c r="L267" s="170">
        <v>42398</v>
      </c>
      <c r="M267" s="116">
        <v>43.6</v>
      </c>
      <c r="N267" s="116">
        <v>45.38</v>
      </c>
      <c r="O267" s="116">
        <v>41.6</v>
      </c>
      <c r="P267" s="116">
        <v>42.2</v>
      </c>
      <c r="Q267" s="116">
        <v>218</v>
      </c>
      <c r="R267">
        <v>465</v>
      </c>
    </row>
    <row r="268" spans="1:18" x14ac:dyDescent="0.25">
      <c r="A268" s="170">
        <v>42408</v>
      </c>
      <c r="B268" s="116">
        <v>44.72</v>
      </c>
      <c r="C268" s="116">
        <v>40.660000000000004</v>
      </c>
      <c r="D268" s="116">
        <v>40</v>
      </c>
      <c r="E268" s="116">
        <v>43</v>
      </c>
      <c r="F268" s="116">
        <v>203.3</v>
      </c>
      <c r="G268">
        <v>14433</v>
      </c>
      <c r="H268" s="116"/>
      <c r="I268" s="116"/>
      <c r="L268" s="170">
        <v>42401</v>
      </c>
      <c r="M268" s="116">
        <v>42.25</v>
      </c>
      <c r="N268" s="116">
        <v>42.65</v>
      </c>
      <c r="O268" s="116">
        <v>42.239999999999995</v>
      </c>
      <c r="P268" s="116">
        <v>42.65</v>
      </c>
      <c r="Q268" s="116">
        <v>211.25</v>
      </c>
      <c r="R268">
        <v>59</v>
      </c>
    </row>
    <row r="269" spans="1:18" x14ac:dyDescent="0.25">
      <c r="A269" s="170">
        <v>42409</v>
      </c>
      <c r="B269" s="116">
        <v>42.78</v>
      </c>
      <c r="C269" s="116">
        <v>40.6</v>
      </c>
      <c r="D269" s="116">
        <v>39.200000000000003</v>
      </c>
      <c r="E269" s="116">
        <v>40.6</v>
      </c>
      <c r="F269" s="116">
        <v>203</v>
      </c>
      <c r="G269">
        <v>485</v>
      </c>
      <c r="H269" s="116"/>
      <c r="I269" s="116"/>
      <c r="L269" s="170">
        <v>42402</v>
      </c>
      <c r="M269" s="116">
        <v>42.019999999999996</v>
      </c>
      <c r="N269" s="116">
        <v>42.4</v>
      </c>
      <c r="O269" s="116">
        <v>41.4</v>
      </c>
      <c r="P269" s="116">
        <v>42</v>
      </c>
      <c r="Q269" s="116">
        <v>210.1</v>
      </c>
      <c r="R269">
        <v>778</v>
      </c>
    </row>
    <row r="270" spans="1:18" x14ac:dyDescent="0.25">
      <c r="A270" s="170">
        <v>42410</v>
      </c>
      <c r="B270" s="116">
        <v>45</v>
      </c>
      <c r="C270" s="116">
        <v>44</v>
      </c>
      <c r="D270" s="116">
        <v>41</v>
      </c>
      <c r="E270" s="116">
        <v>41</v>
      </c>
      <c r="F270" s="116">
        <v>220</v>
      </c>
      <c r="G270">
        <v>1158</v>
      </c>
      <c r="H270" s="116"/>
      <c r="I270" s="116"/>
      <c r="L270" s="170">
        <v>42403</v>
      </c>
      <c r="M270" s="116">
        <v>41</v>
      </c>
      <c r="N270" s="116">
        <v>43.97</v>
      </c>
      <c r="O270" s="116">
        <v>40.65</v>
      </c>
      <c r="P270" s="116">
        <v>43.97</v>
      </c>
      <c r="Q270" s="116">
        <v>205</v>
      </c>
      <c r="R270">
        <v>902</v>
      </c>
    </row>
    <row r="271" spans="1:18" x14ac:dyDescent="0.25">
      <c r="A271" s="170">
        <v>42411</v>
      </c>
      <c r="B271" s="116">
        <v>44.2</v>
      </c>
      <c r="C271" s="116">
        <v>42.019999999999996</v>
      </c>
      <c r="D271" s="116">
        <v>42</v>
      </c>
      <c r="E271" s="116">
        <v>43</v>
      </c>
      <c r="F271" s="116">
        <v>210.1</v>
      </c>
      <c r="G271">
        <v>849</v>
      </c>
      <c r="H271" s="116"/>
      <c r="I271" s="116"/>
      <c r="L271" s="170">
        <v>42404</v>
      </c>
      <c r="M271" s="116">
        <v>41.7</v>
      </c>
      <c r="N271" s="116">
        <v>43</v>
      </c>
      <c r="O271" s="116">
        <v>41.11</v>
      </c>
      <c r="P271" s="116">
        <v>43</v>
      </c>
      <c r="Q271" s="116">
        <v>208.5</v>
      </c>
      <c r="R271">
        <v>17</v>
      </c>
    </row>
    <row r="272" spans="1:18" x14ac:dyDescent="0.25">
      <c r="A272" s="170">
        <v>42412</v>
      </c>
      <c r="B272" s="116">
        <v>45.4</v>
      </c>
      <c r="C272" s="116">
        <v>42.08</v>
      </c>
      <c r="D272" s="116">
        <v>42</v>
      </c>
      <c r="E272" s="116">
        <v>44</v>
      </c>
      <c r="F272" s="116">
        <v>210.4</v>
      </c>
      <c r="G272">
        <v>979</v>
      </c>
      <c r="H272" s="116"/>
      <c r="I272" s="116"/>
      <c r="L272" s="170">
        <v>42408</v>
      </c>
      <c r="M272" s="116">
        <v>41.989999999999995</v>
      </c>
      <c r="N272" s="116">
        <v>43.2</v>
      </c>
      <c r="O272" s="116">
        <v>41.239999999999995</v>
      </c>
      <c r="P272" s="116">
        <v>43.19</v>
      </c>
      <c r="Q272" s="116">
        <v>209.95</v>
      </c>
      <c r="R272">
        <v>53</v>
      </c>
    </row>
    <row r="273" spans="1:18" x14ac:dyDescent="0.25">
      <c r="A273" s="170">
        <v>42415</v>
      </c>
      <c r="B273" s="116">
        <v>45.6</v>
      </c>
      <c r="C273" s="116">
        <v>44.8</v>
      </c>
      <c r="D273" s="116">
        <v>44</v>
      </c>
      <c r="E273" s="116">
        <v>45.6</v>
      </c>
      <c r="F273" s="116">
        <v>224</v>
      </c>
      <c r="G273">
        <v>249</v>
      </c>
      <c r="H273" s="116"/>
      <c r="I273" s="116"/>
      <c r="L273" s="170">
        <v>42409</v>
      </c>
      <c r="M273" s="116">
        <v>39.489999999999995</v>
      </c>
      <c r="N273" s="116">
        <v>41.08</v>
      </c>
      <c r="O273" s="116">
        <v>38.86</v>
      </c>
      <c r="P273" s="116">
        <v>40.6</v>
      </c>
      <c r="Q273" s="116">
        <v>197.45</v>
      </c>
      <c r="R273">
        <v>1949</v>
      </c>
    </row>
    <row r="274" spans="1:18" x14ac:dyDescent="0.25">
      <c r="A274" s="170">
        <v>42416</v>
      </c>
      <c r="B274" s="116">
        <v>45.7</v>
      </c>
      <c r="C274" s="116">
        <v>45.660000000000004</v>
      </c>
      <c r="D274" s="116">
        <v>42.62</v>
      </c>
      <c r="E274" s="116">
        <v>43.6</v>
      </c>
      <c r="F274" s="116">
        <v>228.3</v>
      </c>
      <c r="G274">
        <v>9515</v>
      </c>
      <c r="H274" s="116"/>
      <c r="I274" s="116"/>
      <c r="L274" s="170">
        <v>42410</v>
      </c>
      <c r="M274" s="116">
        <v>44.07</v>
      </c>
      <c r="N274" s="116">
        <v>44.28</v>
      </c>
      <c r="O274" s="116">
        <v>38.36</v>
      </c>
      <c r="P274" s="116">
        <v>40</v>
      </c>
      <c r="Q274" s="116">
        <v>220.35</v>
      </c>
      <c r="R274">
        <v>8554</v>
      </c>
    </row>
    <row r="275" spans="1:18" x14ac:dyDescent="0.25">
      <c r="A275" s="170">
        <v>42417</v>
      </c>
      <c r="B275" s="116">
        <v>46.5</v>
      </c>
      <c r="C275" s="116">
        <v>46.260000000000005</v>
      </c>
      <c r="D275" s="116">
        <v>44</v>
      </c>
      <c r="E275" s="116">
        <v>46</v>
      </c>
      <c r="F275" s="116">
        <v>231.3</v>
      </c>
      <c r="G275">
        <v>340</v>
      </c>
      <c r="H275" s="116"/>
      <c r="I275" s="116"/>
      <c r="L275" s="170">
        <v>42411</v>
      </c>
      <c r="M275" s="116">
        <v>43.660000000000004</v>
      </c>
      <c r="N275" s="116">
        <v>44.8</v>
      </c>
      <c r="O275" s="116">
        <v>40.450000000000003</v>
      </c>
      <c r="P275" s="116">
        <v>44.8</v>
      </c>
      <c r="Q275" s="116">
        <v>218.3</v>
      </c>
      <c r="R275">
        <v>12552</v>
      </c>
    </row>
    <row r="276" spans="1:18" x14ac:dyDescent="0.25">
      <c r="A276" s="170">
        <v>42418</v>
      </c>
      <c r="B276" s="116">
        <v>46.6</v>
      </c>
      <c r="C276" s="116">
        <v>45</v>
      </c>
      <c r="D276" s="116">
        <v>44.019999999999996</v>
      </c>
      <c r="E276" s="116">
        <v>44.62</v>
      </c>
      <c r="F276" s="116">
        <v>225</v>
      </c>
      <c r="G276">
        <v>8136</v>
      </c>
      <c r="H276" s="116"/>
      <c r="I276" s="116"/>
      <c r="L276" s="170">
        <v>42412</v>
      </c>
      <c r="M276" s="116">
        <v>44</v>
      </c>
      <c r="N276" s="116">
        <v>44</v>
      </c>
      <c r="O276" s="116">
        <v>41.4</v>
      </c>
      <c r="P276" s="116">
        <v>41.6</v>
      </c>
      <c r="Q276" s="116">
        <v>220</v>
      </c>
      <c r="R276">
        <v>2246</v>
      </c>
    </row>
    <row r="277" spans="1:18" x14ac:dyDescent="0.25">
      <c r="A277" s="170">
        <v>42419</v>
      </c>
      <c r="B277" s="116">
        <v>47.8</v>
      </c>
      <c r="C277" s="116">
        <v>46.36</v>
      </c>
      <c r="D277" s="116">
        <v>43.4</v>
      </c>
      <c r="E277" s="116">
        <v>46.36</v>
      </c>
      <c r="F277" s="116">
        <v>231.8</v>
      </c>
      <c r="G277">
        <v>4024</v>
      </c>
      <c r="H277" s="116"/>
      <c r="I277" s="116"/>
      <c r="L277" s="170">
        <v>42415</v>
      </c>
      <c r="M277" s="116">
        <v>44.2</v>
      </c>
      <c r="N277" s="116">
        <v>44.980000000000004</v>
      </c>
      <c r="O277" s="116">
        <v>42.03</v>
      </c>
      <c r="P277" s="116">
        <v>43</v>
      </c>
      <c r="Q277" s="116">
        <v>221</v>
      </c>
      <c r="R277">
        <v>1475</v>
      </c>
    </row>
    <row r="278" spans="1:18" x14ac:dyDescent="0.25">
      <c r="A278" s="170">
        <v>42422</v>
      </c>
      <c r="B278" s="116">
        <v>47.9</v>
      </c>
      <c r="C278" s="116">
        <v>46.68</v>
      </c>
      <c r="D278" s="116">
        <v>45.68</v>
      </c>
      <c r="E278" s="116">
        <v>47.9</v>
      </c>
      <c r="F278" s="116">
        <v>233.4</v>
      </c>
      <c r="G278">
        <v>6</v>
      </c>
      <c r="H278" s="116"/>
      <c r="I278" s="116"/>
      <c r="L278" s="170">
        <v>42416</v>
      </c>
      <c r="M278" s="116">
        <v>44.62</v>
      </c>
      <c r="N278" s="116">
        <v>48</v>
      </c>
      <c r="O278" s="116">
        <v>42.6</v>
      </c>
      <c r="P278" s="116">
        <v>48</v>
      </c>
      <c r="Q278" s="116">
        <v>223.1</v>
      </c>
      <c r="R278">
        <v>1631</v>
      </c>
    </row>
    <row r="279" spans="1:18" x14ac:dyDescent="0.25">
      <c r="A279" s="170">
        <v>42423</v>
      </c>
      <c r="B279" s="116">
        <v>47</v>
      </c>
      <c r="C279" s="116">
        <v>45.260000000000005</v>
      </c>
      <c r="D279" s="116">
        <v>44.04</v>
      </c>
      <c r="E279" s="116">
        <v>44.1</v>
      </c>
      <c r="F279" s="116">
        <v>226.3</v>
      </c>
      <c r="G279">
        <v>35062</v>
      </c>
      <c r="H279" s="116"/>
      <c r="I279" s="116"/>
      <c r="L279" s="170">
        <v>42417</v>
      </c>
      <c r="M279" s="116">
        <v>45.8</v>
      </c>
      <c r="N279" s="116">
        <v>48.64</v>
      </c>
      <c r="O279" s="116">
        <v>44</v>
      </c>
      <c r="P279" s="116">
        <v>44</v>
      </c>
      <c r="Q279" s="116">
        <v>229</v>
      </c>
      <c r="R279">
        <v>6143</v>
      </c>
    </row>
    <row r="280" spans="1:18" x14ac:dyDescent="0.25">
      <c r="A280" s="170">
        <v>42424</v>
      </c>
      <c r="B280" s="116">
        <v>46</v>
      </c>
      <c r="C280" s="116">
        <v>46</v>
      </c>
      <c r="D280" s="116">
        <v>44.019999999999996</v>
      </c>
      <c r="E280" s="116">
        <v>44.019999999999996</v>
      </c>
      <c r="F280" s="116">
        <v>230</v>
      </c>
      <c r="G280">
        <v>26101</v>
      </c>
      <c r="H280" s="116"/>
      <c r="I280" s="116"/>
      <c r="L280" s="170">
        <v>42418</v>
      </c>
      <c r="M280" s="116">
        <v>44.67</v>
      </c>
      <c r="N280" s="116">
        <v>47</v>
      </c>
      <c r="O280" s="116">
        <v>44.019999999999996</v>
      </c>
      <c r="P280" s="116">
        <v>45.8</v>
      </c>
      <c r="Q280" s="116">
        <v>223.35</v>
      </c>
      <c r="R280">
        <v>3037</v>
      </c>
    </row>
    <row r="281" spans="1:18" x14ac:dyDescent="0.25">
      <c r="A281" s="170">
        <v>42425</v>
      </c>
      <c r="B281" s="116">
        <v>47</v>
      </c>
      <c r="C281" s="116">
        <v>46.1</v>
      </c>
      <c r="D281" s="116">
        <v>44</v>
      </c>
      <c r="E281" s="116">
        <v>47</v>
      </c>
      <c r="F281" s="116">
        <v>230.5</v>
      </c>
      <c r="G281">
        <v>30</v>
      </c>
      <c r="H281" s="116"/>
      <c r="I281" s="116"/>
      <c r="L281" s="170">
        <v>42419</v>
      </c>
      <c r="M281" s="116">
        <v>44.410000000000004</v>
      </c>
      <c r="N281" s="116">
        <v>45.8</v>
      </c>
      <c r="O281" s="116">
        <v>44.4</v>
      </c>
      <c r="P281" s="116">
        <v>45</v>
      </c>
      <c r="Q281" s="116">
        <v>222.05</v>
      </c>
      <c r="R281">
        <v>1081</v>
      </c>
    </row>
    <row r="282" spans="1:18" x14ac:dyDescent="0.25">
      <c r="A282" s="170">
        <v>42426</v>
      </c>
      <c r="B282" s="116">
        <v>48</v>
      </c>
      <c r="C282" s="116">
        <v>46.36</v>
      </c>
      <c r="D282" s="116">
        <v>45</v>
      </c>
      <c r="E282" s="116">
        <v>45</v>
      </c>
      <c r="F282" s="116">
        <v>231.8</v>
      </c>
      <c r="G282">
        <v>2969</v>
      </c>
      <c r="H282" s="116"/>
      <c r="I282" s="116"/>
      <c r="L282" s="170">
        <v>42422</v>
      </c>
      <c r="M282" s="116">
        <v>43.910000000000004</v>
      </c>
      <c r="N282" s="116">
        <v>45.5</v>
      </c>
      <c r="O282" s="116">
        <v>42.6</v>
      </c>
      <c r="P282" s="116">
        <v>44</v>
      </c>
      <c r="Q282" s="116">
        <v>219.55</v>
      </c>
      <c r="R282">
        <v>43883</v>
      </c>
    </row>
    <row r="283" spans="1:18" x14ac:dyDescent="0.25">
      <c r="A283" s="170">
        <v>42429</v>
      </c>
      <c r="B283" s="116">
        <v>47.8</v>
      </c>
      <c r="C283" s="116">
        <v>46.08</v>
      </c>
      <c r="D283" s="116">
        <v>44</v>
      </c>
      <c r="E283" s="116">
        <v>45.6</v>
      </c>
      <c r="F283" s="116">
        <v>230.4</v>
      </c>
      <c r="G283">
        <v>76</v>
      </c>
      <c r="H283" s="116"/>
      <c r="I283" s="116"/>
      <c r="L283" s="170">
        <v>42423</v>
      </c>
      <c r="M283" s="116">
        <v>45.28</v>
      </c>
      <c r="N283" s="116">
        <v>46.79</v>
      </c>
      <c r="O283" s="116">
        <v>43.019999999999996</v>
      </c>
      <c r="P283" s="116">
        <v>43.2</v>
      </c>
      <c r="Q283" s="116">
        <v>226.4</v>
      </c>
      <c r="R283">
        <v>10041</v>
      </c>
    </row>
    <row r="284" spans="1:18" x14ac:dyDescent="0.25">
      <c r="A284" s="170">
        <v>42430</v>
      </c>
      <c r="B284" s="116">
        <v>47.58</v>
      </c>
      <c r="C284" s="116">
        <v>47.4</v>
      </c>
      <c r="D284" s="116">
        <v>44.5</v>
      </c>
      <c r="E284" s="116">
        <v>44.5</v>
      </c>
      <c r="F284" s="116">
        <v>237</v>
      </c>
      <c r="G284">
        <v>44831</v>
      </c>
      <c r="H284" s="116"/>
      <c r="I284" s="116"/>
      <c r="L284" s="170">
        <v>42424</v>
      </c>
      <c r="M284" s="116">
        <v>44.2</v>
      </c>
      <c r="N284" s="116">
        <v>45</v>
      </c>
      <c r="O284" s="116">
        <v>44.2</v>
      </c>
      <c r="P284" s="116">
        <v>44.2</v>
      </c>
      <c r="Q284" s="116">
        <v>221</v>
      </c>
      <c r="R284">
        <v>17605</v>
      </c>
    </row>
    <row r="285" spans="1:18" x14ac:dyDescent="0.25">
      <c r="A285" s="170">
        <v>42431</v>
      </c>
      <c r="B285" s="116">
        <v>48.5</v>
      </c>
      <c r="C285" s="116">
        <v>47.94</v>
      </c>
      <c r="D285" s="116">
        <v>44</v>
      </c>
      <c r="E285" s="116">
        <v>46</v>
      </c>
      <c r="F285" s="116">
        <v>239.7</v>
      </c>
      <c r="G285">
        <v>331</v>
      </c>
      <c r="H285" s="116"/>
      <c r="I285" s="116"/>
      <c r="L285" s="170">
        <v>42425</v>
      </c>
      <c r="M285" s="116">
        <v>45.4</v>
      </c>
      <c r="N285" s="116">
        <v>45.6</v>
      </c>
      <c r="O285" s="116">
        <v>44</v>
      </c>
      <c r="P285" s="116">
        <v>44.1</v>
      </c>
      <c r="Q285" s="116">
        <v>227</v>
      </c>
      <c r="R285">
        <v>44024</v>
      </c>
    </row>
    <row r="286" spans="1:18" x14ac:dyDescent="0.25">
      <c r="A286" s="170">
        <v>42432</v>
      </c>
      <c r="B286" s="116">
        <v>53</v>
      </c>
      <c r="C286" s="116">
        <v>47.04</v>
      </c>
      <c r="D286" s="116">
        <v>46.4</v>
      </c>
      <c r="E286" s="116">
        <v>49</v>
      </c>
      <c r="F286" s="116">
        <v>235.2</v>
      </c>
      <c r="G286">
        <v>153577</v>
      </c>
      <c r="H286" s="116"/>
      <c r="I286" s="116"/>
      <c r="L286" s="170">
        <v>42426</v>
      </c>
      <c r="M286" s="116">
        <v>46.4</v>
      </c>
      <c r="N286" s="116">
        <v>49.2</v>
      </c>
      <c r="O286" s="116">
        <v>45.04</v>
      </c>
      <c r="P286" s="116">
        <v>48</v>
      </c>
      <c r="Q286" s="116">
        <v>232</v>
      </c>
      <c r="R286">
        <v>17205</v>
      </c>
    </row>
    <row r="287" spans="1:18" x14ac:dyDescent="0.25">
      <c r="A287" s="170">
        <v>42433</v>
      </c>
      <c r="B287" s="116">
        <v>48.980000000000004</v>
      </c>
      <c r="C287" s="116">
        <v>47.68</v>
      </c>
      <c r="D287" s="116">
        <v>46.6</v>
      </c>
      <c r="E287" s="116">
        <v>47.2</v>
      </c>
      <c r="F287" s="116">
        <v>238.4</v>
      </c>
      <c r="G287">
        <v>22</v>
      </c>
      <c r="H287" s="116"/>
      <c r="I287" s="116"/>
      <c r="L287" s="170">
        <v>42429</v>
      </c>
      <c r="M287" s="116">
        <v>46.39</v>
      </c>
      <c r="N287" s="116">
        <v>47.8</v>
      </c>
      <c r="O287" s="116">
        <v>44</v>
      </c>
      <c r="P287" s="116">
        <v>45</v>
      </c>
      <c r="Q287" s="116">
        <v>231.95</v>
      </c>
      <c r="R287">
        <v>157</v>
      </c>
    </row>
    <row r="288" spans="1:18" x14ac:dyDescent="0.25">
      <c r="A288" s="170">
        <v>42437</v>
      </c>
      <c r="B288" s="116">
        <v>56.4</v>
      </c>
      <c r="C288" s="116">
        <v>50.56</v>
      </c>
      <c r="D288" s="116">
        <v>48.8</v>
      </c>
      <c r="E288" s="116">
        <v>48.8</v>
      </c>
      <c r="F288" s="116">
        <v>252.8</v>
      </c>
      <c r="G288">
        <v>64614</v>
      </c>
      <c r="H288" s="116"/>
      <c r="I288" s="116"/>
      <c r="L288" s="170">
        <v>42430</v>
      </c>
      <c r="M288" s="116">
        <v>48</v>
      </c>
      <c r="N288" s="116">
        <v>48</v>
      </c>
      <c r="O288" s="116">
        <v>46.010000000000005</v>
      </c>
      <c r="P288" s="116">
        <v>46.760000000000005</v>
      </c>
      <c r="Q288" s="116">
        <v>240</v>
      </c>
      <c r="R288">
        <v>1363</v>
      </c>
    </row>
    <row r="289" spans="1:18" x14ac:dyDescent="0.25">
      <c r="A289" s="170">
        <v>42438</v>
      </c>
      <c r="B289" s="116">
        <v>51.58</v>
      </c>
      <c r="C289" s="116">
        <v>51</v>
      </c>
      <c r="D289" s="116">
        <v>49.62</v>
      </c>
      <c r="E289" s="116">
        <v>50.4</v>
      </c>
      <c r="F289" s="116">
        <v>255</v>
      </c>
      <c r="G289">
        <v>167</v>
      </c>
      <c r="H289" s="116"/>
      <c r="I289" s="116"/>
      <c r="L289" s="170">
        <v>42431</v>
      </c>
      <c r="M289" s="116">
        <v>47.37</v>
      </c>
      <c r="N289" s="116">
        <v>49.8</v>
      </c>
      <c r="O289" s="116">
        <v>44.2</v>
      </c>
      <c r="P289" s="116">
        <v>49.8</v>
      </c>
      <c r="Q289" s="116">
        <v>236.85</v>
      </c>
      <c r="R289">
        <v>387</v>
      </c>
    </row>
    <row r="290" spans="1:18" x14ac:dyDescent="0.25">
      <c r="A290" s="170">
        <v>42439</v>
      </c>
      <c r="B290" s="116">
        <v>51</v>
      </c>
      <c r="C290" s="116">
        <v>50.96</v>
      </c>
      <c r="D290" s="116">
        <v>47</v>
      </c>
      <c r="E290" s="116">
        <v>49</v>
      </c>
      <c r="F290" s="116">
        <v>254.8</v>
      </c>
      <c r="G290">
        <v>115</v>
      </c>
      <c r="H290" s="116"/>
      <c r="I290" s="116"/>
      <c r="L290" s="170">
        <v>42432</v>
      </c>
      <c r="M290" s="116">
        <v>47.489999999999995</v>
      </c>
      <c r="N290" s="116">
        <v>49.8</v>
      </c>
      <c r="O290" s="116">
        <v>47.03</v>
      </c>
      <c r="P290" s="116">
        <v>48.79</v>
      </c>
      <c r="Q290" s="116">
        <v>237.45</v>
      </c>
      <c r="R290">
        <v>2468</v>
      </c>
    </row>
    <row r="291" spans="1:18" x14ac:dyDescent="0.25">
      <c r="A291" s="170">
        <v>42440</v>
      </c>
      <c r="B291" s="116">
        <v>50.8</v>
      </c>
      <c r="C291" s="116">
        <v>50.8</v>
      </c>
      <c r="D291" s="116">
        <v>48.2</v>
      </c>
      <c r="E291" s="116">
        <v>48.2</v>
      </c>
      <c r="F291" s="116">
        <v>254</v>
      </c>
      <c r="G291">
        <v>71</v>
      </c>
      <c r="H291" s="116"/>
      <c r="I291" s="116"/>
      <c r="L291" s="170">
        <v>42433</v>
      </c>
      <c r="M291" s="116">
        <v>48</v>
      </c>
      <c r="N291" s="116">
        <v>49.2</v>
      </c>
      <c r="O291" s="116">
        <v>47.6</v>
      </c>
      <c r="P291" s="116">
        <v>47.6</v>
      </c>
      <c r="Q291" s="116">
        <v>240</v>
      </c>
      <c r="R291">
        <v>1568</v>
      </c>
    </row>
    <row r="292" spans="1:18" x14ac:dyDescent="0.25">
      <c r="A292" s="170">
        <v>42443</v>
      </c>
      <c r="B292" s="116">
        <v>50</v>
      </c>
      <c r="C292" s="116">
        <v>50</v>
      </c>
      <c r="D292" s="116">
        <v>50</v>
      </c>
      <c r="E292" s="116">
        <v>50</v>
      </c>
      <c r="F292" s="116">
        <v>250</v>
      </c>
      <c r="G292">
        <v>20</v>
      </c>
      <c r="H292" s="116"/>
      <c r="I292" s="116"/>
      <c r="L292" s="170">
        <v>42437</v>
      </c>
      <c r="M292" s="116">
        <v>51.19</v>
      </c>
      <c r="N292" s="116">
        <v>57.379999999999995</v>
      </c>
      <c r="O292" s="116">
        <v>47.2</v>
      </c>
      <c r="P292" s="116">
        <v>48.4</v>
      </c>
      <c r="Q292" s="116">
        <v>255.95</v>
      </c>
      <c r="R292">
        <v>87729</v>
      </c>
    </row>
    <row r="293" spans="1:18" x14ac:dyDescent="0.25">
      <c r="A293" s="170">
        <v>42444</v>
      </c>
      <c r="B293" s="116">
        <v>49.980000000000004</v>
      </c>
      <c r="C293" s="116">
        <v>49.980000000000004</v>
      </c>
      <c r="D293" s="116">
        <v>48.82</v>
      </c>
      <c r="E293" s="116">
        <v>49.980000000000004</v>
      </c>
      <c r="F293" s="116">
        <v>249.9</v>
      </c>
      <c r="G293">
        <v>32</v>
      </c>
      <c r="H293" s="116"/>
      <c r="I293" s="116"/>
      <c r="L293" s="170">
        <v>42438</v>
      </c>
      <c r="M293" s="116">
        <v>50.42</v>
      </c>
      <c r="N293" s="116">
        <v>52</v>
      </c>
      <c r="O293" s="116">
        <v>50.05</v>
      </c>
      <c r="P293" s="116">
        <v>52</v>
      </c>
      <c r="Q293" s="116">
        <v>252.1</v>
      </c>
      <c r="R293">
        <v>454</v>
      </c>
    </row>
    <row r="294" spans="1:18" x14ac:dyDescent="0.25">
      <c r="A294" s="170">
        <v>42445</v>
      </c>
      <c r="B294" s="116">
        <v>49.6</v>
      </c>
      <c r="C294" s="116">
        <v>49.6</v>
      </c>
      <c r="D294" s="116">
        <v>49.6</v>
      </c>
      <c r="E294" s="116">
        <v>49.6</v>
      </c>
      <c r="F294" s="116">
        <v>248</v>
      </c>
      <c r="G294">
        <v>3</v>
      </c>
      <c r="H294" s="116"/>
      <c r="I294" s="116"/>
      <c r="L294" s="170">
        <v>42439</v>
      </c>
      <c r="M294" s="116">
        <v>49.58</v>
      </c>
      <c r="N294" s="116">
        <v>50</v>
      </c>
      <c r="O294" s="116">
        <v>48.4</v>
      </c>
      <c r="P294" s="116">
        <v>50</v>
      </c>
      <c r="Q294" s="116">
        <v>247.9</v>
      </c>
      <c r="R294">
        <v>1071</v>
      </c>
    </row>
    <row r="295" spans="1:18" x14ac:dyDescent="0.25">
      <c r="A295" s="170">
        <v>42446</v>
      </c>
      <c r="B295" s="116">
        <v>49.6</v>
      </c>
      <c r="C295" s="116">
        <v>49.5</v>
      </c>
      <c r="D295" s="116">
        <v>48.2</v>
      </c>
      <c r="E295" s="116">
        <v>48.2</v>
      </c>
      <c r="F295" s="116">
        <v>247.5</v>
      </c>
      <c r="G295">
        <v>56</v>
      </c>
      <c r="H295" s="116"/>
      <c r="I295" s="116"/>
      <c r="L295" s="170">
        <v>42440</v>
      </c>
      <c r="M295" s="116">
        <v>50.36</v>
      </c>
      <c r="N295" s="116">
        <v>50.6</v>
      </c>
      <c r="O295" s="116">
        <v>48.6</v>
      </c>
      <c r="P295" s="116">
        <v>48.61</v>
      </c>
      <c r="Q295" s="116">
        <v>251.8</v>
      </c>
      <c r="R295">
        <v>1374</v>
      </c>
    </row>
    <row r="296" spans="1:18" x14ac:dyDescent="0.25">
      <c r="A296" s="170">
        <v>42447</v>
      </c>
      <c r="B296" s="116">
        <v>49.5</v>
      </c>
      <c r="C296" s="116">
        <v>49.2</v>
      </c>
      <c r="D296" s="116">
        <v>48.4</v>
      </c>
      <c r="E296" s="116">
        <v>49.5</v>
      </c>
      <c r="F296" s="116">
        <v>246</v>
      </c>
      <c r="G296">
        <v>14</v>
      </c>
      <c r="H296" s="116"/>
      <c r="I296" s="116"/>
      <c r="L296" s="170">
        <v>42443</v>
      </c>
      <c r="M296" s="116">
        <v>49.75</v>
      </c>
      <c r="N296" s="116">
        <v>50.4</v>
      </c>
      <c r="O296" s="116">
        <v>49.22</v>
      </c>
      <c r="P296" s="116">
        <v>50.38</v>
      </c>
      <c r="Q296" s="116">
        <v>248.75</v>
      </c>
      <c r="R296">
        <v>1267</v>
      </c>
    </row>
    <row r="297" spans="1:18" x14ac:dyDescent="0.25">
      <c r="A297" s="170">
        <v>42450</v>
      </c>
      <c r="B297" s="116">
        <v>49.8</v>
      </c>
      <c r="C297" s="116">
        <v>49.7</v>
      </c>
      <c r="D297" s="116">
        <v>49.5</v>
      </c>
      <c r="E297" s="116">
        <v>49.5</v>
      </c>
      <c r="F297" s="116">
        <v>248.5</v>
      </c>
      <c r="G297">
        <v>3</v>
      </c>
      <c r="H297" s="116"/>
      <c r="I297" s="116"/>
      <c r="L297" s="170">
        <v>42444</v>
      </c>
      <c r="M297" s="116">
        <v>48.7</v>
      </c>
      <c r="N297" s="116">
        <v>50.37</v>
      </c>
      <c r="O297" s="116">
        <v>48.230000000000004</v>
      </c>
      <c r="P297" s="116">
        <v>48.230000000000004</v>
      </c>
      <c r="Q297" s="116">
        <v>243.5</v>
      </c>
      <c r="R297">
        <v>80</v>
      </c>
    </row>
    <row r="298" spans="1:18" x14ac:dyDescent="0.25">
      <c r="A298" s="170">
        <v>42451</v>
      </c>
      <c r="B298" s="116">
        <v>49</v>
      </c>
      <c r="C298" s="116">
        <v>47.160000000000004</v>
      </c>
      <c r="D298" s="116">
        <v>46.5</v>
      </c>
      <c r="E298" s="116">
        <v>49</v>
      </c>
      <c r="F298" s="116">
        <v>235.8</v>
      </c>
      <c r="G298">
        <v>318</v>
      </c>
      <c r="H298" s="116"/>
      <c r="I298" s="116"/>
      <c r="L298" s="170">
        <v>42445</v>
      </c>
      <c r="M298" s="116">
        <v>49</v>
      </c>
      <c r="N298" s="116">
        <v>49.38</v>
      </c>
      <c r="O298" s="116">
        <v>48.410000000000004</v>
      </c>
      <c r="P298" s="116">
        <v>49.38</v>
      </c>
      <c r="Q298" s="116">
        <v>245</v>
      </c>
      <c r="R298">
        <v>266</v>
      </c>
    </row>
    <row r="299" spans="1:18" x14ac:dyDescent="0.25">
      <c r="A299" s="170">
        <v>42452</v>
      </c>
      <c r="B299" s="116">
        <v>51</v>
      </c>
      <c r="C299" s="116">
        <v>49.36</v>
      </c>
      <c r="D299" s="116">
        <v>47</v>
      </c>
      <c r="E299" s="116">
        <v>49</v>
      </c>
      <c r="F299" s="116">
        <v>246.8</v>
      </c>
      <c r="G299">
        <v>10229</v>
      </c>
      <c r="H299" s="116"/>
      <c r="I299" s="116"/>
      <c r="L299" s="170">
        <v>42446</v>
      </c>
      <c r="M299" s="116">
        <v>48.21</v>
      </c>
      <c r="N299" s="116">
        <v>49</v>
      </c>
      <c r="O299" s="116">
        <v>47.63</v>
      </c>
      <c r="P299" s="116">
        <v>48.2</v>
      </c>
      <c r="Q299" s="116">
        <v>241.05</v>
      </c>
      <c r="R299">
        <v>2140</v>
      </c>
    </row>
    <row r="300" spans="1:18" x14ac:dyDescent="0.25">
      <c r="A300" s="170">
        <v>42457</v>
      </c>
      <c r="B300" s="116">
        <v>49</v>
      </c>
      <c r="C300" s="116">
        <v>47.980000000000004</v>
      </c>
      <c r="D300" s="116">
        <v>46.8</v>
      </c>
      <c r="E300" s="116">
        <v>49</v>
      </c>
      <c r="F300" s="116">
        <v>239.9</v>
      </c>
      <c r="G300">
        <v>80</v>
      </c>
      <c r="H300" s="116"/>
      <c r="I300" s="116"/>
      <c r="L300" s="170">
        <v>42447</v>
      </c>
      <c r="M300" s="116">
        <v>48.9</v>
      </c>
      <c r="N300" s="116">
        <v>48.9</v>
      </c>
      <c r="O300" s="116">
        <v>48</v>
      </c>
      <c r="P300" s="116">
        <v>48</v>
      </c>
      <c r="Q300" s="116">
        <v>244.5</v>
      </c>
      <c r="R300">
        <v>52</v>
      </c>
    </row>
    <row r="301" spans="1:18" x14ac:dyDescent="0.25">
      <c r="A301" s="170">
        <v>42458</v>
      </c>
      <c r="B301" s="116">
        <v>48.4</v>
      </c>
      <c r="C301" s="116">
        <v>48.2</v>
      </c>
      <c r="D301" s="116">
        <v>48</v>
      </c>
      <c r="E301" s="116">
        <v>48</v>
      </c>
      <c r="F301" s="116">
        <v>241</v>
      </c>
      <c r="G301">
        <v>12</v>
      </c>
      <c r="H301" s="116"/>
      <c r="I301" s="116"/>
      <c r="L301" s="170">
        <v>42450</v>
      </c>
      <c r="M301" s="116">
        <v>48.980000000000004</v>
      </c>
      <c r="N301" s="116">
        <v>49</v>
      </c>
      <c r="O301" s="116">
        <v>46.6</v>
      </c>
      <c r="P301" s="116">
        <v>47</v>
      </c>
      <c r="Q301" s="116">
        <v>244.9</v>
      </c>
      <c r="R301">
        <v>52</v>
      </c>
    </row>
    <row r="302" spans="1:18" x14ac:dyDescent="0.25">
      <c r="A302" s="170">
        <v>42459</v>
      </c>
      <c r="B302" s="116">
        <v>50</v>
      </c>
      <c r="C302" s="116">
        <v>48.78</v>
      </c>
      <c r="D302" s="116">
        <v>48.78</v>
      </c>
      <c r="E302" s="116">
        <v>50</v>
      </c>
      <c r="F302" s="116">
        <v>243.9</v>
      </c>
      <c r="G302">
        <v>237</v>
      </c>
      <c r="H302" s="116"/>
      <c r="I302" s="116"/>
      <c r="L302" s="170">
        <v>42451</v>
      </c>
      <c r="M302" s="116">
        <v>47.14</v>
      </c>
      <c r="N302" s="116">
        <v>48.980000000000004</v>
      </c>
      <c r="O302" s="116">
        <v>46.4</v>
      </c>
      <c r="P302" s="116">
        <v>47</v>
      </c>
      <c r="Q302" s="116">
        <v>235.7</v>
      </c>
      <c r="R302">
        <v>2699</v>
      </c>
    </row>
    <row r="303" spans="1:18" x14ac:dyDescent="0.25">
      <c r="A303" s="170">
        <v>42460</v>
      </c>
      <c r="B303" s="116">
        <v>47.980000000000004</v>
      </c>
      <c r="C303" s="116">
        <v>46.7</v>
      </c>
      <c r="D303" s="116">
        <v>45.42</v>
      </c>
      <c r="E303" s="116">
        <v>47.980000000000004</v>
      </c>
      <c r="F303" s="116">
        <v>233.5</v>
      </c>
      <c r="G303">
        <v>335</v>
      </c>
      <c r="H303" s="116"/>
      <c r="I303" s="116"/>
      <c r="L303" s="170">
        <v>42452</v>
      </c>
      <c r="M303" s="116">
        <v>48.03</v>
      </c>
      <c r="N303" s="116">
        <v>49.2</v>
      </c>
      <c r="O303" s="116">
        <v>47.32</v>
      </c>
      <c r="P303" s="116">
        <v>49.2</v>
      </c>
      <c r="Q303" s="116">
        <v>240.15</v>
      </c>
      <c r="R303">
        <v>734</v>
      </c>
    </row>
    <row r="304" spans="1:18" x14ac:dyDescent="0.25">
      <c r="A304" s="170">
        <v>42461</v>
      </c>
      <c r="B304" s="116">
        <v>47.8</v>
      </c>
      <c r="C304" s="116">
        <v>47.42</v>
      </c>
      <c r="D304" s="116">
        <v>45.64</v>
      </c>
      <c r="E304" s="116">
        <v>47.8</v>
      </c>
      <c r="F304" s="116">
        <v>237.1</v>
      </c>
      <c r="G304">
        <v>673</v>
      </c>
      <c r="H304" s="116"/>
      <c r="I304" s="116"/>
      <c r="L304" s="170">
        <v>42457</v>
      </c>
      <c r="M304" s="116">
        <v>47.269999999999996</v>
      </c>
      <c r="N304" s="116">
        <v>48.8</v>
      </c>
      <c r="O304" s="116">
        <v>46.6</v>
      </c>
      <c r="P304" s="116">
        <v>48</v>
      </c>
      <c r="Q304" s="116">
        <v>236.35</v>
      </c>
      <c r="R304">
        <v>416</v>
      </c>
    </row>
    <row r="305" spans="1:18" x14ac:dyDescent="0.25">
      <c r="A305" s="170">
        <v>42464</v>
      </c>
      <c r="B305" s="116">
        <v>49</v>
      </c>
      <c r="C305" s="116">
        <v>47.739999999999995</v>
      </c>
      <c r="D305" s="116">
        <v>46.62</v>
      </c>
      <c r="E305" s="116">
        <v>47.019999999999996</v>
      </c>
      <c r="F305" s="116">
        <v>238.7</v>
      </c>
      <c r="G305">
        <v>79</v>
      </c>
      <c r="H305" s="116"/>
      <c r="I305" s="116"/>
      <c r="L305" s="170">
        <v>42458</v>
      </c>
      <c r="M305" s="116">
        <v>46.980000000000004</v>
      </c>
      <c r="N305" s="116">
        <v>47.21</v>
      </c>
      <c r="O305" s="116">
        <v>45.85</v>
      </c>
      <c r="P305" s="116">
        <v>47.2</v>
      </c>
      <c r="Q305" s="116">
        <v>234.9</v>
      </c>
      <c r="R305">
        <v>814</v>
      </c>
    </row>
    <row r="306" spans="1:18" x14ac:dyDescent="0.25">
      <c r="A306" s="170">
        <v>42465</v>
      </c>
      <c r="B306" s="116">
        <v>48.42</v>
      </c>
      <c r="C306" s="116">
        <v>47.6</v>
      </c>
      <c r="D306" s="116">
        <v>46</v>
      </c>
      <c r="E306" s="116">
        <v>48</v>
      </c>
      <c r="F306" s="116">
        <v>238</v>
      </c>
      <c r="G306">
        <v>105</v>
      </c>
      <c r="H306" s="116"/>
      <c r="I306" s="116"/>
      <c r="L306" s="170">
        <v>42459</v>
      </c>
      <c r="M306" s="116">
        <v>46.61</v>
      </c>
      <c r="N306" s="116">
        <v>48.4</v>
      </c>
      <c r="O306" s="116">
        <v>46.11</v>
      </c>
      <c r="P306" s="116">
        <v>46.980000000000004</v>
      </c>
      <c r="Q306" s="116">
        <v>233.05</v>
      </c>
      <c r="R306">
        <v>313</v>
      </c>
    </row>
    <row r="307" spans="1:18" x14ac:dyDescent="0.25">
      <c r="A307" s="170">
        <v>42466</v>
      </c>
      <c r="B307" s="116">
        <v>47.8</v>
      </c>
      <c r="C307" s="116">
        <v>47.8</v>
      </c>
      <c r="D307" s="116">
        <v>47.8</v>
      </c>
      <c r="E307" s="116">
        <v>47.8</v>
      </c>
      <c r="F307" s="116">
        <v>239</v>
      </c>
      <c r="G307">
        <v>500</v>
      </c>
      <c r="H307" s="116"/>
      <c r="I307" s="116"/>
      <c r="L307" s="170">
        <v>42460</v>
      </c>
      <c r="M307" s="116">
        <v>45.6</v>
      </c>
      <c r="N307" s="116">
        <v>46.1</v>
      </c>
      <c r="O307" s="116">
        <v>45.21</v>
      </c>
      <c r="P307" s="116">
        <v>45.21</v>
      </c>
      <c r="Q307" s="116">
        <v>228</v>
      </c>
      <c r="R307">
        <v>392</v>
      </c>
    </row>
    <row r="308" spans="1:18" x14ac:dyDescent="0.25">
      <c r="A308" s="170">
        <v>42467</v>
      </c>
      <c r="B308" s="116">
        <v>47.8</v>
      </c>
      <c r="C308" s="116">
        <v>47.8</v>
      </c>
      <c r="D308" s="116">
        <v>47.8</v>
      </c>
      <c r="E308" s="116">
        <v>47.8</v>
      </c>
      <c r="F308" s="116">
        <v>239</v>
      </c>
      <c r="G308">
        <v>3</v>
      </c>
      <c r="H308" s="116"/>
      <c r="I308" s="116"/>
      <c r="L308" s="170">
        <v>42461</v>
      </c>
      <c r="M308" s="116">
        <v>47.21</v>
      </c>
      <c r="N308" s="116">
        <v>47.6</v>
      </c>
      <c r="O308" s="116">
        <v>45.410000000000004</v>
      </c>
      <c r="P308" s="116">
        <v>46</v>
      </c>
      <c r="Q308" s="116">
        <v>236.05</v>
      </c>
      <c r="R308">
        <v>1345</v>
      </c>
    </row>
    <row r="309" spans="1:18" x14ac:dyDescent="0.25">
      <c r="A309" s="170">
        <v>42468</v>
      </c>
      <c r="B309" s="116">
        <v>50.4</v>
      </c>
      <c r="C309" s="116">
        <v>48.38</v>
      </c>
      <c r="D309" s="116">
        <v>47.8</v>
      </c>
      <c r="E309" s="116">
        <v>48</v>
      </c>
      <c r="F309" s="116">
        <v>241.9</v>
      </c>
      <c r="G309">
        <v>512</v>
      </c>
      <c r="H309" s="116"/>
      <c r="I309" s="116"/>
      <c r="L309" s="170">
        <v>42464</v>
      </c>
      <c r="M309" s="116">
        <v>46.78</v>
      </c>
      <c r="N309" s="116">
        <v>49</v>
      </c>
      <c r="O309" s="116">
        <v>46.239999999999995</v>
      </c>
      <c r="P309" s="116">
        <v>49</v>
      </c>
      <c r="Q309" s="116">
        <v>233.9</v>
      </c>
      <c r="R309">
        <v>218</v>
      </c>
    </row>
    <row r="310" spans="1:18" x14ac:dyDescent="0.25">
      <c r="A310" s="170">
        <v>42471</v>
      </c>
      <c r="B310" s="116">
        <v>49</v>
      </c>
      <c r="C310" s="116">
        <v>49</v>
      </c>
      <c r="D310" s="116">
        <v>48.2</v>
      </c>
      <c r="E310" s="116">
        <v>49</v>
      </c>
      <c r="F310" s="116">
        <v>245</v>
      </c>
      <c r="G310">
        <v>128</v>
      </c>
      <c r="H310" s="116"/>
      <c r="I310" s="116"/>
      <c r="L310" s="170">
        <v>42465</v>
      </c>
      <c r="M310" s="116">
        <v>46.839999999999996</v>
      </c>
      <c r="N310" s="116">
        <v>49.980000000000004</v>
      </c>
      <c r="O310" s="116">
        <v>45.61</v>
      </c>
      <c r="P310" s="116">
        <v>49.980000000000004</v>
      </c>
      <c r="Q310" s="116">
        <v>234.2</v>
      </c>
      <c r="R310">
        <v>429</v>
      </c>
    </row>
    <row r="311" spans="1:18" x14ac:dyDescent="0.25">
      <c r="A311" s="170">
        <v>42472</v>
      </c>
      <c r="B311" s="116">
        <v>48</v>
      </c>
      <c r="C311" s="116">
        <v>47.9</v>
      </c>
      <c r="D311" s="116">
        <v>47.2</v>
      </c>
      <c r="E311" s="116">
        <v>48</v>
      </c>
      <c r="F311" s="116">
        <v>239.5</v>
      </c>
      <c r="G311">
        <v>8</v>
      </c>
      <c r="H311" s="116"/>
      <c r="I311" s="116"/>
      <c r="L311" s="170">
        <v>42466</v>
      </c>
      <c r="M311" s="116">
        <v>47</v>
      </c>
      <c r="N311" s="116">
        <v>48</v>
      </c>
      <c r="O311" s="116">
        <v>46.9</v>
      </c>
      <c r="P311" s="116">
        <v>48</v>
      </c>
      <c r="Q311" s="116">
        <v>235</v>
      </c>
      <c r="R311">
        <v>1357</v>
      </c>
    </row>
    <row r="312" spans="1:18" x14ac:dyDescent="0.25">
      <c r="A312" s="170">
        <v>42473</v>
      </c>
      <c r="B312" s="116">
        <v>47.980000000000004</v>
      </c>
      <c r="C312" s="116">
        <v>46.96</v>
      </c>
      <c r="D312" s="116">
        <v>46.8</v>
      </c>
      <c r="E312" s="116">
        <v>47</v>
      </c>
      <c r="F312" s="116">
        <v>234.8</v>
      </c>
      <c r="G312">
        <v>408</v>
      </c>
      <c r="H312" s="116"/>
      <c r="I312" s="116"/>
      <c r="L312" s="170">
        <v>42467</v>
      </c>
      <c r="M312" s="116">
        <v>46.46</v>
      </c>
      <c r="N312" s="116">
        <v>46.980000000000004</v>
      </c>
      <c r="O312" s="116">
        <v>45.4</v>
      </c>
      <c r="P312" s="116">
        <v>45.4</v>
      </c>
      <c r="Q312" s="116">
        <v>232.3</v>
      </c>
      <c r="R312">
        <v>75</v>
      </c>
    </row>
    <row r="313" spans="1:18" x14ac:dyDescent="0.25">
      <c r="A313" s="170">
        <v>42478</v>
      </c>
      <c r="B313" s="116">
        <v>49</v>
      </c>
      <c r="C313" s="116">
        <v>48.339999999999996</v>
      </c>
      <c r="D313" s="116">
        <v>48</v>
      </c>
      <c r="E313" s="116">
        <v>49</v>
      </c>
      <c r="F313" s="116">
        <v>241.7</v>
      </c>
      <c r="G313">
        <v>584</v>
      </c>
      <c r="H313" s="116"/>
      <c r="I313" s="116"/>
      <c r="L313" s="170">
        <v>42468</v>
      </c>
      <c r="M313" s="116">
        <v>48.410000000000004</v>
      </c>
      <c r="N313" s="116">
        <v>51</v>
      </c>
      <c r="O313" s="116">
        <v>47.2</v>
      </c>
      <c r="P313" s="116">
        <v>47.8</v>
      </c>
      <c r="Q313" s="116">
        <v>242.05</v>
      </c>
      <c r="R313">
        <v>3165</v>
      </c>
    </row>
    <row r="314" spans="1:18" x14ac:dyDescent="0.25">
      <c r="A314" s="170">
        <v>42480</v>
      </c>
      <c r="B314" s="116">
        <v>49.8</v>
      </c>
      <c r="C314" s="116">
        <v>49</v>
      </c>
      <c r="D314" s="116">
        <v>48</v>
      </c>
      <c r="E314" s="116">
        <v>48</v>
      </c>
      <c r="F314" s="116">
        <v>245</v>
      </c>
      <c r="G314">
        <v>640</v>
      </c>
      <c r="H314" s="116"/>
      <c r="I314" s="116"/>
      <c r="L314" s="170">
        <v>42471</v>
      </c>
      <c r="M314" s="116">
        <v>47.88</v>
      </c>
      <c r="N314" s="116">
        <v>48</v>
      </c>
      <c r="O314" s="116">
        <v>47.6</v>
      </c>
      <c r="P314" s="116">
        <v>47.6</v>
      </c>
      <c r="Q314" s="116">
        <v>239.4</v>
      </c>
      <c r="R314">
        <v>55</v>
      </c>
    </row>
    <row r="315" spans="1:18" x14ac:dyDescent="0.25">
      <c r="A315" s="170">
        <v>42481</v>
      </c>
      <c r="B315" s="116">
        <v>49.8</v>
      </c>
      <c r="C315" s="116">
        <v>49.660000000000004</v>
      </c>
      <c r="D315" s="116">
        <v>49.6</v>
      </c>
      <c r="E315" s="116">
        <v>49.6</v>
      </c>
      <c r="F315" s="116">
        <v>248.3</v>
      </c>
      <c r="G315">
        <v>3</v>
      </c>
      <c r="H315" s="116"/>
      <c r="I315" s="116"/>
      <c r="L315" s="170">
        <v>42472</v>
      </c>
      <c r="M315" s="116">
        <v>47.31</v>
      </c>
      <c r="N315" s="116">
        <v>48</v>
      </c>
      <c r="O315" s="116">
        <v>46.03</v>
      </c>
      <c r="P315" s="116">
        <v>46.6</v>
      </c>
      <c r="Q315" s="116">
        <v>236.55</v>
      </c>
      <c r="R315">
        <v>79</v>
      </c>
    </row>
    <row r="316" spans="1:18" x14ac:dyDescent="0.25">
      <c r="A316" s="170">
        <v>42482</v>
      </c>
      <c r="B316" s="116">
        <v>49</v>
      </c>
      <c r="C316" s="116">
        <v>47.8</v>
      </c>
      <c r="D316" s="116">
        <v>47.8</v>
      </c>
      <c r="E316" s="116">
        <v>48</v>
      </c>
      <c r="F316" s="116">
        <v>239</v>
      </c>
      <c r="G316">
        <v>32</v>
      </c>
      <c r="H316" s="116"/>
      <c r="I316" s="116"/>
      <c r="L316" s="170">
        <v>42473</v>
      </c>
      <c r="M316" s="116">
        <v>47.28</v>
      </c>
      <c r="N316" s="116">
        <v>49.980000000000004</v>
      </c>
      <c r="O316" s="116">
        <v>46.62</v>
      </c>
      <c r="P316" s="116">
        <v>49.980000000000004</v>
      </c>
      <c r="Q316" s="116">
        <v>236.4</v>
      </c>
      <c r="R316">
        <v>646</v>
      </c>
    </row>
    <row r="317" spans="1:18" x14ac:dyDescent="0.25">
      <c r="A317" s="170">
        <v>42485</v>
      </c>
      <c r="B317" s="116">
        <v>49</v>
      </c>
      <c r="C317" s="116">
        <v>49</v>
      </c>
      <c r="D317" s="116">
        <v>49</v>
      </c>
      <c r="E317" s="116">
        <v>49</v>
      </c>
      <c r="F317" s="116">
        <v>245</v>
      </c>
      <c r="G317">
        <v>1</v>
      </c>
      <c r="H317" s="116"/>
      <c r="I317" s="116"/>
      <c r="L317" s="170">
        <v>42478</v>
      </c>
      <c r="M317" s="116">
        <v>48.33</v>
      </c>
      <c r="N317" s="116">
        <v>48.6</v>
      </c>
      <c r="O317" s="116">
        <v>46.6</v>
      </c>
      <c r="P317" s="116">
        <v>46.61</v>
      </c>
      <c r="Q317" s="116">
        <v>241.65</v>
      </c>
      <c r="R317">
        <v>1031</v>
      </c>
    </row>
    <row r="318" spans="1:18" x14ac:dyDescent="0.25">
      <c r="A318" s="170">
        <v>42486</v>
      </c>
      <c r="B318" s="116">
        <v>47.8</v>
      </c>
      <c r="C318" s="116">
        <v>47.78</v>
      </c>
      <c r="D318" s="116">
        <v>46.1</v>
      </c>
      <c r="E318" s="116">
        <v>47.6</v>
      </c>
      <c r="F318" s="116">
        <v>238.9</v>
      </c>
      <c r="G318">
        <v>76</v>
      </c>
      <c r="H318" s="116"/>
      <c r="I318" s="116"/>
      <c r="L318" s="170">
        <v>42480</v>
      </c>
      <c r="M318" s="116">
        <v>48.54</v>
      </c>
      <c r="N318" s="116">
        <v>49.8</v>
      </c>
      <c r="O318" s="116">
        <v>48</v>
      </c>
      <c r="P318" s="116">
        <v>48</v>
      </c>
      <c r="Q318" s="116">
        <v>242.7</v>
      </c>
      <c r="R318">
        <v>471</v>
      </c>
    </row>
    <row r="319" spans="1:18" x14ac:dyDescent="0.25">
      <c r="A319" s="170">
        <v>42487</v>
      </c>
      <c r="B319" s="116">
        <v>49.4</v>
      </c>
      <c r="C319" s="116">
        <v>49.4</v>
      </c>
      <c r="D319" s="116">
        <v>49.4</v>
      </c>
      <c r="E319" s="116">
        <v>49.4</v>
      </c>
      <c r="F319" s="116">
        <v>247</v>
      </c>
      <c r="G319">
        <v>1</v>
      </c>
      <c r="H319" s="116"/>
      <c r="I319" s="116"/>
      <c r="L319" s="170">
        <v>42481</v>
      </c>
      <c r="M319" s="116">
        <v>48.3</v>
      </c>
      <c r="N319" s="116">
        <v>48.42</v>
      </c>
      <c r="O319" s="116">
        <v>48</v>
      </c>
      <c r="P319" s="116">
        <v>48.2</v>
      </c>
      <c r="Q319" s="116">
        <v>241.5</v>
      </c>
      <c r="R319">
        <v>381</v>
      </c>
    </row>
    <row r="320" spans="1:18" x14ac:dyDescent="0.25">
      <c r="A320" s="170">
        <v>42488</v>
      </c>
      <c r="B320" s="116">
        <v>49.4</v>
      </c>
      <c r="C320" s="116">
        <v>49.4</v>
      </c>
      <c r="D320" s="116">
        <v>48.2</v>
      </c>
      <c r="E320" s="116">
        <v>48.2</v>
      </c>
      <c r="F320" s="116">
        <v>247</v>
      </c>
      <c r="G320">
        <v>505</v>
      </c>
      <c r="H320" s="116"/>
      <c r="I320" s="116"/>
      <c r="L320" s="170">
        <v>42482</v>
      </c>
      <c r="M320" s="116">
        <v>47.480000000000004</v>
      </c>
      <c r="N320" s="116">
        <v>48.9</v>
      </c>
      <c r="O320" s="116">
        <v>47.019999999999996</v>
      </c>
      <c r="P320" s="116">
        <v>47.43</v>
      </c>
      <c r="Q320" s="116">
        <v>237.4</v>
      </c>
      <c r="R320">
        <v>369</v>
      </c>
    </row>
    <row r="321" spans="1:18" x14ac:dyDescent="0.25">
      <c r="A321" s="170">
        <v>42494</v>
      </c>
      <c r="B321" s="116">
        <v>50</v>
      </c>
      <c r="C321" s="116">
        <v>50</v>
      </c>
      <c r="D321" s="116">
        <v>50</v>
      </c>
      <c r="E321" s="116">
        <v>50</v>
      </c>
      <c r="F321" s="116">
        <v>250</v>
      </c>
      <c r="G321">
        <v>2</v>
      </c>
      <c r="H321" s="116"/>
      <c r="I321" s="116"/>
      <c r="L321" s="170">
        <v>42485</v>
      </c>
      <c r="M321" s="116">
        <v>48</v>
      </c>
      <c r="N321" s="116">
        <v>48</v>
      </c>
      <c r="O321" s="116">
        <v>48</v>
      </c>
      <c r="P321" s="116">
        <v>48</v>
      </c>
      <c r="Q321" s="116">
        <v>240</v>
      </c>
      <c r="R321">
        <v>221</v>
      </c>
    </row>
    <row r="322" spans="1:18" x14ac:dyDescent="0.25">
      <c r="A322" s="170">
        <v>42496</v>
      </c>
      <c r="B322" s="116">
        <v>49</v>
      </c>
      <c r="C322" s="116">
        <v>49</v>
      </c>
      <c r="D322" s="116">
        <v>47.58</v>
      </c>
      <c r="E322" s="116">
        <v>48</v>
      </c>
      <c r="F322" s="116">
        <v>245</v>
      </c>
      <c r="G322">
        <v>306</v>
      </c>
      <c r="H322" s="116"/>
      <c r="I322" s="116"/>
      <c r="L322" s="170">
        <v>42486</v>
      </c>
      <c r="M322" s="116">
        <v>49.5</v>
      </c>
      <c r="N322" s="116">
        <v>49.58</v>
      </c>
      <c r="O322" s="116">
        <v>47.6</v>
      </c>
      <c r="P322" s="116">
        <v>49.58</v>
      </c>
      <c r="Q322" s="116">
        <v>247.5</v>
      </c>
      <c r="R322">
        <v>385</v>
      </c>
    </row>
    <row r="323" spans="1:18" x14ac:dyDescent="0.25">
      <c r="A323" s="170">
        <v>42499</v>
      </c>
      <c r="B323" s="116">
        <v>50.7</v>
      </c>
      <c r="C323" s="116">
        <v>49.239999999999995</v>
      </c>
      <c r="D323" s="116">
        <v>48</v>
      </c>
      <c r="E323" s="116">
        <v>50</v>
      </c>
      <c r="F323" s="116">
        <v>246.2</v>
      </c>
      <c r="G323">
        <v>5854</v>
      </c>
      <c r="H323" s="116"/>
      <c r="I323" s="116"/>
      <c r="L323" s="170">
        <v>42487</v>
      </c>
      <c r="M323" s="116">
        <v>48.79</v>
      </c>
      <c r="N323" s="116">
        <v>50</v>
      </c>
      <c r="O323" s="116">
        <v>48</v>
      </c>
      <c r="P323" s="116">
        <v>50</v>
      </c>
      <c r="Q323" s="116">
        <v>243.95</v>
      </c>
      <c r="R323">
        <v>1127</v>
      </c>
    </row>
    <row r="324" spans="1:18" x14ac:dyDescent="0.25">
      <c r="A324" s="170">
        <v>42500</v>
      </c>
      <c r="B324" s="116">
        <v>48.8</v>
      </c>
      <c r="C324" s="116">
        <v>48.3</v>
      </c>
      <c r="D324" s="116">
        <v>48.3</v>
      </c>
      <c r="E324" s="116">
        <v>48.8</v>
      </c>
      <c r="F324" s="116">
        <v>241.5</v>
      </c>
      <c r="G324">
        <v>120</v>
      </c>
      <c r="H324" s="116"/>
      <c r="I324" s="116"/>
      <c r="L324" s="170">
        <v>42488</v>
      </c>
      <c r="M324" s="116">
        <v>49</v>
      </c>
      <c r="N324" s="116">
        <v>49</v>
      </c>
      <c r="O324" s="116">
        <v>47.22</v>
      </c>
      <c r="P324" s="116">
        <v>48.94</v>
      </c>
      <c r="Q324" s="116">
        <v>245</v>
      </c>
      <c r="R324">
        <v>272</v>
      </c>
    </row>
    <row r="325" spans="1:18" x14ac:dyDescent="0.25">
      <c r="A325" s="170">
        <v>42502</v>
      </c>
      <c r="B325" s="116">
        <v>49.8</v>
      </c>
      <c r="C325" s="116">
        <v>49.8</v>
      </c>
      <c r="D325" s="116">
        <v>49.8</v>
      </c>
      <c r="E325" s="116">
        <v>49.8</v>
      </c>
      <c r="F325" s="116">
        <v>249</v>
      </c>
      <c r="G325">
        <v>25</v>
      </c>
      <c r="H325" s="116"/>
      <c r="I325" s="116"/>
      <c r="L325" s="170">
        <v>42489</v>
      </c>
      <c r="M325" s="116">
        <v>49</v>
      </c>
      <c r="N325" s="116">
        <v>49</v>
      </c>
      <c r="O325" s="116">
        <v>48.4</v>
      </c>
      <c r="P325" s="116">
        <v>49</v>
      </c>
      <c r="Q325" s="116">
        <v>245</v>
      </c>
      <c r="R325">
        <v>116</v>
      </c>
    </row>
    <row r="326" spans="1:18" x14ac:dyDescent="0.25">
      <c r="A326" s="170">
        <v>42503</v>
      </c>
      <c r="B326" s="116">
        <v>48.519999999999996</v>
      </c>
      <c r="C326" s="116">
        <v>48.519999999999996</v>
      </c>
      <c r="D326" s="116">
        <v>48.4</v>
      </c>
      <c r="E326" s="116">
        <v>48.5</v>
      </c>
      <c r="F326" s="116">
        <v>242.6</v>
      </c>
      <c r="G326">
        <v>147</v>
      </c>
      <c r="H326" s="116"/>
      <c r="I326" s="116"/>
      <c r="L326" s="170">
        <v>42492</v>
      </c>
      <c r="M326" s="116">
        <v>47.42</v>
      </c>
      <c r="N326" s="116">
        <v>48</v>
      </c>
      <c r="O326" s="116">
        <v>47.42</v>
      </c>
      <c r="P326" s="116">
        <v>48</v>
      </c>
      <c r="Q326" s="116">
        <v>237.1</v>
      </c>
      <c r="R326">
        <v>100</v>
      </c>
    </row>
    <row r="327" spans="1:18" x14ac:dyDescent="0.25">
      <c r="A327" s="170">
        <v>42507</v>
      </c>
      <c r="B327" s="116">
        <v>48.7</v>
      </c>
      <c r="C327" s="116">
        <v>48.56</v>
      </c>
      <c r="D327" s="116">
        <v>48.4</v>
      </c>
      <c r="E327" s="116">
        <v>48.7</v>
      </c>
      <c r="F327" s="116">
        <v>242.8</v>
      </c>
      <c r="G327">
        <v>170</v>
      </c>
      <c r="H327" s="116"/>
      <c r="I327" s="116"/>
      <c r="L327" s="170">
        <v>42493</v>
      </c>
      <c r="M327" s="116">
        <v>48.54</v>
      </c>
      <c r="N327" s="116">
        <v>49.6</v>
      </c>
      <c r="O327" s="116">
        <v>46.6</v>
      </c>
      <c r="P327" s="116">
        <v>46.6</v>
      </c>
      <c r="Q327" s="116">
        <v>242.7</v>
      </c>
      <c r="R327">
        <v>340</v>
      </c>
    </row>
    <row r="328" spans="1:18" x14ac:dyDescent="0.25">
      <c r="A328" s="170">
        <v>42508</v>
      </c>
      <c r="B328" s="116">
        <v>49.980000000000004</v>
      </c>
      <c r="C328" s="116">
        <v>49.88</v>
      </c>
      <c r="D328" s="116">
        <v>49.88</v>
      </c>
      <c r="E328" s="116">
        <v>49.980000000000004</v>
      </c>
      <c r="F328" s="116">
        <v>249.4</v>
      </c>
      <c r="G328">
        <v>5</v>
      </c>
      <c r="H328" s="116"/>
      <c r="I328" s="116"/>
      <c r="L328" s="170">
        <v>42494</v>
      </c>
      <c r="M328" s="116">
        <v>48.11</v>
      </c>
      <c r="N328" s="116">
        <v>49.8</v>
      </c>
      <c r="O328" s="116">
        <v>47.6</v>
      </c>
      <c r="P328" s="116">
        <v>49.8</v>
      </c>
      <c r="Q328" s="116">
        <v>240.55</v>
      </c>
      <c r="R328">
        <v>148</v>
      </c>
    </row>
    <row r="329" spans="1:18" x14ac:dyDescent="0.25">
      <c r="A329" s="170">
        <v>42509</v>
      </c>
      <c r="B329" s="116">
        <v>49.22</v>
      </c>
      <c r="C329" s="116">
        <v>49.019999999999996</v>
      </c>
      <c r="D329" s="116">
        <v>49</v>
      </c>
      <c r="E329" s="116">
        <v>49.08</v>
      </c>
      <c r="F329" s="116">
        <v>245.1</v>
      </c>
      <c r="G329">
        <v>5401</v>
      </c>
      <c r="H329" s="116"/>
      <c r="I329" s="116"/>
      <c r="L329" s="170">
        <v>42495</v>
      </c>
      <c r="M329" s="116">
        <v>48.989999999999995</v>
      </c>
      <c r="N329" s="116">
        <v>48.989999999999995</v>
      </c>
      <c r="O329" s="116">
        <v>48</v>
      </c>
      <c r="P329" s="116">
        <v>48.980000000000004</v>
      </c>
      <c r="Q329" s="116">
        <v>244.95</v>
      </c>
      <c r="R329">
        <v>10</v>
      </c>
    </row>
    <row r="330" spans="1:18" x14ac:dyDescent="0.25">
      <c r="A330" s="170">
        <v>42513</v>
      </c>
      <c r="B330" s="116">
        <v>48.5</v>
      </c>
      <c r="C330" s="116">
        <v>47.11</v>
      </c>
      <c r="D330" s="116">
        <v>45.6</v>
      </c>
      <c r="E330" s="116">
        <v>48</v>
      </c>
      <c r="F330" s="116">
        <v>235.55</v>
      </c>
      <c r="G330">
        <v>158</v>
      </c>
      <c r="H330" s="116"/>
      <c r="I330" s="116"/>
      <c r="L330" s="170">
        <v>42496</v>
      </c>
      <c r="M330" s="116">
        <v>48.45</v>
      </c>
      <c r="N330" s="116">
        <v>48.7</v>
      </c>
      <c r="O330" s="116">
        <v>47.8</v>
      </c>
      <c r="P330" s="116">
        <v>48</v>
      </c>
      <c r="Q330" s="116">
        <v>242.25</v>
      </c>
      <c r="R330">
        <v>312</v>
      </c>
    </row>
    <row r="331" spans="1:18" x14ac:dyDescent="0.25">
      <c r="A331" s="170">
        <v>42514</v>
      </c>
      <c r="B331" s="116">
        <v>46.6</v>
      </c>
      <c r="C331" s="116">
        <v>46.410000000000004</v>
      </c>
      <c r="D331" s="116">
        <v>46.4</v>
      </c>
      <c r="E331" s="116">
        <v>46.6</v>
      </c>
      <c r="F331" s="116">
        <v>232.05</v>
      </c>
      <c r="G331">
        <v>102</v>
      </c>
      <c r="H331" s="116"/>
      <c r="I331" s="116"/>
      <c r="L331" s="170">
        <v>42499</v>
      </c>
      <c r="M331" s="116">
        <v>48.97</v>
      </c>
      <c r="N331" s="116">
        <v>50.010000000000005</v>
      </c>
      <c r="O331" s="116">
        <v>48.55</v>
      </c>
      <c r="P331" s="116">
        <v>49.480000000000004</v>
      </c>
      <c r="Q331" s="116">
        <v>244.85</v>
      </c>
      <c r="R331">
        <v>2613</v>
      </c>
    </row>
    <row r="332" spans="1:18" x14ac:dyDescent="0.25">
      <c r="A332" s="170">
        <v>42515</v>
      </c>
      <c r="B332" s="116">
        <v>48</v>
      </c>
      <c r="C332" s="116">
        <v>46.83</v>
      </c>
      <c r="D332" s="116">
        <v>46.519999999999996</v>
      </c>
      <c r="E332" s="116">
        <v>48</v>
      </c>
      <c r="F332" s="116">
        <v>234.15</v>
      </c>
      <c r="G332">
        <v>275</v>
      </c>
      <c r="H332" s="116"/>
      <c r="I332" s="116"/>
      <c r="L332" s="170">
        <v>42500</v>
      </c>
      <c r="M332" s="116">
        <v>48.260000000000005</v>
      </c>
      <c r="N332" s="116">
        <v>48.269999999999996</v>
      </c>
      <c r="O332" s="116">
        <v>48.260000000000005</v>
      </c>
      <c r="P332" s="116">
        <v>48.260000000000005</v>
      </c>
      <c r="Q332" s="116">
        <v>241.3</v>
      </c>
      <c r="R332">
        <v>100</v>
      </c>
    </row>
    <row r="333" spans="1:18" x14ac:dyDescent="0.25">
      <c r="A333" s="170">
        <v>42516</v>
      </c>
      <c r="B333" s="116">
        <v>48</v>
      </c>
      <c r="C333" s="116">
        <v>48</v>
      </c>
      <c r="D333" s="116">
        <v>48</v>
      </c>
      <c r="E333" s="116">
        <v>48</v>
      </c>
      <c r="F333" s="116">
        <v>240</v>
      </c>
      <c r="G333">
        <v>2</v>
      </c>
      <c r="H333" s="116"/>
      <c r="I333" s="116"/>
      <c r="L333" s="170">
        <v>42501</v>
      </c>
      <c r="M333" s="116">
        <v>48.730000000000004</v>
      </c>
      <c r="N333" s="116">
        <v>49.8</v>
      </c>
      <c r="O333" s="116">
        <v>47.980000000000004</v>
      </c>
      <c r="P333" s="116">
        <v>47.980000000000004</v>
      </c>
      <c r="Q333" s="116">
        <v>243.65</v>
      </c>
      <c r="R333">
        <v>567</v>
      </c>
    </row>
    <row r="334" spans="1:18" x14ac:dyDescent="0.25">
      <c r="A334" s="170">
        <v>42517</v>
      </c>
      <c r="B334" s="116">
        <v>48.4</v>
      </c>
      <c r="C334" s="116">
        <v>47.96</v>
      </c>
      <c r="D334" s="116">
        <v>47.4</v>
      </c>
      <c r="E334" s="116">
        <v>48</v>
      </c>
      <c r="F334" s="116">
        <v>239.8</v>
      </c>
      <c r="G334">
        <v>178</v>
      </c>
      <c r="H334" s="116"/>
      <c r="I334" s="116"/>
      <c r="L334" s="170">
        <v>42502</v>
      </c>
      <c r="M334" s="116">
        <v>48.62</v>
      </c>
      <c r="N334" s="116">
        <v>49.989999999999995</v>
      </c>
      <c r="O334" s="116">
        <v>48.3</v>
      </c>
      <c r="P334" s="116">
        <v>49.2</v>
      </c>
      <c r="Q334" s="116">
        <v>243.1</v>
      </c>
      <c r="R334">
        <v>1283</v>
      </c>
    </row>
    <row r="335" spans="1:18" x14ac:dyDescent="0.25">
      <c r="A335" s="170">
        <v>42520</v>
      </c>
      <c r="B335" s="116">
        <v>57.55</v>
      </c>
      <c r="C335" s="116">
        <v>53.73</v>
      </c>
      <c r="D335" s="116">
        <v>53</v>
      </c>
      <c r="E335" s="116">
        <v>55</v>
      </c>
      <c r="F335" s="116">
        <v>268.64999999999998</v>
      </c>
      <c r="G335">
        <v>13056</v>
      </c>
      <c r="H335" s="116"/>
      <c r="I335" s="116"/>
      <c r="L335" s="170">
        <v>42503</v>
      </c>
      <c r="M335" s="116">
        <v>48.6</v>
      </c>
      <c r="N335" s="116">
        <v>49.2</v>
      </c>
      <c r="O335" s="116">
        <v>48.5</v>
      </c>
      <c r="P335" s="116">
        <v>49.2</v>
      </c>
      <c r="Q335" s="116">
        <v>243</v>
      </c>
      <c r="R335">
        <v>261</v>
      </c>
    </row>
    <row r="336" spans="1:18" x14ac:dyDescent="0.25">
      <c r="A336" s="170">
        <v>42521</v>
      </c>
      <c r="B336" s="116">
        <v>54.08</v>
      </c>
      <c r="C336" s="116">
        <v>53.92</v>
      </c>
      <c r="D336" s="116">
        <v>52.8</v>
      </c>
      <c r="E336" s="116">
        <v>53.6</v>
      </c>
      <c r="F336" s="116">
        <v>269.60000000000002</v>
      </c>
      <c r="G336">
        <v>873</v>
      </c>
      <c r="H336" s="116"/>
      <c r="I336" s="116"/>
      <c r="L336" s="170">
        <v>42506</v>
      </c>
      <c r="M336" s="116">
        <v>47.989999999999995</v>
      </c>
      <c r="N336" s="116">
        <v>48</v>
      </c>
      <c r="O336" s="116">
        <v>47.760000000000005</v>
      </c>
      <c r="P336" s="116">
        <v>47.8</v>
      </c>
      <c r="Q336" s="116">
        <v>239.95</v>
      </c>
      <c r="R336">
        <v>105</v>
      </c>
    </row>
    <row r="337" spans="1:18" x14ac:dyDescent="0.25">
      <c r="A337" s="170">
        <v>42522</v>
      </c>
      <c r="B337" s="116">
        <v>54.779999999999994</v>
      </c>
      <c r="C337" s="116">
        <v>54</v>
      </c>
      <c r="D337" s="116">
        <v>52.6</v>
      </c>
      <c r="E337" s="116">
        <v>52.6</v>
      </c>
      <c r="F337" s="116">
        <v>270</v>
      </c>
      <c r="G337">
        <v>1165</v>
      </c>
      <c r="H337" s="116"/>
      <c r="I337" s="116"/>
      <c r="L337" s="170">
        <v>42507</v>
      </c>
      <c r="M337" s="116">
        <v>49.519999999999996</v>
      </c>
      <c r="N337" s="116">
        <v>50</v>
      </c>
      <c r="O337" s="116">
        <v>49.2</v>
      </c>
      <c r="P337" s="116">
        <v>49.8</v>
      </c>
      <c r="Q337" s="116">
        <v>247.6</v>
      </c>
      <c r="R337">
        <v>676</v>
      </c>
    </row>
    <row r="338" spans="1:18" x14ac:dyDescent="0.25">
      <c r="A338" s="170">
        <v>42523</v>
      </c>
      <c r="B338" s="116">
        <v>54</v>
      </c>
      <c r="C338" s="116">
        <v>53.98</v>
      </c>
      <c r="D338" s="116">
        <v>52.46</v>
      </c>
      <c r="E338" s="116">
        <v>53.989999999999995</v>
      </c>
      <c r="F338" s="116">
        <v>269.89999999999998</v>
      </c>
      <c r="G338">
        <v>75</v>
      </c>
      <c r="H338" s="116"/>
      <c r="I338" s="116"/>
      <c r="L338" s="170">
        <v>42508</v>
      </c>
      <c r="M338" s="116">
        <v>49</v>
      </c>
      <c r="N338" s="116">
        <v>49.2</v>
      </c>
      <c r="O338" s="116">
        <v>48.14</v>
      </c>
      <c r="P338" s="116">
        <v>49.2</v>
      </c>
      <c r="Q338" s="116">
        <v>245</v>
      </c>
      <c r="R338">
        <v>161</v>
      </c>
    </row>
    <row r="339" spans="1:18" x14ac:dyDescent="0.25">
      <c r="A339" s="170">
        <v>42524</v>
      </c>
      <c r="B339" s="116">
        <v>54</v>
      </c>
      <c r="C339" s="116">
        <v>53.070000000000007</v>
      </c>
      <c r="D339" s="116">
        <v>52.6</v>
      </c>
      <c r="E339" s="116">
        <v>53</v>
      </c>
      <c r="F339" s="116">
        <v>265.35000000000002</v>
      </c>
      <c r="G339">
        <v>31</v>
      </c>
      <c r="H339" s="116"/>
      <c r="I339" s="116"/>
      <c r="L339" s="170">
        <v>42509</v>
      </c>
      <c r="M339" s="116">
        <v>48.22</v>
      </c>
      <c r="N339" s="116">
        <v>48.8</v>
      </c>
      <c r="O339" s="116">
        <v>47</v>
      </c>
      <c r="P339" s="116">
        <v>48.6</v>
      </c>
      <c r="Q339" s="116">
        <v>241.1</v>
      </c>
      <c r="R339">
        <v>403</v>
      </c>
    </row>
    <row r="340" spans="1:18" x14ac:dyDescent="0.25">
      <c r="A340" s="170">
        <v>42527</v>
      </c>
      <c r="B340" s="116">
        <v>53.1</v>
      </c>
      <c r="C340" s="116">
        <v>52.220000000000006</v>
      </c>
      <c r="D340" s="116">
        <v>50.6</v>
      </c>
      <c r="E340" s="116">
        <v>53.1</v>
      </c>
      <c r="F340" s="116">
        <v>261.10000000000002</v>
      </c>
      <c r="G340">
        <v>113</v>
      </c>
      <c r="H340" s="116"/>
      <c r="I340" s="116"/>
      <c r="L340" s="170">
        <v>42510</v>
      </c>
      <c r="M340" s="116">
        <v>48.2</v>
      </c>
      <c r="N340" s="116">
        <v>49</v>
      </c>
      <c r="O340" s="116">
        <v>48.2</v>
      </c>
      <c r="P340" s="116">
        <v>48.8</v>
      </c>
      <c r="Q340" s="116">
        <v>241</v>
      </c>
      <c r="R340">
        <v>290</v>
      </c>
    </row>
    <row r="341" spans="1:18" x14ac:dyDescent="0.25">
      <c r="A341" s="170">
        <v>42528</v>
      </c>
      <c r="B341" s="116">
        <v>53.2</v>
      </c>
      <c r="C341" s="116">
        <v>53.2</v>
      </c>
      <c r="D341" s="116">
        <v>52.2</v>
      </c>
      <c r="E341" s="116">
        <v>52.239999999999995</v>
      </c>
      <c r="F341" s="116">
        <v>266</v>
      </c>
      <c r="G341">
        <v>108</v>
      </c>
      <c r="H341" s="116"/>
      <c r="I341" s="116"/>
      <c r="L341" s="170">
        <v>42513</v>
      </c>
      <c r="M341" s="116">
        <v>47.9</v>
      </c>
      <c r="N341" s="116">
        <v>48.78</v>
      </c>
      <c r="O341" s="116">
        <v>45.82</v>
      </c>
      <c r="P341" s="116">
        <v>48</v>
      </c>
      <c r="Q341" s="116">
        <v>239.5</v>
      </c>
      <c r="R341">
        <v>2640</v>
      </c>
    </row>
    <row r="342" spans="1:18" x14ac:dyDescent="0.25">
      <c r="A342" s="170">
        <v>42529</v>
      </c>
      <c r="B342" s="116">
        <v>53</v>
      </c>
      <c r="C342" s="116">
        <v>52.589999999999996</v>
      </c>
      <c r="D342" s="116">
        <v>50.6</v>
      </c>
      <c r="E342" s="116">
        <v>52</v>
      </c>
      <c r="F342" s="116">
        <v>262.95</v>
      </c>
      <c r="G342">
        <v>1120</v>
      </c>
      <c r="H342" s="116"/>
      <c r="I342" s="116"/>
      <c r="L342" s="170">
        <v>42514</v>
      </c>
      <c r="M342" s="116">
        <v>45.769999999999996</v>
      </c>
      <c r="N342" s="116">
        <v>48</v>
      </c>
      <c r="O342" s="116">
        <v>45.239999999999995</v>
      </c>
      <c r="P342" s="116">
        <v>46.6</v>
      </c>
      <c r="Q342" s="116">
        <v>228.85</v>
      </c>
      <c r="R342">
        <v>611</v>
      </c>
    </row>
    <row r="343" spans="1:18" x14ac:dyDescent="0.25">
      <c r="A343" s="170">
        <v>42530</v>
      </c>
      <c r="B343" s="116">
        <v>52.989999999999995</v>
      </c>
      <c r="C343" s="116">
        <v>52.989999999999995</v>
      </c>
      <c r="D343" s="116">
        <v>52.96</v>
      </c>
      <c r="E343" s="116">
        <v>52.96</v>
      </c>
      <c r="F343" s="116">
        <v>264.95</v>
      </c>
      <c r="G343">
        <v>28</v>
      </c>
      <c r="H343" s="116"/>
      <c r="I343" s="116"/>
      <c r="L343" s="170">
        <v>42515</v>
      </c>
      <c r="M343" s="116">
        <v>47.5</v>
      </c>
      <c r="N343" s="116">
        <v>47.55</v>
      </c>
      <c r="O343" s="116">
        <v>46.8</v>
      </c>
      <c r="P343" s="116">
        <v>47.4</v>
      </c>
      <c r="Q343" s="116">
        <v>237.5</v>
      </c>
      <c r="R343">
        <v>434</v>
      </c>
    </row>
    <row r="344" spans="1:18" x14ac:dyDescent="0.25">
      <c r="A344" s="170">
        <v>42531</v>
      </c>
      <c r="B344" s="116">
        <v>54.6</v>
      </c>
      <c r="C344" s="116">
        <v>53.95</v>
      </c>
      <c r="D344" s="116">
        <v>52</v>
      </c>
      <c r="E344" s="116">
        <v>52.8</v>
      </c>
      <c r="F344" s="116">
        <v>269.75</v>
      </c>
      <c r="G344">
        <v>976</v>
      </c>
      <c r="H344" s="116"/>
      <c r="I344" s="116"/>
      <c r="L344" s="170">
        <v>42516</v>
      </c>
      <c r="M344" s="116">
        <v>48</v>
      </c>
      <c r="N344" s="116">
        <v>49.8</v>
      </c>
      <c r="O344" s="116">
        <v>46.4</v>
      </c>
      <c r="P344" s="116">
        <v>49.8</v>
      </c>
      <c r="Q344" s="116">
        <v>240</v>
      </c>
      <c r="R344">
        <v>420</v>
      </c>
    </row>
    <row r="345" spans="1:18" x14ac:dyDescent="0.25">
      <c r="A345" s="170">
        <v>42534</v>
      </c>
      <c r="B345" s="116">
        <v>52.6</v>
      </c>
      <c r="C345" s="116">
        <v>52.2</v>
      </c>
      <c r="D345" s="116">
        <v>51.61</v>
      </c>
      <c r="E345" s="116">
        <v>52.6</v>
      </c>
      <c r="F345" s="116">
        <v>261</v>
      </c>
      <c r="G345">
        <v>32</v>
      </c>
      <c r="H345" s="116"/>
      <c r="I345" s="116"/>
      <c r="L345" s="170">
        <v>42517</v>
      </c>
      <c r="M345" s="116">
        <v>48.660000000000004</v>
      </c>
      <c r="N345" s="116">
        <v>50.9</v>
      </c>
      <c r="O345" s="116">
        <v>48</v>
      </c>
      <c r="P345" s="116">
        <v>48.8</v>
      </c>
      <c r="Q345" s="116">
        <v>243.3</v>
      </c>
      <c r="R345">
        <v>359</v>
      </c>
    </row>
    <row r="346" spans="1:18" x14ac:dyDescent="0.25">
      <c r="A346" s="170">
        <v>42535</v>
      </c>
      <c r="B346" s="116">
        <v>53.6</v>
      </c>
      <c r="C346" s="116">
        <v>52.61</v>
      </c>
      <c r="D346" s="116">
        <v>52.6</v>
      </c>
      <c r="E346" s="116">
        <v>53</v>
      </c>
      <c r="F346" s="116">
        <v>263.05</v>
      </c>
      <c r="G346">
        <v>432</v>
      </c>
      <c r="H346" s="116"/>
      <c r="I346" s="116"/>
      <c r="L346" s="170">
        <v>42520</v>
      </c>
      <c r="M346" s="116">
        <v>53.95</v>
      </c>
      <c r="N346" s="116">
        <v>57.96</v>
      </c>
      <c r="O346" s="116">
        <v>53.239999999999995</v>
      </c>
      <c r="P346" s="116">
        <v>54.260000000000005</v>
      </c>
      <c r="Q346" s="116">
        <v>269.75</v>
      </c>
      <c r="R346">
        <v>56105</v>
      </c>
    </row>
    <row r="347" spans="1:18" x14ac:dyDescent="0.25">
      <c r="A347" s="170">
        <v>42536</v>
      </c>
      <c r="B347" s="116">
        <v>60.089999999999996</v>
      </c>
      <c r="C347" s="116">
        <v>58.52</v>
      </c>
      <c r="D347" s="116">
        <v>53.9</v>
      </c>
      <c r="E347" s="116">
        <v>53.9</v>
      </c>
      <c r="F347" s="116">
        <v>292.60000000000002</v>
      </c>
      <c r="G347">
        <v>5186</v>
      </c>
      <c r="H347" s="116"/>
      <c r="I347" s="116"/>
      <c r="L347" s="170">
        <v>42521</v>
      </c>
      <c r="M347" s="116">
        <v>53.86</v>
      </c>
      <c r="N347" s="116">
        <v>54.6</v>
      </c>
      <c r="O347" s="116">
        <v>52.42</v>
      </c>
      <c r="P347" s="116">
        <v>54.3</v>
      </c>
      <c r="Q347" s="116">
        <v>269.3</v>
      </c>
      <c r="R347">
        <v>3113</v>
      </c>
    </row>
    <row r="348" spans="1:18" x14ac:dyDescent="0.25">
      <c r="A348" s="170">
        <v>42537</v>
      </c>
      <c r="B348" s="116">
        <v>61</v>
      </c>
      <c r="C348" s="116">
        <v>56.570000000000007</v>
      </c>
      <c r="D348" s="116">
        <v>56.120000000000005</v>
      </c>
      <c r="E348" s="116">
        <v>59.4</v>
      </c>
      <c r="F348" s="116">
        <v>282.85000000000002</v>
      </c>
      <c r="G348">
        <v>1742</v>
      </c>
      <c r="H348" s="116"/>
      <c r="I348" s="116"/>
      <c r="L348" s="170">
        <v>42522</v>
      </c>
      <c r="M348" s="116">
        <v>54.339999999999996</v>
      </c>
      <c r="N348" s="116">
        <v>54.54</v>
      </c>
      <c r="O348" s="116">
        <v>49.45</v>
      </c>
      <c r="P348" s="116">
        <v>52.7</v>
      </c>
      <c r="Q348" s="116">
        <v>271.7</v>
      </c>
      <c r="R348">
        <v>1569</v>
      </c>
    </row>
    <row r="349" spans="1:18" x14ac:dyDescent="0.25">
      <c r="A349" s="170">
        <v>42538</v>
      </c>
      <c r="B349" s="116">
        <v>59</v>
      </c>
      <c r="C349" s="116">
        <v>56.989999999999995</v>
      </c>
      <c r="D349" s="116">
        <v>55.02</v>
      </c>
      <c r="E349" s="116">
        <v>59</v>
      </c>
      <c r="F349" s="116">
        <v>284.95</v>
      </c>
      <c r="G349">
        <v>161</v>
      </c>
      <c r="H349" s="116"/>
      <c r="I349" s="116"/>
      <c r="L349" s="170">
        <v>42523</v>
      </c>
      <c r="M349" s="116">
        <v>53.2</v>
      </c>
      <c r="N349" s="116">
        <v>54.04</v>
      </c>
      <c r="O349" s="116">
        <v>52.8</v>
      </c>
      <c r="P349" s="116">
        <v>54.04</v>
      </c>
      <c r="Q349" s="116">
        <v>266</v>
      </c>
      <c r="R349">
        <v>1521</v>
      </c>
    </row>
    <row r="350" spans="1:18" x14ac:dyDescent="0.25">
      <c r="A350" s="170">
        <v>42541</v>
      </c>
      <c r="B350" s="116">
        <v>57.9</v>
      </c>
      <c r="C350" s="116">
        <v>56.010000000000005</v>
      </c>
      <c r="D350" s="116">
        <v>56</v>
      </c>
      <c r="E350" s="116">
        <v>57.9</v>
      </c>
      <c r="F350" s="116">
        <v>280.05</v>
      </c>
      <c r="G350">
        <v>95</v>
      </c>
      <c r="H350" s="116"/>
      <c r="I350" s="116"/>
      <c r="L350" s="170">
        <v>42524</v>
      </c>
      <c r="M350" s="116">
        <v>53.010000000000005</v>
      </c>
      <c r="N350" s="116">
        <v>53.989999999999995</v>
      </c>
      <c r="O350" s="116">
        <v>52.620000000000005</v>
      </c>
      <c r="P350" s="116">
        <v>52.8</v>
      </c>
      <c r="Q350" s="116">
        <v>265.05</v>
      </c>
      <c r="R350">
        <v>1314</v>
      </c>
    </row>
    <row r="351" spans="1:18" x14ac:dyDescent="0.25">
      <c r="A351" s="170">
        <v>42542</v>
      </c>
      <c r="B351" s="116">
        <v>58.79</v>
      </c>
      <c r="C351" s="116">
        <v>57.779999999999994</v>
      </c>
      <c r="D351" s="116">
        <v>56.410000000000004</v>
      </c>
      <c r="E351" s="116">
        <v>56.410000000000004</v>
      </c>
      <c r="F351" s="116">
        <v>288.89999999999998</v>
      </c>
      <c r="G351">
        <v>267</v>
      </c>
      <c r="H351" s="116"/>
      <c r="I351" s="116"/>
      <c r="L351" s="170">
        <v>42527</v>
      </c>
      <c r="M351" s="116">
        <v>52.320000000000007</v>
      </c>
      <c r="N351" s="116">
        <v>52.6</v>
      </c>
      <c r="O351" s="116">
        <v>51.239999999999995</v>
      </c>
      <c r="P351" s="116">
        <v>51.239999999999995</v>
      </c>
      <c r="Q351" s="116">
        <v>261.60000000000002</v>
      </c>
      <c r="R351">
        <v>870</v>
      </c>
    </row>
    <row r="352" spans="1:18" x14ac:dyDescent="0.25">
      <c r="A352" s="170">
        <v>42543</v>
      </c>
      <c r="B352" s="116">
        <v>57</v>
      </c>
      <c r="C352" s="116">
        <v>56.89</v>
      </c>
      <c r="D352" s="116">
        <v>56.260000000000005</v>
      </c>
      <c r="E352" s="116">
        <v>57</v>
      </c>
      <c r="F352" s="116">
        <v>284.45</v>
      </c>
      <c r="G352">
        <v>140</v>
      </c>
      <c r="H352" s="116"/>
      <c r="I352" s="116"/>
      <c r="L352" s="170">
        <v>42528</v>
      </c>
      <c r="M352" s="116">
        <v>51.629999999999995</v>
      </c>
      <c r="N352" s="116">
        <v>52.779999999999994</v>
      </c>
      <c r="O352" s="116">
        <v>51.2</v>
      </c>
      <c r="P352" s="116">
        <v>51.6</v>
      </c>
      <c r="Q352" s="116">
        <v>258.14999999999998</v>
      </c>
      <c r="R352">
        <v>888</v>
      </c>
    </row>
    <row r="353" spans="1:18" x14ac:dyDescent="0.25">
      <c r="A353" s="170">
        <v>42544</v>
      </c>
      <c r="B353" s="116">
        <v>56.6</v>
      </c>
      <c r="C353" s="116">
        <v>56.1</v>
      </c>
      <c r="D353" s="116">
        <v>55</v>
      </c>
      <c r="E353" s="116">
        <v>56.4</v>
      </c>
      <c r="F353" s="116">
        <v>280.5</v>
      </c>
      <c r="G353">
        <v>6403</v>
      </c>
      <c r="H353" s="116"/>
      <c r="I353" s="116"/>
      <c r="L353" s="170">
        <v>42529</v>
      </c>
      <c r="M353" s="116">
        <v>52.660000000000004</v>
      </c>
      <c r="N353" s="116">
        <v>53</v>
      </c>
      <c r="O353" s="116">
        <v>51.6</v>
      </c>
      <c r="P353" s="116">
        <v>51.629999999999995</v>
      </c>
      <c r="Q353" s="116">
        <v>263.3</v>
      </c>
      <c r="R353">
        <v>2410</v>
      </c>
    </row>
    <row r="354" spans="1:18" x14ac:dyDescent="0.25">
      <c r="A354" s="170">
        <v>42545</v>
      </c>
      <c r="B354" s="116">
        <v>54.35</v>
      </c>
      <c r="C354" s="116">
        <v>54.35</v>
      </c>
      <c r="D354" s="116">
        <v>52</v>
      </c>
      <c r="E354" s="116">
        <v>54.2</v>
      </c>
      <c r="F354" s="116">
        <v>271.75</v>
      </c>
      <c r="G354">
        <v>289</v>
      </c>
      <c r="H354" s="116"/>
      <c r="I354" s="116"/>
      <c r="L354" s="170">
        <v>42530</v>
      </c>
      <c r="M354" s="116">
        <v>52.6</v>
      </c>
      <c r="N354" s="116">
        <v>53</v>
      </c>
      <c r="O354" s="116">
        <v>52.23</v>
      </c>
      <c r="P354" s="116">
        <v>52.3</v>
      </c>
      <c r="Q354" s="116">
        <v>263</v>
      </c>
      <c r="R354">
        <v>2197</v>
      </c>
    </row>
    <row r="355" spans="1:18" x14ac:dyDescent="0.25">
      <c r="A355" s="170">
        <v>42548</v>
      </c>
      <c r="B355" s="116">
        <v>55.4</v>
      </c>
      <c r="C355" s="116">
        <v>54.4</v>
      </c>
      <c r="D355" s="116">
        <v>54.4</v>
      </c>
      <c r="E355" s="116">
        <v>54.4</v>
      </c>
      <c r="F355" s="116">
        <v>272</v>
      </c>
      <c r="G355">
        <v>262</v>
      </c>
      <c r="H355" s="116"/>
      <c r="I355" s="116"/>
      <c r="L355" s="170">
        <v>42531</v>
      </c>
      <c r="M355" s="116">
        <v>53.679999999999993</v>
      </c>
      <c r="N355" s="116">
        <v>54</v>
      </c>
      <c r="O355" s="116">
        <v>52.6</v>
      </c>
      <c r="P355" s="116">
        <v>53.589999999999996</v>
      </c>
      <c r="Q355" s="116">
        <v>268.39999999999998</v>
      </c>
      <c r="R355">
        <v>1839</v>
      </c>
    </row>
    <row r="356" spans="1:18" x14ac:dyDescent="0.25">
      <c r="A356" s="170">
        <v>42549</v>
      </c>
      <c r="B356" s="116">
        <v>58.9</v>
      </c>
      <c r="C356" s="116">
        <v>57.470000000000006</v>
      </c>
      <c r="D356" s="116">
        <v>54.65</v>
      </c>
      <c r="E356" s="116">
        <v>54.65</v>
      </c>
      <c r="F356" s="116">
        <v>287.35000000000002</v>
      </c>
      <c r="G356">
        <v>2083</v>
      </c>
      <c r="H356" s="116"/>
      <c r="I356" s="116"/>
      <c r="L356" s="170">
        <v>42534</v>
      </c>
      <c r="M356" s="116">
        <v>52.429999999999993</v>
      </c>
      <c r="N356" s="116">
        <v>56.56</v>
      </c>
      <c r="O356" s="116">
        <v>51.7</v>
      </c>
      <c r="P356" s="116">
        <v>56.56</v>
      </c>
      <c r="Q356" s="116">
        <v>262.14999999999998</v>
      </c>
      <c r="R356">
        <v>2520</v>
      </c>
    </row>
    <row r="357" spans="1:18" x14ac:dyDescent="0.25">
      <c r="A357" s="170">
        <v>42550</v>
      </c>
      <c r="B357" s="116">
        <v>59.989999999999995</v>
      </c>
      <c r="C357" s="116">
        <v>58.79</v>
      </c>
      <c r="D357" s="116">
        <v>58</v>
      </c>
      <c r="E357" s="116">
        <v>59</v>
      </c>
      <c r="F357" s="116">
        <v>293.95</v>
      </c>
      <c r="G357">
        <v>210</v>
      </c>
      <c r="H357" s="116"/>
      <c r="I357" s="116"/>
      <c r="L357" s="170">
        <v>42535</v>
      </c>
      <c r="M357" s="116">
        <v>52.989999999999995</v>
      </c>
      <c r="N357" s="116">
        <v>54.8</v>
      </c>
      <c r="O357" s="116">
        <v>52</v>
      </c>
      <c r="P357" s="116">
        <v>54.8</v>
      </c>
      <c r="Q357" s="116">
        <v>264.95</v>
      </c>
      <c r="R357">
        <v>282</v>
      </c>
    </row>
    <row r="358" spans="1:18" x14ac:dyDescent="0.25">
      <c r="A358" s="170">
        <v>42551</v>
      </c>
      <c r="B358" s="116">
        <v>60.89</v>
      </c>
      <c r="C358" s="116">
        <v>58.870000000000005</v>
      </c>
      <c r="D358" s="116">
        <v>58.4</v>
      </c>
      <c r="E358" s="116">
        <v>58.4</v>
      </c>
      <c r="F358" s="116">
        <v>294.35000000000002</v>
      </c>
      <c r="G358">
        <v>386</v>
      </c>
      <c r="H358" s="116"/>
      <c r="I358" s="116"/>
      <c r="L358" s="170">
        <v>42536</v>
      </c>
      <c r="M358" s="116">
        <v>59.2</v>
      </c>
      <c r="N358" s="116">
        <v>60.1</v>
      </c>
      <c r="O358" s="116">
        <v>52.010000000000005</v>
      </c>
      <c r="P358" s="116">
        <v>53.96</v>
      </c>
      <c r="Q358" s="116">
        <v>296</v>
      </c>
      <c r="R358">
        <v>18339</v>
      </c>
    </row>
    <row r="359" spans="1:18" x14ac:dyDescent="0.25">
      <c r="A359" s="170">
        <v>42552</v>
      </c>
      <c r="B359" s="116">
        <v>58.8</v>
      </c>
      <c r="C359" s="116">
        <v>57.929999999999993</v>
      </c>
      <c r="D359" s="116">
        <v>56.910000000000004</v>
      </c>
      <c r="E359" s="116">
        <v>58.8</v>
      </c>
      <c r="F359" s="116">
        <v>289.64999999999998</v>
      </c>
      <c r="G359">
        <v>169</v>
      </c>
      <c r="H359" s="116"/>
      <c r="I359" s="116"/>
      <c r="L359" s="170">
        <v>42537</v>
      </c>
      <c r="M359" s="116">
        <v>56.720000000000006</v>
      </c>
      <c r="N359" s="116">
        <v>60.8</v>
      </c>
      <c r="O359" s="116">
        <v>56.070000000000007</v>
      </c>
      <c r="P359" s="116">
        <v>59.92</v>
      </c>
      <c r="Q359" s="116">
        <v>283.60000000000002</v>
      </c>
      <c r="R359">
        <v>5333</v>
      </c>
    </row>
    <row r="360" spans="1:18" x14ac:dyDescent="0.25">
      <c r="A360" s="170">
        <v>42555</v>
      </c>
      <c r="B360" s="116">
        <v>59.8</v>
      </c>
      <c r="C360" s="116">
        <v>58.48</v>
      </c>
      <c r="D360" s="116">
        <v>54</v>
      </c>
      <c r="E360" s="116">
        <v>56.8</v>
      </c>
      <c r="F360" s="116">
        <v>292.39999999999998</v>
      </c>
      <c r="G360">
        <v>1731</v>
      </c>
      <c r="H360" s="116"/>
      <c r="I360" s="116"/>
      <c r="L360" s="170">
        <v>42538</v>
      </c>
      <c r="M360" s="116">
        <v>56.410000000000004</v>
      </c>
      <c r="N360" s="116">
        <v>60.739999999999995</v>
      </c>
      <c r="O360" s="116">
        <v>54.8</v>
      </c>
      <c r="P360" s="116">
        <v>60</v>
      </c>
      <c r="Q360" s="116">
        <v>282.05</v>
      </c>
      <c r="R360">
        <v>2792</v>
      </c>
    </row>
    <row r="361" spans="1:18" x14ac:dyDescent="0.25">
      <c r="A361" s="170">
        <v>42556</v>
      </c>
      <c r="B361" s="116">
        <v>59.4</v>
      </c>
      <c r="C361" s="116">
        <v>59.4</v>
      </c>
      <c r="D361" s="116">
        <v>57.4</v>
      </c>
      <c r="E361" s="116">
        <v>59</v>
      </c>
      <c r="F361" s="116">
        <v>297</v>
      </c>
      <c r="G361">
        <v>143</v>
      </c>
      <c r="H361" s="116"/>
      <c r="I361" s="116"/>
      <c r="L361" s="170">
        <v>42541</v>
      </c>
      <c r="M361" s="116">
        <v>57.55</v>
      </c>
      <c r="N361" s="116">
        <v>57.589999999999996</v>
      </c>
      <c r="O361" s="116">
        <v>56</v>
      </c>
      <c r="P361" s="116">
        <v>56.21</v>
      </c>
      <c r="Q361" s="116">
        <v>287.75</v>
      </c>
      <c r="R361">
        <v>2118</v>
      </c>
    </row>
    <row r="362" spans="1:18" x14ac:dyDescent="0.25">
      <c r="A362" s="170">
        <v>42558</v>
      </c>
      <c r="B362" s="116">
        <v>60</v>
      </c>
      <c r="C362" s="116">
        <v>58</v>
      </c>
      <c r="D362" s="116">
        <v>58</v>
      </c>
      <c r="E362" s="116">
        <v>60</v>
      </c>
      <c r="F362" s="116">
        <v>290</v>
      </c>
      <c r="G362">
        <v>282</v>
      </c>
      <c r="H362" s="116"/>
      <c r="I362" s="116"/>
      <c r="L362" s="170">
        <v>42542</v>
      </c>
      <c r="M362" s="116">
        <v>56.45</v>
      </c>
      <c r="N362" s="116">
        <v>57.489999999999995</v>
      </c>
      <c r="O362" s="116">
        <v>56</v>
      </c>
      <c r="P362" s="116">
        <v>56.2</v>
      </c>
      <c r="Q362" s="116">
        <v>282.25</v>
      </c>
      <c r="R362">
        <v>1834</v>
      </c>
    </row>
    <row r="363" spans="1:18" x14ac:dyDescent="0.25">
      <c r="A363" s="170">
        <v>42559</v>
      </c>
      <c r="B363" s="116">
        <v>63.55</v>
      </c>
      <c r="C363" s="116">
        <v>62.510000000000005</v>
      </c>
      <c r="D363" s="116">
        <v>59.6</v>
      </c>
      <c r="E363" s="116">
        <v>59.6</v>
      </c>
      <c r="F363" s="116">
        <v>312.55</v>
      </c>
      <c r="G363">
        <v>1462</v>
      </c>
      <c r="H363" s="116"/>
      <c r="I363" s="116"/>
      <c r="L363" s="170">
        <v>42543</v>
      </c>
      <c r="M363" s="116">
        <v>56.410000000000004</v>
      </c>
      <c r="N363" s="116">
        <v>57.2</v>
      </c>
      <c r="O363" s="116">
        <v>56.2</v>
      </c>
      <c r="P363" s="116">
        <v>56.2</v>
      </c>
      <c r="Q363" s="116">
        <v>282.05</v>
      </c>
      <c r="R363">
        <v>2554</v>
      </c>
    </row>
    <row r="364" spans="1:18" x14ac:dyDescent="0.25">
      <c r="A364" s="170">
        <v>42562</v>
      </c>
      <c r="B364" s="116">
        <v>63.19</v>
      </c>
      <c r="C364" s="116">
        <v>62.2</v>
      </c>
      <c r="D364" s="116">
        <v>61</v>
      </c>
      <c r="E364" s="116">
        <v>63</v>
      </c>
      <c r="F364" s="116">
        <v>311</v>
      </c>
      <c r="G364">
        <v>925</v>
      </c>
      <c r="H364" s="116"/>
      <c r="I364" s="116"/>
      <c r="L364" s="170">
        <v>42544</v>
      </c>
      <c r="M364" s="116">
        <v>56.2</v>
      </c>
      <c r="N364" s="116">
        <v>57.779999999999994</v>
      </c>
      <c r="O364" s="116">
        <v>56</v>
      </c>
      <c r="P364" s="116">
        <v>56.010000000000005</v>
      </c>
      <c r="Q364" s="116">
        <v>281</v>
      </c>
      <c r="R364">
        <v>1158</v>
      </c>
    </row>
    <row r="365" spans="1:18" x14ac:dyDescent="0.25">
      <c r="A365" s="170">
        <v>42563</v>
      </c>
      <c r="B365" s="116">
        <v>62.8</v>
      </c>
      <c r="C365" s="116">
        <v>60.64</v>
      </c>
      <c r="D365" s="116">
        <v>60.02</v>
      </c>
      <c r="E365" s="116">
        <v>62.8</v>
      </c>
      <c r="F365" s="116">
        <v>303.2</v>
      </c>
      <c r="G365">
        <v>3755</v>
      </c>
      <c r="H365" s="116"/>
      <c r="I365" s="116"/>
      <c r="L365" s="170">
        <v>42545</v>
      </c>
      <c r="M365" s="116">
        <v>53.679999999999993</v>
      </c>
      <c r="N365" s="116">
        <v>55</v>
      </c>
      <c r="O365" s="116">
        <v>51.9</v>
      </c>
      <c r="P365" s="116">
        <v>55</v>
      </c>
      <c r="Q365" s="116">
        <v>268.39999999999998</v>
      </c>
      <c r="R365">
        <v>2469</v>
      </c>
    </row>
    <row r="366" spans="1:18" x14ac:dyDescent="0.25">
      <c r="A366" s="170">
        <v>42564</v>
      </c>
      <c r="B366" s="116">
        <v>60.58</v>
      </c>
      <c r="C366" s="116">
        <v>59.96</v>
      </c>
      <c r="D366" s="116">
        <v>59.4</v>
      </c>
      <c r="E366" s="116">
        <v>60.2</v>
      </c>
      <c r="F366" s="116">
        <v>299.8</v>
      </c>
      <c r="G366">
        <v>132</v>
      </c>
      <c r="H366" s="116"/>
      <c r="I366" s="116"/>
      <c r="L366" s="170">
        <v>42548</v>
      </c>
      <c r="M366" s="116">
        <v>54.05</v>
      </c>
      <c r="N366" s="116">
        <v>55.2</v>
      </c>
      <c r="O366" s="116">
        <v>54</v>
      </c>
      <c r="P366" s="116">
        <v>54.739999999999995</v>
      </c>
      <c r="Q366" s="116">
        <v>270.25</v>
      </c>
      <c r="R366">
        <v>2782</v>
      </c>
    </row>
    <row r="367" spans="1:18" x14ac:dyDescent="0.25">
      <c r="A367" s="170">
        <v>42565</v>
      </c>
      <c r="B367" s="116">
        <v>62</v>
      </c>
      <c r="C367" s="116">
        <v>60.2</v>
      </c>
      <c r="D367" s="116">
        <v>59.02</v>
      </c>
      <c r="E367" s="116">
        <v>60</v>
      </c>
      <c r="F367" s="116">
        <v>301</v>
      </c>
      <c r="G367">
        <v>2604</v>
      </c>
      <c r="H367" s="116"/>
      <c r="I367" s="116"/>
      <c r="L367" s="170">
        <v>42549</v>
      </c>
      <c r="M367" s="116">
        <v>57.970000000000006</v>
      </c>
      <c r="N367" s="116">
        <v>58.4</v>
      </c>
      <c r="O367" s="116">
        <v>53.620000000000005</v>
      </c>
      <c r="P367" s="116">
        <v>53.620000000000005</v>
      </c>
      <c r="Q367" s="116">
        <v>289.85000000000002</v>
      </c>
      <c r="R367">
        <v>4796</v>
      </c>
    </row>
    <row r="368" spans="1:18" x14ac:dyDescent="0.25">
      <c r="A368" s="170">
        <v>42566</v>
      </c>
      <c r="B368" s="116">
        <v>66</v>
      </c>
      <c r="C368" s="116">
        <v>61.54</v>
      </c>
      <c r="D368" s="116">
        <v>60.320000000000007</v>
      </c>
      <c r="E368" s="116">
        <v>62.989999999999995</v>
      </c>
      <c r="F368" s="116">
        <v>307.7</v>
      </c>
      <c r="G368">
        <v>5018</v>
      </c>
      <c r="H368" s="116"/>
      <c r="I368" s="116"/>
      <c r="L368" s="170">
        <v>42550</v>
      </c>
      <c r="M368" s="116">
        <v>58.56</v>
      </c>
      <c r="N368" s="116">
        <v>60.8</v>
      </c>
      <c r="O368" s="116">
        <v>57.589999999999996</v>
      </c>
      <c r="P368" s="116">
        <v>60.8</v>
      </c>
      <c r="Q368" s="116">
        <v>292.8</v>
      </c>
      <c r="R368">
        <v>5978</v>
      </c>
    </row>
    <row r="369" spans="1:18" x14ac:dyDescent="0.25">
      <c r="A369" s="170">
        <v>42569</v>
      </c>
      <c r="B369" s="116">
        <v>63.15</v>
      </c>
      <c r="C369" s="116">
        <v>59.760000000000005</v>
      </c>
      <c r="D369" s="116">
        <v>59</v>
      </c>
      <c r="E369" s="116">
        <v>63</v>
      </c>
      <c r="F369" s="116">
        <v>298.8</v>
      </c>
      <c r="G369">
        <v>11145</v>
      </c>
      <c r="H369" s="116"/>
      <c r="I369" s="116"/>
      <c r="L369" s="170">
        <v>42551</v>
      </c>
      <c r="M369" s="116">
        <v>58.839999999999996</v>
      </c>
      <c r="N369" s="116">
        <v>59.4</v>
      </c>
      <c r="O369" s="116">
        <v>58.6</v>
      </c>
      <c r="P369" s="116">
        <v>58.6</v>
      </c>
      <c r="Q369" s="116">
        <v>294.2</v>
      </c>
      <c r="R369">
        <v>2398</v>
      </c>
    </row>
    <row r="370" spans="1:18" x14ac:dyDescent="0.25">
      <c r="A370" s="170">
        <v>42570</v>
      </c>
      <c r="B370" s="116">
        <v>62.96</v>
      </c>
      <c r="C370" s="116">
        <v>62.75</v>
      </c>
      <c r="D370" s="116">
        <v>61</v>
      </c>
      <c r="E370" s="116">
        <v>61.2</v>
      </c>
      <c r="F370" s="116">
        <v>313.75</v>
      </c>
      <c r="G370">
        <v>2411</v>
      </c>
      <c r="H370" s="116"/>
      <c r="I370" s="116"/>
      <c r="L370" s="170">
        <v>42552</v>
      </c>
      <c r="M370" s="116">
        <v>58</v>
      </c>
      <c r="N370" s="116">
        <v>59.3</v>
      </c>
      <c r="O370" s="116">
        <v>57.220000000000006</v>
      </c>
      <c r="P370" s="116">
        <v>57.3</v>
      </c>
      <c r="Q370" s="116">
        <v>290</v>
      </c>
      <c r="R370">
        <v>2762</v>
      </c>
    </row>
    <row r="371" spans="1:18" x14ac:dyDescent="0.25">
      <c r="A371" s="170">
        <v>42571</v>
      </c>
      <c r="B371" s="116">
        <v>62.989999999999995</v>
      </c>
      <c r="C371" s="116">
        <v>61.02</v>
      </c>
      <c r="D371" s="116">
        <v>60</v>
      </c>
      <c r="E371" s="116">
        <v>62.989999999999995</v>
      </c>
      <c r="F371" s="116">
        <v>305.10000000000002</v>
      </c>
      <c r="G371">
        <v>1423</v>
      </c>
      <c r="H371" s="116"/>
      <c r="I371" s="116"/>
      <c r="L371" s="170">
        <v>42555</v>
      </c>
      <c r="M371" s="116">
        <v>59.2</v>
      </c>
      <c r="N371" s="116">
        <v>59.8</v>
      </c>
      <c r="O371" s="116">
        <v>58</v>
      </c>
      <c r="P371" s="116">
        <v>58</v>
      </c>
      <c r="Q371" s="116">
        <v>296</v>
      </c>
      <c r="R371">
        <v>1420</v>
      </c>
    </row>
    <row r="372" spans="1:18" x14ac:dyDescent="0.25">
      <c r="A372" s="170">
        <v>42572</v>
      </c>
      <c r="B372" s="116">
        <v>63.5</v>
      </c>
      <c r="C372" s="116">
        <v>62.679999999999993</v>
      </c>
      <c r="D372" s="116">
        <v>61.75</v>
      </c>
      <c r="E372" s="116">
        <v>61.8</v>
      </c>
      <c r="F372" s="116">
        <v>313.39999999999998</v>
      </c>
      <c r="G372">
        <v>858</v>
      </c>
      <c r="H372" s="116"/>
      <c r="I372" s="116"/>
      <c r="L372" s="170">
        <v>42556</v>
      </c>
      <c r="M372" s="116">
        <v>58.85</v>
      </c>
      <c r="N372" s="116">
        <v>59</v>
      </c>
      <c r="O372" s="116">
        <v>58</v>
      </c>
      <c r="P372" s="116">
        <v>58</v>
      </c>
      <c r="Q372" s="116">
        <v>294.25</v>
      </c>
      <c r="R372">
        <v>1959</v>
      </c>
    </row>
    <row r="373" spans="1:18" x14ac:dyDescent="0.25">
      <c r="A373" s="170">
        <v>42573</v>
      </c>
      <c r="B373" s="116">
        <v>64.09</v>
      </c>
      <c r="C373" s="116">
        <v>63.470000000000006</v>
      </c>
      <c r="D373" s="116">
        <v>62.2</v>
      </c>
      <c r="E373" s="116">
        <v>62.7</v>
      </c>
      <c r="F373" s="116">
        <v>317.35000000000002</v>
      </c>
      <c r="G373">
        <v>1435</v>
      </c>
      <c r="H373" s="116"/>
      <c r="I373" s="116"/>
      <c r="L373" s="170">
        <v>42558</v>
      </c>
      <c r="M373" s="116">
        <v>58.339999999999996</v>
      </c>
      <c r="N373" s="116">
        <v>60.379999999999995</v>
      </c>
      <c r="O373" s="116">
        <v>55.620000000000005</v>
      </c>
      <c r="P373" s="116">
        <v>56</v>
      </c>
      <c r="Q373" s="116">
        <v>291.7</v>
      </c>
      <c r="R373">
        <v>3967</v>
      </c>
    </row>
    <row r="374" spans="1:18" x14ac:dyDescent="0.25">
      <c r="A374" s="170">
        <v>42576</v>
      </c>
      <c r="B374" s="116">
        <v>76.16</v>
      </c>
      <c r="C374" s="116">
        <v>76.16</v>
      </c>
      <c r="D374" s="116">
        <v>76.16</v>
      </c>
      <c r="E374" s="116">
        <v>76.16</v>
      </c>
      <c r="F374" s="116">
        <v>380.8</v>
      </c>
      <c r="G374">
        <v>691</v>
      </c>
      <c r="H374" s="116"/>
      <c r="I374" s="116"/>
      <c r="L374" s="170">
        <v>42559</v>
      </c>
      <c r="M374" s="116">
        <v>61.79</v>
      </c>
      <c r="N374" s="116">
        <v>62.8</v>
      </c>
      <c r="O374" s="116">
        <v>57.8</v>
      </c>
      <c r="P374" s="116">
        <v>58.970000000000006</v>
      </c>
      <c r="Q374" s="116">
        <v>308.95</v>
      </c>
      <c r="R374">
        <v>7654</v>
      </c>
    </row>
    <row r="375" spans="1:18" x14ac:dyDescent="0.25">
      <c r="A375" s="170">
        <v>42577</v>
      </c>
      <c r="B375" s="116">
        <v>91.39</v>
      </c>
      <c r="C375" s="116">
        <v>89.84</v>
      </c>
      <c r="D375" s="116">
        <v>83.6</v>
      </c>
      <c r="E375" s="116">
        <v>84</v>
      </c>
      <c r="F375" s="116">
        <v>449.2</v>
      </c>
      <c r="G375">
        <v>56108</v>
      </c>
      <c r="H375" s="116"/>
      <c r="I375" s="116"/>
      <c r="L375" s="170">
        <v>42562</v>
      </c>
      <c r="M375" s="116">
        <v>62.06</v>
      </c>
      <c r="N375" s="116">
        <v>64.2</v>
      </c>
      <c r="O375" s="116">
        <v>61.81</v>
      </c>
      <c r="P375" s="116">
        <v>63</v>
      </c>
      <c r="Q375" s="116">
        <v>310.3</v>
      </c>
      <c r="R375">
        <v>6130</v>
      </c>
    </row>
    <row r="376" spans="1:18" x14ac:dyDescent="0.25">
      <c r="A376" s="170">
        <v>42578</v>
      </c>
      <c r="B376" s="116">
        <v>91</v>
      </c>
      <c r="C376" s="116">
        <v>85.12</v>
      </c>
      <c r="D376" s="116">
        <v>84.320000000000007</v>
      </c>
      <c r="E376" s="116">
        <v>90.2</v>
      </c>
      <c r="F376" s="116">
        <v>425.6</v>
      </c>
      <c r="G376">
        <v>15043</v>
      </c>
      <c r="H376" s="116"/>
      <c r="I376" s="116"/>
      <c r="L376" s="170">
        <v>42563</v>
      </c>
      <c r="M376" s="116">
        <v>61</v>
      </c>
      <c r="N376" s="116">
        <v>62.4</v>
      </c>
      <c r="O376" s="116">
        <v>60.25</v>
      </c>
      <c r="P376" s="116">
        <v>62.06</v>
      </c>
      <c r="Q376" s="116">
        <v>305</v>
      </c>
      <c r="R376">
        <v>4038</v>
      </c>
    </row>
    <row r="377" spans="1:18" x14ac:dyDescent="0.25">
      <c r="A377" s="170">
        <v>42579</v>
      </c>
      <c r="B377" s="116">
        <v>89.95</v>
      </c>
      <c r="C377" s="116">
        <v>83.19</v>
      </c>
      <c r="D377" s="116">
        <v>80.400000000000006</v>
      </c>
      <c r="E377" s="116">
        <v>85</v>
      </c>
      <c r="F377" s="116">
        <v>415.95</v>
      </c>
      <c r="G377">
        <v>16581</v>
      </c>
      <c r="H377" s="116"/>
      <c r="I377" s="116"/>
      <c r="L377" s="170">
        <v>42564</v>
      </c>
      <c r="M377" s="116">
        <v>59.570000000000007</v>
      </c>
      <c r="N377" s="116">
        <v>61</v>
      </c>
      <c r="O377" s="116">
        <v>59.25</v>
      </c>
      <c r="P377" s="116">
        <v>61</v>
      </c>
      <c r="Q377" s="116">
        <v>297.85000000000002</v>
      </c>
      <c r="R377">
        <v>1863</v>
      </c>
    </row>
    <row r="378" spans="1:18" x14ac:dyDescent="0.25">
      <c r="A378" s="170">
        <v>42580</v>
      </c>
      <c r="B378" s="116">
        <v>83.2</v>
      </c>
      <c r="C378" s="116">
        <v>80.760000000000005</v>
      </c>
      <c r="D378" s="116">
        <v>79</v>
      </c>
      <c r="E378" s="116">
        <v>83.19</v>
      </c>
      <c r="F378" s="116">
        <v>403.8</v>
      </c>
      <c r="G378">
        <v>1498</v>
      </c>
      <c r="H378" s="116"/>
      <c r="I378" s="116"/>
      <c r="L378" s="170">
        <v>42565</v>
      </c>
      <c r="M378" s="116">
        <v>60.510000000000005</v>
      </c>
      <c r="N378" s="116">
        <v>62</v>
      </c>
      <c r="O378" s="116">
        <v>58.2</v>
      </c>
      <c r="P378" s="116">
        <v>60.54</v>
      </c>
      <c r="Q378" s="116">
        <v>302.55</v>
      </c>
      <c r="R378">
        <v>6022</v>
      </c>
    </row>
    <row r="379" spans="1:18" x14ac:dyDescent="0.25">
      <c r="A379" s="170">
        <v>42583</v>
      </c>
      <c r="B379" s="116">
        <v>86.6</v>
      </c>
      <c r="C379" s="116">
        <v>83.42</v>
      </c>
      <c r="D379" s="116">
        <v>80.599999999999994</v>
      </c>
      <c r="E379" s="116">
        <v>80.599999999999994</v>
      </c>
      <c r="F379" s="116">
        <v>417.1</v>
      </c>
      <c r="G379">
        <v>2973</v>
      </c>
      <c r="H379" s="116"/>
      <c r="I379" s="116"/>
      <c r="L379" s="170">
        <v>42566</v>
      </c>
      <c r="M379" s="116">
        <v>61.67</v>
      </c>
      <c r="N379" s="116">
        <v>66</v>
      </c>
      <c r="O379" s="116">
        <v>60.6</v>
      </c>
      <c r="P379" s="116">
        <v>61.379999999999995</v>
      </c>
      <c r="Q379" s="116">
        <v>308.35000000000002</v>
      </c>
      <c r="R379">
        <v>10081</v>
      </c>
    </row>
    <row r="380" spans="1:18" x14ac:dyDescent="0.25">
      <c r="A380" s="170">
        <v>42584</v>
      </c>
      <c r="B380" s="116">
        <v>84.97999999999999</v>
      </c>
      <c r="C380" s="116">
        <v>82.42</v>
      </c>
      <c r="D380" s="116">
        <v>82</v>
      </c>
      <c r="E380" s="116">
        <v>84.97999999999999</v>
      </c>
      <c r="F380" s="116">
        <v>412.1</v>
      </c>
      <c r="G380">
        <v>3681</v>
      </c>
      <c r="H380" s="116"/>
      <c r="I380" s="116"/>
      <c r="L380" s="170">
        <v>42569</v>
      </c>
      <c r="M380" s="116">
        <v>60.339999999999996</v>
      </c>
      <c r="N380" s="116">
        <v>63.3</v>
      </c>
      <c r="O380" s="116">
        <v>59.6</v>
      </c>
      <c r="P380" s="116">
        <v>63.3</v>
      </c>
      <c r="Q380" s="116">
        <v>301.7</v>
      </c>
      <c r="R380">
        <v>9694</v>
      </c>
    </row>
    <row r="381" spans="1:18" x14ac:dyDescent="0.25">
      <c r="A381" s="170">
        <v>42585</v>
      </c>
      <c r="B381" s="116">
        <v>83.56</v>
      </c>
      <c r="C381" s="116">
        <v>81.599999999999994</v>
      </c>
      <c r="D381" s="116">
        <v>80.31</v>
      </c>
      <c r="E381" s="116">
        <v>82</v>
      </c>
      <c r="F381" s="116">
        <v>408</v>
      </c>
      <c r="G381">
        <v>474</v>
      </c>
      <c r="H381" s="116"/>
      <c r="I381" s="116"/>
      <c r="L381" s="170">
        <v>42570</v>
      </c>
      <c r="M381" s="116">
        <v>62.42</v>
      </c>
      <c r="N381" s="116">
        <v>63.2</v>
      </c>
      <c r="O381" s="116">
        <v>60</v>
      </c>
      <c r="P381" s="116">
        <v>61.15</v>
      </c>
      <c r="Q381" s="116">
        <v>312.10000000000002</v>
      </c>
      <c r="R381">
        <v>9736</v>
      </c>
    </row>
    <row r="382" spans="1:18" x14ac:dyDescent="0.25">
      <c r="A382" s="170">
        <v>42586</v>
      </c>
      <c r="B382" s="116">
        <v>82.2</v>
      </c>
      <c r="C382" s="116">
        <v>81.33</v>
      </c>
      <c r="D382" s="116">
        <v>80.02000000000001</v>
      </c>
      <c r="E382" s="116">
        <v>82.2</v>
      </c>
      <c r="F382" s="116">
        <v>406.65</v>
      </c>
      <c r="G382">
        <v>627</v>
      </c>
      <c r="H382" s="116"/>
      <c r="I382" s="116"/>
      <c r="L382" s="170">
        <v>42571</v>
      </c>
      <c r="M382" s="116">
        <v>60.989999999999995</v>
      </c>
      <c r="N382" s="116">
        <v>62.79</v>
      </c>
      <c r="O382" s="116">
        <v>60.2</v>
      </c>
      <c r="P382" s="116">
        <v>62</v>
      </c>
      <c r="Q382" s="116">
        <v>304.95</v>
      </c>
      <c r="R382">
        <v>5183</v>
      </c>
    </row>
    <row r="383" spans="1:18" x14ac:dyDescent="0.25">
      <c r="A383" s="170">
        <v>42587</v>
      </c>
      <c r="B383" s="116">
        <v>83.8</v>
      </c>
      <c r="C383" s="116">
        <v>82.2</v>
      </c>
      <c r="D383" s="116">
        <v>81</v>
      </c>
      <c r="E383" s="116">
        <v>82.39</v>
      </c>
      <c r="F383" s="116">
        <v>411</v>
      </c>
      <c r="G383">
        <v>305</v>
      </c>
      <c r="H383" s="116"/>
      <c r="I383" s="116"/>
      <c r="L383" s="170">
        <v>42572</v>
      </c>
      <c r="M383" s="116">
        <v>62.81</v>
      </c>
      <c r="N383" s="116">
        <v>63.2</v>
      </c>
      <c r="O383" s="116">
        <v>60.839999999999996</v>
      </c>
      <c r="P383" s="116">
        <v>61.75</v>
      </c>
      <c r="Q383" s="116">
        <v>314.05</v>
      </c>
      <c r="R383">
        <v>6778</v>
      </c>
    </row>
    <row r="384" spans="1:18" x14ac:dyDescent="0.25">
      <c r="A384" s="170">
        <v>42590</v>
      </c>
      <c r="B384" s="116">
        <v>85.58</v>
      </c>
      <c r="C384" s="116">
        <v>83.95</v>
      </c>
      <c r="D384" s="116">
        <v>83.02000000000001</v>
      </c>
      <c r="E384" s="116">
        <v>84</v>
      </c>
      <c r="F384" s="116">
        <v>419.75</v>
      </c>
      <c r="G384">
        <v>1525</v>
      </c>
      <c r="H384" s="116"/>
      <c r="I384" s="116"/>
      <c r="L384" s="170">
        <v>42573</v>
      </c>
      <c r="M384" s="116">
        <v>63.910000000000004</v>
      </c>
      <c r="N384" s="116">
        <v>64.75</v>
      </c>
      <c r="O384" s="116">
        <v>62.2</v>
      </c>
      <c r="P384" s="116">
        <v>64</v>
      </c>
      <c r="Q384" s="116">
        <v>319.55</v>
      </c>
      <c r="R384">
        <v>10834</v>
      </c>
    </row>
    <row r="385" spans="1:18" x14ac:dyDescent="0.25">
      <c r="A385" s="170">
        <v>42591</v>
      </c>
      <c r="B385" s="116">
        <v>83.02000000000001</v>
      </c>
      <c r="C385" s="116">
        <v>80.72999999999999</v>
      </c>
      <c r="D385" s="116">
        <v>79.81</v>
      </c>
      <c r="E385" s="116">
        <v>83</v>
      </c>
      <c r="F385" s="116">
        <v>403.65</v>
      </c>
      <c r="G385">
        <v>796</v>
      </c>
      <c r="H385" s="116"/>
      <c r="I385" s="116"/>
      <c r="L385" s="170">
        <v>42576</v>
      </c>
      <c r="M385" s="116">
        <v>76.69</v>
      </c>
      <c r="N385" s="116">
        <v>76.69</v>
      </c>
      <c r="O385" s="116">
        <v>76.69</v>
      </c>
      <c r="P385" s="116">
        <v>76.69</v>
      </c>
      <c r="Q385" s="116">
        <v>383.45</v>
      </c>
      <c r="R385">
        <v>14142</v>
      </c>
    </row>
    <row r="386" spans="1:18" x14ac:dyDescent="0.25">
      <c r="A386" s="170">
        <v>42592</v>
      </c>
      <c r="B386" s="116">
        <v>82.2</v>
      </c>
      <c r="C386" s="116">
        <v>81.400000000000006</v>
      </c>
      <c r="D386" s="116">
        <v>81.05</v>
      </c>
      <c r="E386" s="116">
        <v>81.8</v>
      </c>
      <c r="F386" s="116">
        <v>407</v>
      </c>
      <c r="G386">
        <v>338</v>
      </c>
      <c r="H386" s="116"/>
      <c r="I386" s="116"/>
      <c r="L386" s="170">
        <v>42577</v>
      </c>
      <c r="M386" s="116">
        <v>90.08</v>
      </c>
      <c r="N386" s="116">
        <v>92.02000000000001</v>
      </c>
      <c r="O386" s="116">
        <v>83.6</v>
      </c>
      <c r="P386" s="116">
        <v>84.78</v>
      </c>
      <c r="Q386" s="116">
        <v>450.4</v>
      </c>
      <c r="R386">
        <v>279473</v>
      </c>
    </row>
    <row r="387" spans="1:18" x14ac:dyDescent="0.25">
      <c r="A387" s="170">
        <v>42593</v>
      </c>
      <c r="B387" s="116">
        <v>82.75</v>
      </c>
      <c r="C387" s="116">
        <v>82.35</v>
      </c>
      <c r="D387" s="116">
        <v>80</v>
      </c>
      <c r="E387" s="116">
        <v>80.210000000000008</v>
      </c>
      <c r="F387" s="116">
        <v>411.75</v>
      </c>
      <c r="G387">
        <v>1442</v>
      </c>
      <c r="H387" s="116"/>
      <c r="I387" s="116"/>
      <c r="L387" s="170">
        <v>42578</v>
      </c>
      <c r="M387" s="116">
        <v>84.89</v>
      </c>
      <c r="N387" s="116">
        <v>91.6</v>
      </c>
      <c r="O387" s="116">
        <v>84.13</v>
      </c>
      <c r="P387" s="116">
        <v>90</v>
      </c>
      <c r="Q387" s="116">
        <v>424.45</v>
      </c>
      <c r="R387">
        <v>68131</v>
      </c>
    </row>
    <row r="388" spans="1:18" x14ac:dyDescent="0.25">
      <c r="A388" s="170">
        <v>42594</v>
      </c>
      <c r="B388" s="116">
        <v>82</v>
      </c>
      <c r="C388" s="116">
        <v>82</v>
      </c>
      <c r="D388" s="116">
        <v>81.22</v>
      </c>
      <c r="E388" s="116">
        <v>81.400000000000006</v>
      </c>
      <c r="F388" s="116">
        <v>410</v>
      </c>
      <c r="G388">
        <v>2089</v>
      </c>
      <c r="H388" s="116"/>
      <c r="I388" s="116"/>
      <c r="L388" s="170">
        <v>42579</v>
      </c>
      <c r="M388" s="116">
        <v>82.74</v>
      </c>
      <c r="N388" s="116">
        <v>89.77000000000001</v>
      </c>
      <c r="O388" s="116">
        <v>80.7</v>
      </c>
      <c r="P388" s="116">
        <v>85</v>
      </c>
      <c r="Q388" s="116">
        <v>413.7</v>
      </c>
      <c r="R388">
        <v>46321</v>
      </c>
    </row>
    <row r="389" spans="1:18" x14ac:dyDescent="0.25">
      <c r="A389" s="170">
        <v>42598</v>
      </c>
      <c r="B389" s="116">
        <v>81.99</v>
      </c>
      <c r="C389" s="116">
        <v>79.97</v>
      </c>
      <c r="D389" s="116">
        <v>76.3</v>
      </c>
      <c r="E389" s="116">
        <v>80.210000000000008</v>
      </c>
      <c r="F389" s="116">
        <v>399.85</v>
      </c>
      <c r="G389">
        <v>1037</v>
      </c>
      <c r="H389" s="116"/>
      <c r="I389" s="116"/>
      <c r="L389" s="170">
        <v>42580</v>
      </c>
      <c r="M389" s="116">
        <v>80.400000000000006</v>
      </c>
      <c r="N389" s="116">
        <v>83.8</v>
      </c>
      <c r="O389" s="116">
        <v>80</v>
      </c>
      <c r="P389" s="116">
        <v>81.2</v>
      </c>
      <c r="Q389" s="116">
        <v>402</v>
      </c>
      <c r="R389">
        <v>8910</v>
      </c>
    </row>
    <row r="390" spans="1:18" x14ac:dyDescent="0.25">
      <c r="A390" s="170">
        <v>42599</v>
      </c>
      <c r="B390" s="116">
        <v>80</v>
      </c>
      <c r="C390" s="116">
        <v>77.5</v>
      </c>
      <c r="D390" s="116">
        <v>76.460000000000008</v>
      </c>
      <c r="E390" s="116">
        <v>78.599999999999994</v>
      </c>
      <c r="F390" s="116">
        <v>387.5</v>
      </c>
      <c r="G390">
        <v>2490</v>
      </c>
      <c r="H390" s="116"/>
      <c r="I390" s="116"/>
      <c r="L390" s="170">
        <v>42583</v>
      </c>
      <c r="M390" s="116">
        <v>83.22999999999999</v>
      </c>
      <c r="N390" s="116">
        <v>86.49</v>
      </c>
      <c r="O390" s="116">
        <v>79</v>
      </c>
      <c r="P390" s="116">
        <v>81.2</v>
      </c>
      <c r="Q390" s="116">
        <v>416.15</v>
      </c>
      <c r="R390">
        <v>17426</v>
      </c>
    </row>
    <row r="391" spans="1:18" x14ac:dyDescent="0.25">
      <c r="A391" s="170">
        <v>42600</v>
      </c>
      <c r="B391" s="116">
        <v>85.25</v>
      </c>
      <c r="C391" s="116">
        <v>84.14</v>
      </c>
      <c r="D391" s="116">
        <v>78.75</v>
      </c>
      <c r="E391" s="116">
        <v>79.400000000000006</v>
      </c>
      <c r="F391" s="116">
        <v>420.7</v>
      </c>
      <c r="G391">
        <v>4135</v>
      </c>
      <c r="H391" s="116"/>
      <c r="I391" s="116"/>
      <c r="L391" s="170">
        <v>42584</v>
      </c>
      <c r="M391" s="116">
        <v>82.05</v>
      </c>
      <c r="N391" s="116">
        <v>86.36</v>
      </c>
      <c r="O391" s="116">
        <v>81.2</v>
      </c>
      <c r="P391" s="116">
        <v>83.22999999999999</v>
      </c>
      <c r="Q391" s="116">
        <v>410.25</v>
      </c>
      <c r="R391">
        <v>7916</v>
      </c>
    </row>
    <row r="392" spans="1:18" x14ac:dyDescent="0.25">
      <c r="A392" s="170">
        <v>42601</v>
      </c>
      <c r="B392" s="116">
        <v>85.2</v>
      </c>
      <c r="C392" s="116">
        <v>84</v>
      </c>
      <c r="D392" s="116">
        <v>82.6</v>
      </c>
      <c r="E392" s="116">
        <v>85.06</v>
      </c>
      <c r="F392" s="116">
        <v>420</v>
      </c>
      <c r="G392">
        <v>309</v>
      </c>
      <c r="H392" s="116"/>
      <c r="I392" s="116"/>
      <c r="L392" s="170">
        <v>42585</v>
      </c>
      <c r="M392" s="116">
        <v>81.55</v>
      </c>
      <c r="N392" s="116">
        <v>84.4</v>
      </c>
      <c r="O392" s="116">
        <v>80</v>
      </c>
      <c r="P392" s="116">
        <v>81.2</v>
      </c>
      <c r="Q392" s="116">
        <v>407.75</v>
      </c>
      <c r="R392">
        <v>3907</v>
      </c>
    </row>
    <row r="393" spans="1:18" x14ac:dyDescent="0.25">
      <c r="A393" s="170">
        <v>42604</v>
      </c>
      <c r="B393" s="116">
        <v>89.6</v>
      </c>
      <c r="C393" s="116">
        <v>88.460000000000008</v>
      </c>
      <c r="D393" s="116">
        <v>83.6</v>
      </c>
      <c r="E393" s="116">
        <v>83.6</v>
      </c>
      <c r="F393" s="116">
        <v>442.3</v>
      </c>
      <c r="G393">
        <v>6228</v>
      </c>
      <c r="H393" s="116"/>
      <c r="I393" s="116"/>
      <c r="L393" s="170">
        <v>42586</v>
      </c>
      <c r="M393" s="116">
        <v>80.69</v>
      </c>
      <c r="N393" s="116">
        <v>84.4</v>
      </c>
      <c r="O393" s="116">
        <v>80.3</v>
      </c>
      <c r="P393" s="116">
        <v>83.4</v>
      </c>
      <c r="Q393" s="116">
        <v>403.45</v>
      </c>
      <c r="R393">
        <v>6046</v>
      </c>
    </row>
    <row r="394" spans="1:18" x14ac:dyDescent="0.25">
      <c r="A394" s="170">
        <v>42605</v>
      </c>
      <c r="B394" s="116">
        <v>92.51</v>
      </c>
      <c r="C394" s="116">
        <v>89.710000000000008</v>
      </c>
      <c r="D394" s="116">
        <v>88.710000000000008</v>
      </c>
      <c r="E394" s="116">
        <v>89.8</v>
      </c>
      <c r="F394" s="116">
        <v>448.55</v>
      </c>
      <c r="G394">
        <v>5662</v>
      </c>
      <c r="H394" s="116"/>
      <c r="I394" s="116"/>
      <c r="L394" s="170">
        <v>42587</v>
      </c>
      <c r="M394" s="116">
        <v>83.320000000000007</v>
      </c>
      <c r="N394" s="116">
        <v>83.6</v>
      </c>
      <c r="O394" s="116">
        <v>80.42</v>
      </c>
      <c r="P394" s="116">
        <v>82.2</v>
      </c>
      <c r="Q394" s="116">
        <v>416.6</v>
      </c>
      <c r="R394">
        <v>7738</v>
      </c>
    </row>
    <row r="395" spans="1:18" x14ac:dyDescent="0.25">
      <c r="A395" s="170">
        <v>42606</v>
      </c>
      <c r="B395" s="116">
        <v>91.39</v>
      </c>
      <c r="C395" s="116">
        <v>89.61</v>
      </c>
      <c r="D395" s="116">
        <v>89.6</v>
      </c>
      <c r="E395" s="116">
        <v>91.39</v>
      </c>
      <c r="F395" s="116">
        <v>448.05</v>
      </c>
      <c r="G395">
        <v>481</v>
      </c>
      <c r="H395" s="116"/>
      <c r="I395" s="116"/>
      <c r="L395" s="170">
        <v>42590</v>
      </c>
      <c r="M395" s="116">
        <v>83.45</v>
      </c>
      <c r="N395" s="116">
        <v>84.1</v>
      </c>
      <c r="O395" s="116">
        <v>81.820000000000007</v>
      </c>
      <c r="P395" s="116">
        <v>83</v>
      </c>
      <c r="Q395" s="116">
        <v>417.25</v>
      </c>
      <c r="R395">
        <v>3213</v>
      </c>
    </row>
    <row r="396" spans="1:18" x14ac:dyDescent="0.25">
      <c r="A396" s="170">
        <v>42607</v>
      </c>
      <c r="B396" s="116">
        <v>98</v>
      </c>
      <c r="C396" s="116">
        <v>93.27000000000001</v>
      </c>
      <c r="D396" s="116">
        <v>89</v>
      </c>
      <c r="E396" s="116">
        <v>89</v>
      </c>
      <c r="F396" s="116">
        <v>466.35</v>
      </c>
      <c r="G396">
        <v>8903</v>
      </c>
      <c r="H396" s="116"/>
      <c r="I396" s="116"/>
      <c r="L396" s="170">
        <v>42591</v>
      </c>
      <c r="M396" s="116">
        <v>80.34</v>
      </c>
      <c r="N396" s="116">
        <v>83.99</v>
      </c>
      <c r="O396" s="116">
        <v>80.02000000000001</v>
      </c>
      <c r="P396" s="116">
        <v>82.6</v>
      </c>
      <c r="Q396" s="116">
        <v>401.7</v>
      </c>
      <c r="R396">
        <v>2692</v>
      </c>
    </row>
    <row r="397" spans="1:18" x14ac:dyDescent="0.25">
      <c r="A397" s="170">
        <v>42608</v>
      </c>
      <c r="B397" s="116">
        <v>94.97999999999999</v>
      </c>
      <c r="C397" s="116">
        <v>90</v>
      </c>
      <c r="D397" s="116">
        <v>89.8</v>
      </c>
      <c r="E397" s="116">
        <v>93</v>
      </c>
      <c r="F397" s="116">
        <v>450</v>
      </c>
      <c r="G397">
        <v>2167</v>
      </c>
      <c r="H397" s="116"/>
      <c r="I397" s="116"/>
      <c r="L397" s="170">
        <v>42592</v>
      </c>
      <c r="M397" s="116">
        <v>81.33</v>
      </c>
      <c r="N397" s="116">
        <v>82.4</v>
      </c>
      <c r="O397" s="116">
        <v>80.22</v>
      </c>
      <c r="P397" s="116">
        <v>80.22</v>
      </c>
      <c r="Q397" s="116">
        <v>406.65</v>
      </c>
      <c r="R397">
        <v>5587</v>
      </c>
    </row>
    <row r="398" spans="1:18" x14ac:dyDescent="0.25">
      <c r="A398" s="170">
        <v>42611</v>
      </c>
      <c r="B398" s="116">
        <v>91.8</v>
      </c>
      <c r="C398" s="116">
        <v>90.14</v>
      </c>
      <c r="D398" s="116">
        <v>89.210000000000008</v>
      </c>
      <c r="E398" s="116">
        <v>91</v>
      </c>
      <c r="F398" s="116">
        <v>450.7</v>
      </c>
      <c r="G398">
        <v>307</v>
      </c>
      <c r="H398" s="116"/>
      <c r="I398" s="116"/>
      <c r="L398" s="170">
        <v>42593</v>
      </c>
      <c r="M398" s="116">
        <v>81.210000000000008</v>
      </c>
      <c r="N398" s="116">
        <v>82.960000000000008</v>
      </c>
      <c r="O398" s="116">
        <v>80.239999999999995</v>
      </c>
      <c r="P398" s="116">
        <v>82.960000000000008</v>
      </c>
      <c r="Q398" s="116">
        <v>406.05</v>
      </c>
      <c r="R398">
        <v>3010</v>
      </c>
    </row>
    <row r="399" spans="1:18" x14ac:dyDescent="0.25">
      <c r="A399" s="170">
        <v>42612</v>
      </c>
      <c r="B399" s="116">
        <v>93.8</v>
      </c>
      <c r="C399" s="116">
        <v>91.460000000000008</v>
      </c>
      <c r="D399" s="116">
        <v>90</v>
      </c>
      <c r="E399" s="116">
        <v>90.06</v>
      </c>
      <c r="F399" s="116">
        <v>457.3</v>
      </c>
      <c r="G399">
        <v>3658</v>
      </c>
      <c r="H399" s="116"/>
      <c r="I399" s="116"/>
      <c r="L399" s="170">
        <v>42594</v>
      </c>
      <c r="M399" s="116">
        <v>81.349999999999994</v>
      </c>
      <c r="N399" s="116">
        <v>83.99</v>
      </c>
      <c r="O399" s="116">
        <v>79.66</v>
      </c>
      <c r="P399" s="116">
        <v>83.97999999999999</v>
      </c>
      <c r="Q399" s="116">
        <v>406.75</v>
      </c>
      <c r="R399">
        <v>4814</v>
      </c>
    </row>
    <row r="400" spans="1:18" x14ac:dyDescent="0.25">
      <c r="A400" s="170">
        <v>42613</v>
      </c>
      <c r="B400" s="116">
        <v>95</v>
      </c>
      <c r="C400" s="116">
        <v>91.27000000000001</v>
      </c>
      <c r="D400" s="116">
        <v>90.22</v>
      </c>
      <c r="E400" s="116">
        <v>93</v>
      </c>
      <c r="F400" s="116">
        <v>456.35</v>
      </c>
      <c r="G400">
        <v>490</v>
      </c>
      <c r="H400" s="116"/>
      <c r="I400" s="116"/>
      <c r="L400" s="170">
        <v>42598</v>
      </c>
      <c r="M400" s="116">
        <v>79.17</v>
      </c>
      <c r="N400" s="116">
        <v>82.65</v>
      </c>
      <c r="O400" s="116">
        <v>75</v>
      </c>
      <c r="P400" s="116">
        <v>80.599999999999994</v>
      </c>
      <c r="Q400" s="116">
        <v>395.85</v>
      </c>
      <c r="R400">
        <v>7145</v>
      </c>
    </row>
    <row r="401" spans="1:18" x14ac:dyDescent="0.25">
      <c r="A401" s="170">
        <v>42614</v>
      </c>
      <c r="B401" s="116">
        <v>93.4</v>
      </c>
      <c r="C401" s="116">
        <v>90.27000000000001</v>
      </c>
      <c r="D401" s="116">
        <v>89</v>
      </c>
      <c r="E401" s="116">
        <v>93</v>
      </c>
      <c r="F401" s="116">
        <v>451.35</v>
      </c>
      <c r="G401">
        <v>745</v>
      </c>
      <c r="H401" s="116"/>
      <c r="I401" s="116"/>
      <c r="L401" s="170">
        <v>42599</v>
      </c>
      <c r="M401" s="116">
        <v>78.28</v>
      </c>
      <c r="N401" s="116">
        <v>79.989999999999995</v>
      </c>
      <c r="O401" s="116">
        <v>76.84</v>
      </c>
      <c r="P401" s="116">
        <v>79.400000000000006</v>
      </c>
      <c r="Q401" s="116">
        <v>391.4</v>
      </c>
      <c r="R401">
        <v>4465</v>
      </c>
    </row>
    <row r="402" spans="1:18" x14ac:dyDescent="0.25">
      <c r="A402" s="170">
        <v>42615</v>
      </c>
      <c r="B402" s="116">
        <v>91.6</v>
      </c>
      <c r="C402" s="116">
        <v>90.09</v>
      </c>
      <c r="D402" s="116">
        <v>89.4</v>
      </c>
      <c r="E402" s="116">
        <v>90.4</v>
      </c>
      <c r="F402" s="116">
        <v>450.45</v>
      </c>
      <c r="G402">
        <v>270</v>
      </c>
      <c r="H402" s="116"/>
      <c r="I402" s="116"/>
      <c r="L402" s="170">
        <v>42600</v>
      </c>
      <c r="M402" s="116">
        <v>83.72999999999999</v>
      </c>
      <c r="N402" s="116">
        <v>86</v>
      </c>
      <c r="O402" s="116">
        <v>79.22</v>
      </c>
      <c r="P402" s="116">
        <v>80.95</v>
      </c>
      <c r="Q402" s="116">
        <v>418.65</v>
      </c>
      <c r="R402">
        <v>38710</v>
      </c>
    </row>
    <row r="403" spans="1:18" x14ac:dyDescent="0.25">
      <c r="A403" s="170">
        <v>42619</v>
      </c>
      <c r="B403" s="116">
        <v>93</v>
      </c>
      <c r="C403" s="116">
        <v>91.19</v>
      </c>
      <c r="D403" s="116">
        <v>89.05</v>
      </c>
      <c r="E403" s="116">
        <v>90.22999999999999</v>
      </c>
      <c r="F403" s="116">
        <v>455.95</v>
      </c>
      <c r="G403">
        <v>512</v>
      </c>
      <c r="H403" s="116"/>
      <c r="I403" s="116"/>
      <c r="L403" s="170">
        <v>42601</v>
      </c>
      <c r="M403" s="116">
        <v>83.5</v>
      </c>
      <c r="N403" s="116">
        <v>85</v>
      </c>
      <c r="O403" s="116">
        <v>83.35</v>
      </c>
      <c r="P403" s="116">
        <v>84.76</v>
      </c>
      <c r="Q403" s="116">
        <v>417.5</v>
      </c>
      <c r="R403">
        <v>6818</v>
      </c>
    </row>
    <row r="404" spans="1:18" x14ac:dyDescent="0.25">
      <c r="A404" s="170">
        <v>42620</v>
      </c>
      <c r="B404" s="116">
        <v>92</v>
      </c>
      <c r="C404" s="116">
        <v>90.39</v>
      </c>
      <c r="D404" s="116">
        <v>90.02000000000001</v>
      </c>
      <c r="E404" s="116">
        <v>91.97999999999999</v>
      </c>
      <c r="F404" s="116">
        <v>451.95</v>
      </c>
      <c r="G404">
        <v>867</v>
      </c>
      <c r="H404" s="116"/>
      <c r="I404" s="116"/>
      <c r="L404" s="170">
        <v>42604</v>
      </c>
      <c r="M404" s="116">
        <v>87.61</v>
      </c>
      <c r="N404" s="116">
        <v>90.320000000000007</v>
      </c>
      <c r="O404" s="116">
        <v>82.52000000000001</v>
      </c>
      <c r="P404" s="116">
        <v>83.4</v>
      </c>
      <c r="Q404" s="116">
        <v>438.05</v>
      </c>
      <c r="R404">
        <v>28357</v>
      </c>
    </row>
    <row r="405" spans="1:18" x14ac:dyDescent="0.25">
      <c r="A405" s="170">
        <v>42621</v>
      </c>
      <c r="B405" s="116">
        <v>99.39</v>
      </c>
      <c r="C405" s="116">
        <v>98.76</v>
      </c>
      <c r="D405" s="116">
        <v>92</v>
      </c>
      <c r="E405" s="116">
        <v>92</v>
      </c>
      <c r="F405" s="116">
        <v>493.8</v>
      </c>
      <c r="G405">
        <v>5677</v>
      </c>
      <c r="H405" s="116"/>
      <c r="I405" s="116"/>
      <c r="L405" s="170">
        <v>42605</v>
      </c>
      <c r="M405" s="116">
        <v>89.86</v>
      </c>
      <c r="N405" s="116">
        <v>92.35</v>
      </c>
      <c r="O405" s="116">
        <v>87</v>
      </c>
      <c r="P405" s="116">
        <v>87.6</v>
      </c>
      <c r="Q405" s="116">
        <v>449.3</v>
      </c>
      <c r="R405">
        <v>9558</v>
      </c>
    </row>
    <row r="406" spans="1:18" x14ac:dyDescent="0.25">
      <c r="A406" s="170">
        <v>42622</v>
      </c>
      <c r="B406" s="116">
        <v>102</v>
      </c>
      <c r="C406" s="116">
        <v>97.7</v>
      </c>
      <c r="D406" s="116">
        <v>96.33</v>
      </c>
      <c r="E406" s="116">
        <v>99.8</v>
      </c>
      <c r="F406" s="116">
        <v>488.5</v>
      </c>
      <c r="G406">
        <v>774</v>
      </c>
      <c r="H406" s="116"/>
      <c r="I406" s="116"/>
      <c r="L406" s="170">
        <v>42606</v>
      </c>
      <c r="M406" s="116">
        <v>89.539999999999992</v>
      </c>
      <c r="N406" s="116">
        <v>91.58</v>
      </c>
      <c r="O406" s="116">
        <v>88.94</v>
      </c>
      <c r="P406" s="116">
        <v>90</v>
      </c>
      <c r="Q406" s="116">
        <v>447.7</v>
      </c>
      <c r="R406">
        <v>2148</v>
      </c>
    </row>
    <row r="407" spans="1:18" x14ac:dyDescent="0.25">
      <c r="A407" s="170">
        <v>42625</v>
      </c>
      <c r="B407" s="116">
        <v>97.4</v>
      </c>
      <c r="C407" s="116">
        <v>93.539999999999992</v>
      </c>
      <c r="D407" s="116">
        <v>91.3</v>
      </c>
      <c r="E407" s="116">
        <v>95.9</v>
      </c>
      <c r="F407" s="116">
        <v>467.7</v>
      </c>
      <c r="G407">
        <v>1059</v>
      </c>
      <c r="H407" s="116"/>
      <c r="I407" s="116"/>
      <c r="L407" s="170">
        <v>42607</v>
      </c>
      <c r="M407" s="116">
        <v>92.9</v>
      </c>
      <c r="N407" s="116">
        <v>97.97999999999999</v>
      </c>
      <c r="O407" s="116">
        <v>87</v>
      </c>
      <c r="P407" s="116">
        <v>91.6</v>
      </c>
      <c r="Q407" s="116">
        <v>464.5</v>
      </c>
      <c r="R407">
        <v>24989</v>
      </c>
    </row>
    <row r="408" spans="1:18" x14ac:dyDescent="0.25">
      <c r="A408" s="170">
        <v>42627</v>
      </c>
      <c r="B408" s="116">
        <v>97.570000000000007</v>
      </c>
      <c r="C408" s="116">
        <v>94.9</v>
      </c>
      <c r="D408" s="116">
        <v>94.179999999999993</v>
      </c>
      <c r="E408" s="116">
        <v>95.6</v>
      </c>
      <c r="F408" s="116">
        <v>474.5</v>
      </c>
      <c r="G408">
        <v>260</v>
      </c>
      <c r="H408" s="116"/>
      <c r="I408" s="116"/>
      <c r="L408" s="170">
        <v>42608</v>
      </c>
      <c r="M408" s="116">
        <v>90.26</v>
      </c>
      <c r="N408" s="116">
        <v>94.9</v>
      </c>
      <c r="O408" s="116">
        <v>89.6</v>
      </c>
      <c r="P408" s="116">
        <v>93</v>
      </c>
      <c r="Q408" s="116">
        <v>451.3</v>
      </c>
      <c r="R408">
        <v>7293</v>
      </c>
    </row>
    <row r="409" spans="1:18" x14ac:dyDescent="0.25">
      <c r="A409" s="170">
        <v>42628</v>
      </c>
      <c r="B409" s="116">
        <v>100.94</v>
      </c>
      <c r="C409" s="116">
        <v>98.15</v>
      </c>
      <c r="D409" s="116">
        <v>96</v>
      </c>
      <c r="E409" s="116">
        <v>96</v>
      </c>
      <c r="F409" s="116">
        <v>490.75</v>
      </c>
      <c r="G409">
        <v>1826</v>
      </c>
      <c r="H409" s="116"/>
      <c r="I409" s="116"/>
      <c r="L409" s="170">
        <v>42611</v>
      </c>
      <c r="M409" s="116">
        <v>90.05</v>
      </c>
      <c r="N409" s="116">
        <v>91.59</v>
      </c>
      <c r="O409" s="116">
        <v>89</v>
      </c>
      <c r="P409" s="116">
        <v>90.4</v>
      </c>
      <c r="Q409" s="116">
        <v>450.25</v>
      </c>
      <c r="R409">
        <v>3289</v>
      </c>
    </row>
    <row r="410" spans="1:18" x14ac:dyDescent="0.25">
      <c r="A410" s="170">
        <v>42629</v>
      </c>
      <c r="B410" s="116">
        <v>102.35</v>
      </c>
      <c r="C410" s="116">
        <v>97.69</v>
      </c>
      <c r="D410" s="116">
        <v>97.3</v>
      </c>
      <c r="E410" s="116">
        <v>99.8</v>
      </c>
      <c r="F410" s="116">
        <v>488.45</v>
      </c>
      <c r="G410">
        <v>2014</v>
      </c>
      <c r="H410" s="116"/>
      <c r="I410" s="116"/>
      <c r="L410" s="170">
        <v>42612</v>
      </c>
      <c r="M410" s="116">
        <v>91.06</v>
      </c>
      <c r="N410" s="116">
        <v>93</v>
      </c>
      <c r="O410" s="116">
        <v>90.2</v>
      </c>
      <c r="P410" s="116">
        <v>90.24</v>
      </c>
      <c r="Q410" s="116">
        <v>455.3</v>
      </c>
      <c r="R410">
        <v>4241</v>
      </c>
    </row>
    <row r="411" spans="1:18" x14ac:dyDescent="0.25">
      <c r="A411" s="170">
        <v>42632</v>
      </c>
      <c r="B411" s="116">
        <v>100</v>
      </c>
      <c r="C411" s="116">
        <v>98.55</v>
      </c>
      <c r="D411" s="116">
        <v>97.16</v>
      </c>
      <c r="E411" s="116">
        <v>99</v>
      </c>
      <c r="F411" s="116">
        <v>492.75</v>
      </c>
      <c r="G411">
        <v>1253</v>
      </c>
      <c r="H411" s="116"/>
      <c r="I411" s="116"/>
      <c r="L411" s="170">
        <v>42613</v>
      </c>
      <c r="M411" s="116">
        <v>92.17</v>
      </c>
      <c r="N411" s="116">
        <v>93.789999999999992</v>
      </c>
      <c r="O411" s="116">
        <v>91.3</v>
      </c>
      <c r="P411" s="116">
        <v>92.88</v>
      </c>
      <c r="Q411" s="116">
        <v>460.85</v>
      </c>
      <c r="R411">
        <v>2910</v>
      </c>
    </row>
    <row r="412" spans="1:18" x14ac:dyDescent="0.25">
      <c r="A412" s="170">
        <v>42633</v>
      </c>
      <c r="B412" s="116">
        <v>99.4</v>
      </c>
      <c r="C412" s="116">
        <v>96.89</v>
      </c>
      <c r="D412" s="116">
        <v>95.2</v>
      </c>
      <c r="E412" s="116">
        <v>98</v>
      </c>
      <c r="F412" s="116">
        <v>484.45</v>
      </c>
      <c r="G412">
        <v>920</v>
      </c>
      <c r="H412" s="116"/>
      <c r="I412" s="116"/>
      <c r="L412" s="170">
        <v>42614</v>
      </c>
      <c r="M412" s="116">
        <v>89.7</v>
      </c>
      <c r="N412" s="116">
        <v>93.6</v>
      </c>
      <c r="O412" s="116">
        <v>88.5</v>
      </c>
      <c r="P412" s="116">
        <v>93.6</v>
      </c>
      <c r="Q412" s="116">
        <v>448.5</v>
      </c>
      <c r="R412">
        <v>5858</v>
      </c>
    </row>
    <row r="413" spans="1:18" x14ac:dyDescent="0.25">
      <c r="A413" s="170">
        <v>42634</v>
      </c>
      <c r="B413" s="116">
        <v>96.78</v>
      </c>
      <c r="C413" s="116">
        <v>95.210000000000008</v>
      </c>
      <c r="D413" s="116">
        <v>90.4</v>
      </c>
      <c r="E413" s="116">
        <v>95.15</v>
      </c>
      <c r="F413" s="116">
        <v>476.05</v>
      </c>
      <c r="G413">
        <v>531</v>
      </c>
      <c r="H413" s="116"/>
      <c r="I413" s="116"/>
      <c r="L413" s="170">
        <v>42615</v>
      </c>
      <c r="M413" s="116">
        <v>89.38</v>
      </c>
      <c r="N413" s="116">
        <v>91.76</v>
      </c>
      <c r="O413" s="116">
        <v>89</v>
      </c>
      <c r="P413" s="116">
        <v>90.58</v>
      </c>
      <c r="Q413" s="116">
        <v>446.9</v>
      </c>
      <c r="R413">
        <v>2202</v>
      </c>
    </row>
    <row r="414" spans="1:18" x14ac:dyDescent="0.25">
      <c r="A414" s="170">
        <v>42635</v>
      </c>
      <c r="B414" s="116">
        <v>96.8</v>
      </c>
      <c r="C414" s="116">
        <v>96.179999999999993</v>
      </c>
      <c r="D414" s="116">
        <v>95.6</v>
      </c>
      <c r="E414" s="116">
        <v>96.45</v>
      </c>
      <c r="F414" s="116">
        <v>480.9</v>
      </c>
      <c r="G414">
        <v>118</v>
      </c>
      <c r="H414" s="116"/>
      <c r="I414" s="116"/>
      <c r="L414" s="170">
        <v>42619</v>
      </c>
      <c r="M414" s="116">
        <v>91.289999999999992</v>
      </c>
      <c r="N414" s="116">
        <v>92.41</v>
      </c>
      <c r="O414" s="116">
        <v>90</v>
      </c>
      <c r="P414" s="116">
        <v>91.8</v>
      </c>
      <c r="Q414" s="116">
        <v>456.45</v>
      </c>
      <c r="R414">
        <v>3918</v>
      </c>
    </row>
    <row r="415" spans="1:18" x14ac:dyDescent="0.25">
      <c r="A415" s="170">
        <v>42636</v>
      </c>
      <c r="B415" s="116">
        <v>96.789999999999992</v>
      </c>
      <c r="C415" s="116">
        <v>95.5</v>
      </c>
      <c r="D415" s="116">
        <v>94.1</v>
      </c>
      <c r="E415" s="116">
        <v>95.4</v>
      </c>
      <c r="F415" s="116">
        <v>477.5</v>
      </c>
      <c r="G415">
        <v>399</v>
      </c>
      <c r="H415" s="116"/>
      <c r="I415" s="116"/>
      <c r="L415" s="170">
        <v>42620</v>
      </c>
      <c r="M415" s="116">
        <v>91.12</v>
      </c>
      <c r="N415" s="116">
        <v>92</v>
      </c>
      <c r="O415" s="116">
        <v>90.3</v>
      </c>
      <c r="P415" s="116">
        <v>91.9</v>
      </c>
      <c r="Q415" s="116">
        <v>455.6</v>
      </c>
      <c r="R415">
        <v>1895</v>
      </c>
    </row>
    <row r="416" spans="1:18" x14ac:dyDescent="0.25">
      <c r="A416" s="170">
        <v>42639</v>
      </c>
      <c r="B416" s="116">
        <v>99</v>
      </c>
      <c r="C416" s="116">
        <v>96.03</v>
      </c>
      <c r="D416" s="116">
        <v>95.22</v>
      </c>
      <c r="E416" s="116">
        <v>97</v>
      </c>
      <c r="F416" s="116">
        <v>480.15</v>
      </c>
      <c r="G416">
        <v>511</v>
      </c>
      <c r="H416" s="116"/>
      <c r="I416" s="116"/>
      <c r="L416" s="170">
        <v>42621</v>
      </c>
      <c r="M416" s="116">
        <v>98.56</v>
      </c>
      <c r="N416" s="116">
        <v>99.2</v>
      </c>
      <c r="O416" s="116">
        <v>91</v>
      </c>
      <c r="P416" s="116">
        <v>91</v>
      </c>
      <c r="Q416" s="116">
        <v>492.8</v>
      </c>
      <c r="R416">
        <v>17794</v>
      </c>
    </row>
    <row r="417" spans="1:18" x14ac:dyDescent="0.25">
      <c r="A417" s="170">
        <v>42640</v>
      </c>
      <c r="B417" s="116">
        <v>98</v>
      </c>
      <c r="C417" s="116">
        <v>97.62</v>
      </c>
      <c r="D417" s="116">
        <v>96.17</v>
      </c>
      <c r="E417" s="116">
        <v>98</v>
      </c>
      <c r="F417" s="116">
        <v>488.1</v>
      </c>
      <c r="G417">
        <v>819</v>
      </c>
      <c r="H417" s="116"/>
      <c r="I417" s="116"/>
      <c r="L417" s="170">
        <v>42622</v>
      </c>
      <c r="M417" s="116">
        <v>97.9</v>
      </c>
      <c r="N417" s="116">
        <v>102</v>
      </c>
      <c r="O417" s="116">
        <v>96.2</v>
      </c>
      <c r="P417" s="116">
        <v>100</v>
      </c>
      <c r="Q417" s="116">
        <v>489.5</v>
      </c>
      <c r="R417">
        <v>4494</v>
      </c>
    </row>
    <row r="418" spans="1:18" x14ac:dyDescent="0.25">
      <c r="A418" s="170">
        <v>42641</v>
      </c>
      <c r="B418" s="116">
        <v>100.78</v>
      </c>
      <c r="C418" s="116">
        <v>99.81</v>
      </c>
      <c r="D418" s="116">
        <v>97.52000000000001</v>
      </c>
      <c r="E418" s="116">
        <v>98</v>
      </c>
      <c r="F418" s="116">
        <v>499.05</v>
      </c>
      <c r="G418">
        <v>1062</v>
      </c>
      <c r="H418" s="116"/>
      <c r="I418" s="116"/>
      <c r="L418" s="170">
        <v>42625</v>
      </c>
      <c r="M418" s="116">
        <v>93.52000000000001</v>
      </c>
      <c r="N418" s="116">
        <v>97</v>
      </c>
      <c r="O418" s="116">
        <v>86.16</v>
      </c>
      <c r="P418" s="116">
        <v>95</v>
      </c>
      <c r="Q418" s="116">
        <v>467.6</v>
      </c>
      <c r="R418">
        <v>5763</v>
      </c>
    </row>
    <row r="419" spans="1:18" x14ac:dyDescent="0.25">
      <c r="A419" s="170">
        <v>42642</v>
      </c>
      <c r="B419" s="116">
        <v>100.4</v>
      </c>
      <c r="C419" s="116">
        <v>93.05</v>
      </c>
      <c r="D419" s="116">
        <v>90.2</v>
      </c>
      <c r="E419" s="116">
        <v>100</v>
      </c>
      <c r="F419" s="116">
        <v>465.25</v>
      </c>
      <c r="G419">
        <v>1690</v>
      </c>
      <c r="H419" s="116"/>
      <c r="I419" s="116"/>
      <c r="L419" s="170">
        <v>42627</v>
      </c>
      <c r="M419" s="116">
        <v>95.92</v>
      </c>
      <c r="N419" s="116">
        <v>97.8</v>
      </c>
      <c r="O419" s="116">
        <v>94.08</v>
      </c>
      <c r="P419" s="116">
        <v>96</v>
      </c>
      <c r="Q419" s="116">
        <v>479.6</v>
      </c>
      <c r="R419">
        <v>1987</v>
      </c>
    </row>
    <row r="420" spans="1:18" x14ac:dyDescent="0.25">
      <c r="A420" s="170">
        <v>42643</v>
      </c>
      <c r="B420" s="116">
        <v>95.97999999999999</v>
      </c>
      <c r="C420" s="116">
        <v>95.55</v>
      </c>
      <c r="D420" s="116">
        <v>92.78</v>
      </c>
      <c r="E420" s="116">
        <v>92.78</v>
      </c>
      <c r="F420" s="116">
        <v>477.75</v>
      </c>
      <c r="G420">
        <v>138</v>
      </c>
      <c r="H420" s="116"/>
      <c r="I420" s="116"/>
      <c r="L420" s="170">
        <v>42628</v>
      </c>
      <c r="M420" s="116">
        <v>98.25</v>
      </c>
      <c r="N420" s="116">
        <v>101.6</v>
      </c>
      <c r="O420" s="116">
        <v>95.460000000000008</v>
      </c>
      <c r="P420" s="116">
        <v>96</v>
      </c>
      <c r="Q420" s="116">
        <v>491.25</v>
      </c>
      <c r="R420">
        <v>10811</v>
      </c>
    </row>
    <row r="421" spans="1:18" x14ac:dyDescent="0.25">
      <c r="A421" s="170">
        <v>42646</v>
      </c>
      <c r="B421" s="116">
        <v>108.69000000000001</v>
      </c>
      <c r="C421" s="116">
        <v>105.4</v>
      </c>
      <c r="D421" s="116">
        <v>96</v>
      </c>
      <c r="E421" s="116">
        <v>96</v>
      </c>
      <c r="F421" s="116">
        <v>527</v>
      </c>
      <c r="G421">
        <v>6005</v>
      </c>
      <c r="H421" s="116"/>
      <c r="I421" s="116"/>
      <c r="L421" s="170">
        <v>42629</v>
      </c>
      <c r="M421" s="116">
        <v>97.88</v>
      </c>
      <c r="N421" s="116">
        <v>102.2</v>
      </c>
      <c r="O421" s="116">
        <v>97.429999999999993</v>
      </c>
      <c r="P421" s="116">
        <v>100.34</v>
      </c>
      <c r="Q421" s="116">
        <v>489.4</v>
      </c>
      <c r="R421">
        <v>6030</v>
      </c>
    </row>
    <row r="422" spans="1:18" x14ac:dyDescent="0.25">
      <c r="A422" s="170">
        <v>42647</v>
      </c>
      <c r="B422" s="116">
        <v>107</v>
      </c>
      <c r="C422" s="116">
        <v>105.33</v>
      </c>
      <c r="D422" s="116">
        <v>104.71</v>
      </c>
      <c r="E422" s="116">
        <v>105.84</v>
      </c>
      <c r="F422" s="116">
        <v>526.65</v>
      </c>
      <c r="G422">
        <v>669</v>
      </c>
      <c r="H422" s="116"/>
      <c r="I422" s="116"/>
      <c r="L422" s="170">
        <v>42632</v>
      </c>
      <c r="M422" s="116">
        <v>98.67</v>
      </c>
      <c r="N422" s="116">
        <v>100.17999999999999</v>
      </c>
      <c r="O422" s="116">
        <v>97.4</v>
      </c>
      <c r="P422" s="116">
        <v>99.789999999999992</v>
      </c>
      <c r="Q422" s="116">
        <v>493.35</v>
      </c>
      <c r="R422">
        <v>95603</v>
      </c>
    </row>
    <row r="423" spans="1:18" x14ac:dyDescent="0.25">
      <c r="A423" s="170">
        <v>42648</v>
      </c>
      <c r="B423" s="116">
        <v>105</v>
      </c>
      <c r="C423" s="116">
        <v>102.07000000000001</v>
      </c>
      <c r="D423" s="116">
        <v>100.1</v>
      </c>
      <c r="E423" s="116">
        <v>104</v>
      </c>
      <c r="F423" s="116">
        <v>510.35</v>
      </c>
      <c r="G423">
        <v>5190</v>
      </c>
      <c r="H423" s="116"/>
      <c r="I423" s="116"/>
      <c r="L423" s="170">
        <v>42633</v>
      </c>
      <c r="M423" s="116">
        <v>96.12</v>
      </c>
      <c r="N423" s="116">
        <v>100</v>
      </c>
      <c r="O423" s="116">
        <v>95.6</v>
      </c>
      <c r="P423" s="116">
        <v>97.6</v>
      </c>
      <c r="Q423" s="116">
        <v>480.6</v>
      </c>
      <c r="R423">
        <v>4549</v>
      </c>
    </row>
    <row r="424" spans="1:18" x14ac:dyDescent="0.25">
      <c r="A424" s="170">
        <v>42649</v>
      </c>
      <c r="B424" s="116">
        <v>106.94000000000001</v>
      </c>
      <c r="C424" s="116">
        <v>102.49000000000001</v>
      </c>
      <c r="D424" s="116">
        <v>102.03999999999999</v>
      </c>
      <c r="E424" s="116">
        <v>104</v>
      </c>
      <c r="F424" s="116">
        <v>512.45000000000005</v>
      </c>
      <c r="G424">
        <v>3007</v>
      </c>
      <c r="H424" s="116"/>
      <c r="I424" s="116"/>
      <c r="L424" s="170">
        <v>42634</v>
      </c>
      <c r="M424" s="116">
        <v>95.72999999999999</v>
      </c>
      <c r="N424" s="116">
        <v>97.97999999999999</v>
      </c>
      <c r="O424" s="116">
        <v>95.2</v>
      </c>
      <c r="P424" s="116">
        <v>96</v>
      </c>
      <c r="Q424" s="116">
        <v>478.65</v>
      </c>
      <c r="R424">
        <v>1274</v>
      </c>
    </row>
    <row r="425" spans="1:18" x14ac:dyDescent="0.25">
      <c r="A425" s="170">
        <v>42650</v>
      </c>
      <c r="B425" s="116">
        <v>122.97999999999999</v>
      </c>
      <c r="C425" s="116">
        <v>119.66</v>
      </c>
      <c r="D425" s="116">
        <v>102.8</v>
      </c>
      <c r="E425" s="116">
        <v>105</v>
      </c>
      <c r="F425" s="116">
        <v>598.29999999999995</v>
      </c>
      <c r="G425">
        <v>32984</v>
      </c>
      <c r="H425" s="116"/>
      <c r="I425" s="116"/>
      <c r="L425" s="170">
        <v>42635</v>
      </c>
      <c r="M425" s="116">
        <v>95.94</v>
      </c>
      <c r="N425" s="116">
        <v>97.289999999999992</v>
      </c>
      <c r="O425" s="116">
        <v>95.210000000000008</v>
      </c>
      <c r="P425" s="116">
        <v>95.72999999999999</v>
      </c>
      <c r="Q425" s="116">
        <v>479.7</v>
      </c>
      <c r="R425">
        <v>1525</v>
      </c>
    </row>
    <row r="426" spans="1:18" x14ac:dyDescent="0.25">
      <c r="A426" s="170">
        <v>42653</v>
      </c>
      <c r="B426" s="116">
        <v>128.60999999999999</v>
      </c>
      <c r="C426" s="116">
        <v>126.89000000000001</v>
      </c>
      <c r="D426" s="116">
        <v>121.02000000000001</v>
      </c>
      <c r="E426" s="116">
        <v>123.4</v>
      </c>
      <c r="F426" s="116">
        <v>634.45000000000005</v>
      </c>
      <c r="G426">
        <v>33849</v>
      </c>
      <c r="H426" s="116"/>
      <c r="I426" s="116"/>
      <c r="L426" s="170">
        <v>42636</v>
      </c>
      <c r="M426" s="116">
        <v>95.92</v>
      </c>
      <c r="N426" s="116">
        <v>97</v>
      </c>
      <c r="O426" s="116">
        <v>95.4</v>
      </c>
      <c r="P426" s="116">
        <v>96.6</v>
      </c>
      <c r="Q426" s="116">
        <v>479.6</v>
      </c>
      <c r="R426">
        <v>886</v>
      </c>
    </row>
    <row r="427" spans="1:18" x14ac:dyDescent="0.25">
      <c r="A427" s="170">
        <v>42656</v>
      </c>
      <c r="B427" s="116">
        <v>133.38</v>
      </c>
      <c r="C427" s="116">
        <v>124.24000000000001</v>
      </c>
      <c r="D427" s="116">
        <v>120.44000000000001</v>
      </c>
      <c r="E427" s="116">
        <v>127</v>
      </c>
      <c r="F427" s="116">
        <v>621.20000000000005</v>
      </c>
      <c r="G427">
        <v>14826</v>
      </c>
      <c r="H427" s="116"/>
      <c r="I427" s="116"/>
      <c r="L427" s="170">
        <v>42639</v>
      </c>
      <c r="M427" s="116">
        <v>96.01</v>
      </c>
      <c r="N427" s="116">
        <v>98.960000000000008</v>
      </c>
      <c r="O427" s="116">
        <v>95</v>
      </c>
      <c r="P427" s="116">
        <v>95.210000000000008</v>
      </c>
      <c r="Q427" s="116">
        <v>480.05</v>
      </c>
      <c r="R427">
        <v>1317</v>
      </c>
    </row>
    <row r="428" spans="1:18" x14ac:dyDescent="0.25">
      <c r="A428" s="170">
        <v>42657</v>
      </c>
      <c r="B428" s="116">
        <v>129</v>
      </c>
      <c r="C428" s="116">
        <v>124.30999999999999</v>
      </c>
      <c r="D428" s="116">
        <v>123</v>
      </c>
      <c r="E428" s="116">
        <v>126.24000000000001</v>
      </c>
      <c r="F428" s="116">
        <v>621.54999999999995</v>
      </c>
      <c r="G428">
        <v>3325</v>
      </c>
      <c r="H428" s="116"/>
      <c r="I428" s="116"/>
      <c r="L428" s="170">
        <v>42640</v>
      </c>
      <c r="M428" s="116">
        <v>98</v>
      </c>
      <c r="N428" s="116">
        <v>98.4</v>
      </c>
      <c r="O428" s="116">
        <v>95.4</v>
      </c>
      <c r="P428" s="116">
        <v>95.4</v>
      </c>
      <c r="Q428" s="116">
        <v>490</v>
      </c>
      <c r="R428">
        <v>5159</v>
      </c>
    </row>
    <row r="429" spans="1:18" x14ac:dyDescent="0.25">
      <c r="A429" s="170">
        <v>42660</v>
      </c>
      <c r="B429" s="116">
        <v>127.4</v>
      </c>
      <c r="C429" s="116">
        <v>122.92</v>
      </c>
      <c r="D429" s="116">
        <v>118.8</v>
      </c>
      <c r="E429" s="116">
        <v>126</v>
      </c>
      <c r="F429" s="116">
        <v>614.6</v>
      </c>
      <c r="G429">
        <v>3306</v>
      </c>
      <c r="H429" s="116"/>
      <c r="I429" s="116"/>
      <c r="L429" s="170">
        <v>42641</v>
      </c>
      <c r="M429" s="116">
        <v>100.07000000000001</v>
      </c>
      <c r="N429" s="116">
        <v>100.78999999999999</v>
      </c>
      <c r="O429" s="116">
        <v>96.2</v>
      </c>
      <c r="P429" s="116">
        <v>99.39</v>
      </c>
      <c r="Q429" s="116">
        <v>500.35</v>
      </c>
      <c r="R429">
        <v>3608</v>
      </c>
    </row>
    <row r="430" spans="1:18" x14ac:dyDescent="0.25">
      <c r="A430" s="170">
        <v>42661</v>
      </c>
      <c r="B430" s="116">
        <v>125.52000000000001</v>
      </c>
      <c r="C430" s="116">
        <v>122.39000000000001</v>
      </c>
      <c r="D430" s="116">
        <v>120.67999999999999</v>
      </c>
      <c r="E430" s="116">
        <v>124</v>
      </c>
      <c r="F430" s="116">
        <v>611.95000000000005</v>
      </c>
      <c r="G430">
        <v>1919</v>
      </c>
      <c r="H430" s="116"/>
      <c r="I430" s="116"/>
      <c r="L430" s="170">
        <v>42642</v>
      </c>
      <c r="M430" s="116">
        <v>92.39</v>
      </c>
      <c r="N430" s="116">
        <v>103.4</v>
      </c>
      <c r="O430" s="116">
        <v>90</v>
      </c>
      <c r="P430" s="116">
        <v>98.41</v>
      </c>
      <c r="Q430" s="116">
        <v>461.95</v>
      </c>
      <c r="R430">
        <v>8139</v>
      </c>
    </row>
    <row r="431" spans="1:18" x14ac:dyDescent="0.25">
      <c r="A431" s="170">
        <v>42662</v>
      </c>
      <c r="B431" s="116">
        <v>126</v>
      </c>
      <c r="C431" s="116">
        <v>122</v>
      </c>
      <c r="D431" s="116">
        <v>121.8</v>
      </c>
      <c r="E431" s="116">
        <v>124.4</v>
      </c>
      <c r="F431" s="116">
        <v>610</v>
      </c>
      <c r="G431">
        <v>782</v>
      </c>
      <c r="H431" s="116"/>
      <c r="I431" s="116"/>
      <c r="L431" s="170">
        <v>42643</v>
      </c>
      <c r="M431" s="116">
        <v>94.97999999999999</v>
      </c>
      <c r="N431" s="116">
        <v>96</v>
      </c>
      <c r="O431" s="116">
        <v>91.4</v>
      </c>
      <c r="P431" s="116">
        <v>92.4</v>
      </c>
      <c r="Q431" s="116">
        <v>474.9</v>
      </c>
      <c r="R431">
        <v>1524</v>
      </c>
    </row>
    <row r="432" spans="1:18" x14ac:dyDescent="0.25">
      <c r="A432" s="170">
        <v>42663</v>
      </c>
      <c r="B432" s="116">
        <v>123</v>
      </c>
      <c r="C432" s="116">
        <v>120.52000000000001</v>
      </c>
      <c r="D432" s="116">
        <v>120</v>
      </c>
      <c r="E432" s="116">
        <v>122</v>
      </c>
      <c r="F432" s="116">
        <v>602.6</v>
      </c>
      <c r="G432">
        <v>1620</v>
      </c>
      <c r="H432" s="116"/>
      <c r="I432" s="116"/>
      <c r="L432" s="170">
        <v>42646</v>
      </c>
      <c r="M432" s="116">
        <v>105.5</v>
      </c>
      <c r="N432" s="116">
        <v>108.99000000000001</v>
      </c>
      <c r="O432" s="116">
        <v>98.01</v>
      </c>
      <c r="P432" s="116">
        <v>101.6</v>
      </c>
      <c r="Q432" s="116">
        <v>527.5</v>
      </c>
      <c r="R432">
        <v>67932</v>
      </c>
    </row>
    <row r="433" spans="1:18" x14ac:dyDescent="0.25">
      <c r="A433" s="170">
        <v>42664</v>
      </c>
      <c r="B433" s="116">
        <v>126</v>
      </c>
      <c r="C433" s="116">
        <v>124.29</v>
      </c>
      <c r="D433" s="116">
        <v>121.74000000000001</v>
      </c>
      <c r="E433" s="116">
        <v>121.97999999999999</v>
      </c>
      <c r="F433" s="116">
        <v>621.45000000000005</v>
      </c>
      <c r="G433">
        <v>4958</v>
      </c>
      <c r="H433" s="116"/>
      <c r="I433" s="116"/>
      <c r="L433" s="170">
        <v>42647</v>
      </c>
      <c r="M433" s="116">
        <v>105.47</v>
      </c>
      <c r="N433" s="116">
        <v>107.88</v>
      </c>
      <c r="O433" s="116">
        <v>104</v>
      </c>
      <c r="P433" s="116">
        <v>107</v>
      </c>
      <c r="Q433" s="116">
        <v>527.35</v>
      </c>
      <c r="R433">
        <v>4558</v>
      </c>
    </row>
    <row r="434" spans="1:18" x14ac:dyDescent="0.25">
      <c r="A434" s="170">
        <v>42667</v>
      </c>
      <c r="B434" s="116">
        <v>126.8</v>
      </c>
      <c r="C434" s="116">
        <v>123.21</v>
      </c>
      <c r="D434" s="116">
        <v>121</v>
      </c>
      <c r="E434" s="116">
        <v>123.79</v>
      </c>
      <c r="F434" s="116">
        <v>616.04999999999995</v>
      </c>
      <c r="G434">
        <v>3711</v>
      </c>
      <c r="H434" s="116"/>
      <c r="I434" s="116"/>
      <c r="L434" s="170">
        <v>42648</v>
      </c>
      <c r="M434" s="116">
        <v>103.14000000000001</v>
      </c>
      <c r="N434" s="116">
        <v>107.55999999999999</v>
      </c>
      <c r="O434" s="116">
        <v>100.22</v>
      </c>
      <c r="P434" s="116">
        <v>106.47999999999999</v>
      </c>
      <c r="Q434" s="116">
        <v>515.70000000000005</v>
      </c>
      <c r="R434">
        <v>4491</v>
      </c>
    </row>
    <row r="435" spans="1:18" x14ac:dyDescent="0.25">
      <c r="A435" s="170">
        <v>42668</v>
      </c>
      <c r="B435" s="116">
        <v>124</v>
      </c>
      <c r="C435" s="116">
        <v>121.24000000000001</v>
      </c>
      <c r="D435" s="116">
        <v>120.4</v>
      </c>
      <c r="E435" s="116">
        <v>123.2</v>
      </c>
      <c r="F435" s="116">
        <v>606.20000000000005</v>
      </c>
      <c r="G435">
        <v>808</v>
      </c>
      <c r="H435" s="116"/>
      <c r="I435" s="116"/>
      <c r="L435" s="170">
        <v>42649</v>
      </c>
      <c r="M435" s="116">
        <v>103.58</v>
      </c>
      <c r="N435" s="116">
        <v>107</v>
      </c>
      <c r="O435" s="116">
        <v>102.02000000000001</v>
      </c>
      <c r="P435" s="116">
        <v>102.02000000000001</v>
      </c>
      <c r="Q435" s="116">
        <v>517.9</v>
      </c>
      <c r="R435">
        <v>4889</v>
      </c>
    </row>
    <row r="436" spans="1:18" x14ac:dyDescent="0.25">
      <c r="A436" s="170">
        <v>42669</v>
      </c>
      <c r="B436" s="116">
        <v>123.4</v>
      </c>
      <c r="C436" s="116">
        <v>122.03</v>
      </c>
      <c r="D436" s="116">
        <v>121.42</v>
      </c>
      <c r="E436" s="116">
        <v>121.47</v>
      </c>
      <c r="F436" s="116">
        <v>610.15</v>
      </c>
      <c r="G436">
        <v>1001</v>
      </c>
      <c r="H436" s="116"/>
      <c r="I436" s="116"/>
      <c r="L436" s="170">
        <v>42650</v>
      </c>
      <c r="M436" s="116">
        <v>119.04</v>
      </c>
      <c r="N436" s="116">
        <v>124.29</v>
      </c>
      <c r="O436" s="116">
        <v>100.22</v>
      </c>
      <c r="P436" s="116">
        <v>106</v>
      </c>
      <c r="Q436" s="116">
        <v>595.20000000000005</v>
      </c>
      <c r="R436">
        <v>185835</v>
      </c>
    </row>
    <row r="437" spans="1:18" x14ac:dyDescent="0.25">
      <c r="A437" s="170">
        <v>42670</v>
      </c>
      <c r="B437" s="116">
        <v>122.6</v>
      </c>
      <c r="C437" s="116">
        <v>121.1</v>
      </c>
      <c r="D437" s="116">
        <v>120.8</v>
      </c>
      <c r="E437" s="116">
        <v>122</v>
      </c>
      <c r="F437" s="116">
        <v>605.5</v>
      </c>
      <c r="G437">
        <v>507</v>
      </c>
      <c r="H437" s="116"/>
      <c r="I437" s="116"/>
      <c r="L437" s="170">
        <v>42653</v>
      </c>
      <c r="M437" s="116">
        <v>127.53</v>
      </c>
      <c r="N437" s="116">
        <v>128.94</v>
      </c>
      <c r="O437" s="116">
        <v>121.19000000000001</v>
      </c>
      <c r="P437" s="116">
        <v>122.6</v>
      </c>
      <c r="Q437" s="116">
        <v>637.65</v>
      </c>
      <c r="R437">
        <v>154046</v>
      </c>
    </row>
    <row r="438" spans="1:18" x14ac:dyDescent="0.25">
      <c r="A438" s="170">
        <v>42671</v>
      </c>
      <c r="B438" s="116">
        <v>126</v>
      </c>
      <c r="C438" s="116">
        <v>123.82000000000001</v>
      </c>
      <c r="D438" s="116">
        <v>121.1</v>
      </c>
      <c r="E438" s="116">
        <v>121.1</v>
      </c>
      <c r="F438" s="116">
        <v>619.1</v>
      </c>
      <c r="G438">
        <v>2272</v>
      </c>
      <c r="H438" s="116"/>
      <c r="I438" s="116"/>
      <c r="L438" s="170">
        <v>42656</v>
      </c>
      <c r="M438" s="116">
        <v>124.80999999999999</v>
      </c>
      <c r="N438" s="116">
        <v>133.4</v>
      </c>
      <c r="O438" s="116">
        <v>121.6</v>
      </c>
      <c r="P438" s="116">
        <v>127.4</v>
      </c>
      <c r="Q438" s="116">
        <v>624.04999999999995</v>
      </c>
      <c r="R438">
        <v>63355</v>
      </c>
    </row>
    <row r="439" spans="1:18" x14ac:dyDescent="0.25">
      <c r="A439" s="170">
        <v>42673</v>
      </c>
      <c r="B439" s="116">
        <v>126</v>
      </c>
      <c r="C439" s="116">
        <v>125.96</v>
      </c>
      <c r="D439" s="116">
        <v>124.2</v>
      </c>
      <c r="E439" s="116">
        <v>124.2</v>
      </c>
      <c r="F439" s="116">
        <v>629.79999999999995</v>
      </c>
      <c r="G439">
        <v>503</v>
      </c>
      <c r="H439" s="116"/>
      <c r="I439" s="116"/>
      <c r="L439" s="170">
        <v>42657</v>
      </c>
      <c r="M439" s="116">
        <v>124.84</v>
      </c>
      <c r="N439" s="116">
        <v>129.97999999999999</v>
      </c>
      <c r="O439" s="116">
        <v>123</v>
      </c>
      <c r="P439" s="116">
        <v>126</v>
      </c>
      <c r="Q439" s="116">
        <v>624.20000000000005</v>
      </c>
      <c r="R439">
        <v>16532</v>
      </c>
    </row>
    <row r="440" spans="1:18" x14ac:dyDescent="0.25">
      <c r="A440" s="170">
        <v>42675</v>
      </c>
      <c r="B440" s="116">
        <v>147.88</v>
      </c>
      <c r="C440" s="116">
        <v>145.51</v>
      </c>
      <c r="D440" s="116">
        <v>127</v>
      </c>
      <c r="E440" s="116">
        <v>127</v>
      </c>
      <c r="F440" s="116">
        <v>727.55</v>
      </c>
      <c r="G440">
        <v>21939</v>
      </c>
      <c r="H440" s="116"/>
      <c r="I440" s="116"/>
      <c r="L440" s="170">
        <v>42660</v>
      </c>
      <c r="M440" s="116">
        <v>122.88</v>
      </c>
      <c r="N440" s="116">
        <v>128</v>
      </c>
      <c r="O440" s="116">
        <v>120.22</v>
      </c>
      <c r="P440" s="116">
        <v>127.4</v>
      </c>
      <c r="Q440" s="116">
        <v>614.4</v>
      </c>
      <c r="R440">
        <v>25461</v>
      </c>
    </row>
    <row r="441" spans="1:18" x14ac:dyDescent="0.25">
      <c r="A441" s="170">
        <v>42676</v>
      </c>
      <c r="B441" s="116">
        <v>155.57999999999998</v>
      </c>
      <c r="C441" s="116">
        <v>150.25</v>
      </c>
      <c r="D441" s="116">
        <v>138.45999999999998</v>
      </c>
      <c r="E441" s="116">
        <v>145.6</v>
      </c>
      <c r="F441" s="116">
        <v>751.25</v>
      </c>
      <c r="G441">
        <v>24949</v>
      </c>
      <c r="H441" s="116"/>
      <c r="I441" s="116"/>
      <c r="L441" s="170">
        <v>42661</v>
      </c>
      <c r="M441" s="116">
        <v>122.82000000000001</v>
      </c>
      <c r="N441" s="116">
        <v>125.41</v>
      </c>
      <c r="O441" s="116">
        <v>120.3</v>
      </c>
      <c r="P441" s="116">
        <v>124.1</v>
      </c>
      <c r="Q441" s="116">
        <v>614.1</v>
      </c>
      <c r="R441">
        <v>8577</v>
      </c>
    </row>
    <row r="442" spans="1:18" x14ac:dyDescent="0.25">
      <c r="A442" s="170">
        <v>42677</v>
      </c>
      <c r="B442" s="116">
        <v>156.20999999999998</v>
      </c>
      <c r="C442" s="116">
        <v>141.16</v>
      </c>
      <c r="D442" s="116">
        <v>140</v>
      </c>
      <c r="E442" s="116">
        <v>152</v>
      </c>
      <c r="F442" s="116">
        <v>705.8</v>
      </c>
      <c r="G442">
        <v>6496</v>
      </c>
      <c r="H442" s="116"/>
      <c r="I442" s="116"/>
      <c r="L442" s="170">
        <v>42662</v>
      </c>
      <c r="M442" s="116">
        <v>121.88</v>
      </c>
      <c r="N442" s="116">
        <v>125</v>
      </c>
      <c r="O442" s="116">
        <v>121.24000000000001</v>
      </c>
      <c r="P442" s="116">
        <v>124.8</v>
      </c>
      <c r="Q442" s="116">
        <v>609.4</v>
      </c>
      <c r="R442">
        <v>12543</v>
      </c>
    </row>
    <row r="443" spans="1:18" x14ac:dyDescent="0.25">
      <c r="A443" s="170">
        <v>42678</v>
      </c>
      <c r="B443" s="116">
        <v>149.78</v>
      </c>
      <c r="C443" s="116">
        <v>140</v>
      </c>
      <c r="D443" s="116">
        <v>128</v>
      </c>
      <c r="E443" s="116">
        <v>142</v>
      </c>
      <c r="F443" s="116">
        <v>700</v>
      </c>
      <c r="G443">
        <v>20562</v>
      </c>
      <c r="H443" s="116"/>
      <c r="I443" s="116"/>
      <c r="L443" s="170">
        <v>42663</v>
      </c>
      <c r="M443" s="116">
        <v>120.88</v>
      </c>
      <c r="N443" s="116">
        <v>123.8</v>
      </c>
      <c r="O443" s="116">
        <v>119.45</v>
      </c>
      <c r="P443" s="116">
        <v>121.96</v>
      </c>
      <c r="Q443" s="116">
        <v>604.4</v>
      </c>
      <c r="R443">
        <v>8381</v>
      </c>
    </row>
    <row r="444" spans="1:18" x14ac:dyDescent="0.25">
      <c r="A444" s="170">
        <v>42681</v>
      </c>
      <c r="B444" s="116">
        <v>168</v>
      </c>
      <c r="C444" s="116">
        <v>157.77000000000001</v>
      </c>
      <c r="D444" s="116">
        <v>153.85999999999999</v>
      </c>
      <c r="E444" s="116">
        <v>158.80000000000001</v>
      </c>
      <c r="F444" s="116">
        <v>788.85</v>
      </c>
      <c r="G444">
        <v>43138</v>
      </c>
      <c r="H444" s="116"/>
      <c r="I444" s="116"/>
      <c r="L444" s="170">
        <v>42664</v>
      </c>
      <c r="M444" s="116">
        <v>123.35999999999999</v>
      </c>
      <c r="N444" s="116">
        <v>126.60999999999999</v>
      </c>
      <c r="O444" s="116">
        <v>119.8</v>
      </c>
      <c r="P444" s="116">
        <v>121</v>
      </c>
      <c r="Q444" s="116">
        <v>616.79999999999995</v>
      </c>
      <c r="R444">
        <v>14703</v>
      </c>
    </row>
    <row r="445" spans="1:18" x14ac:dyDescent="0.25">
      <c r="A445" s="170">
        <v>42682</v>
      </c>
      <c r="B445" s="116">
        <v>163.98</v>
      </c>
      <c r="C445" s="116">
        <v>151.93</v>
      </c>
      <c r="D445" s="116">
        <v>149</v>
      </c>
      <c r="E445" s="116">
        <v>163.98</v>
      </c>
      <c r="F445" s="116">
        <v>759.65</v>
      </c>
      <c r="G445">
        <v>10615</v>
      </c>
      <c r="H445" s="116"/>
      <c r="I445" s="116"/>
      <c r="L445" s="170">
        <v>42667</v>
      </c>
      <c r="M445" s="116">
        <v>122.44000000000001</v>
      </c>
      <c r="N445" s="116">
        <v>127</v>
      </c>
      <c r="O445" s="116">
        <v>121.24000000000001</v>
      </c>
      <c r="P445" s="116">
        <v>124.4</v>
      </c>
      <c r="Q445" s="116">
        <v>612.20000000000005</v>
      </c>
      <c r="R445">
        <v>7087</v>
      </c>
    </row>
    <row r="446" spans="1:18" x14ac:dyDescent="0.25">
      <c r="A446" s="170">
        <v>42683</v>
      </c>
      <c r="B446" s="116">
        <v>150.4</v>
      </c>
      <c r="C446" s="116">
        <v>148.16</v>
      </c>
      <c r="D446" s="116">
        <v>129.68</v>
      </c>
      <c r="E446" s="116">
        <v>132</v>
      </c>
      <c r="F446" s="116">
        <v>740.8</v>
      </c>
      <c r="G446">
        <v>11268</v>
      </c>
      <c r="H446" s="116"/>
      <c r="I446" s="116"/>
      <c r="L446" s="170">
        <v>42668</v>
      </c>
      <c r="M446" s="116">
        <v>120.97</v>
      </c>
      <c r="N446" s="116">
        <v>123.8</v>
      </c>
      <c r="O446" s="116">
        <v>120.6</v>
      </c>
      <c r="P446" s="116">
        <v>122.60999999999999</v>
      </c>
      <c r="Q446" s="116">
        <v>604.85</v>
      </c>
      <c r="R446">
        <v>7074</v>
      </c>
    </row>
    <row r="447" spans="1:18" x14ac:dyDescent="0.25">
      <c r="A447" s="170">
        <v>42684</v>
      </c>
      <c r="B447" s="116">
        <v>157.4</v>
      </c>
      <c r="C447" s="116">
        <v>149.94999999999999</v>
      </c>
      <c r="D447" s="116">
        <v>147.80000000000001</v>
      </c>
      <c r="E447" s="116">
        <v>156.30000000000001</v>
      </c>
      <c r="F447" s="116">
        <v>749.75</v>
      </c>
      <c r="G447">
        <v>6687</v>
      </c>
      <c r="H447" s="116"/>
      <c r="I447" s="116"/>
      <c r="L447" s="170">
        <v>42669</v>
      </c>
      <c r="M447" s="116">
        <v>121.62</v>
      </c>
      <c r="N447" s="116">
        <v>123.6</v>
      </c>
      <c r="O447" s="116">
        <v>120.4</v>
      </c>
      <c r="P447" s="116">
        <v>122.2</v>
      </c>
      <c r="Q447" s="116">
        <v>608.1</v>
      </c>
      <c r="R447">
        <v>5075</v>
      </c>
    </row>
    <row r="448" spans="1:18" x14ac:dyDescent="0.25">
      <c r="A448" s="170">
        <v>42685</v>
      </c>
      <c r="B448" s="116">
        <v>164.32</v>
      </c>
      <c r="C448" s="116">
        <v>154.05000000000001</v>
      </c>
      <c r="D448" s="116">
        <v>147</v>
      </c>
      <c r="E448" s="116">
        <v>151.68</v>
      </c>
      <c r="F448" s="116">
        <v>770.25</v>
      </c>
      <c r="G448">
        <v>7425</v>
      </c>
      <c r="H448" s="116"/>
      <c r="I448" s="116"/>
      <c r="L448" s="170">
        <v>42670</v>
      </c>
      <c r="M448" s="116">
        <v>120.92999999999999</v>
      </c>
      <c r="N448" s="116">
        <v>123.55999999999999</v>
      </c>
      <c r="O448" s="116">
        <v>120.22</v>
      </c>
      <c r="P448" s="116">
        <v>122.22999999999999</v>
      </c>
      <c r="Q448" s="116">
        <v>604.65</v>
      </c>
      <c r="R448">
        <v>3731</v>
      </c>
    </row>
    <row r="449" spans="1:18" x14ac:dyDescent="0.25">
      <c r="A449" s="170">
        <v>42689</v>
      </c>
      <c r="B449" s="116">
        <v>158.4</v>
      </c>
      <c r="C449" s="116">
        <v>139.52000000000001</v>
      </c>
      <c r="D449" s="116">
        <v>136</v>
      </c>
      <c r="E449" s="116">
        <v>156</v>
      </c>
      <c r="F449" s="116">
        <v>697.6</v>
      </c>
      <c r="G449">
        <v>3442</v>
      </c>
      <c r="H449" s="116"/>
      <c r="I449" s="116"/>
      <c r="L449" s="170">
        <v>42671</v>
      </c>
      <c r="M449" s="116">
        <v>123.30999999999999</v>
      </c>
      <c r="N449" s="116">
        <v>126</v>
      </c>
      <c r="O449" s="116">
        <v>121</v>
      </c>
      <c r="P449" s="116">
        <v>122.75999999999999</v>
      </c>
      <c r="Q449" s="116">
        <v>616.54999999999995</v>
      </c>
      <c r="R449">
        <v>20123</v>
      </c>
    </row>
    <row r="450" spans="1:18" x14ac:dyDescent="0.25">
      <c r="A450" s="170">
        <v>42690</v>
      </c>
      <c r="B450" s="116">
        <v>144.4</v>
      </c>
      <c r="C450" s="116">
        <v>137.30000000000001</v>
      </c>
      <c r="D450" s="116">
        <v>135.22</v>
      </c>
      <c r="E450" s="116">
        <v>141.80000000000001</v>
      </c>
      <c r="F450" s="116">
        <v>686.5</v>
      </c>
      <c r="G450">
        <v>2900</v>
      </c>
      <c r="H450" s="116"/>
      <c r="I450" s="116"/>
      <c r="L450" s="170">
        <v>42673</v>
      </c>
      <c r="M450" s="116">
        <v>125.49000000000001</v>
      </c>
      <c r="N450" s="116">
        <v>126.4</v>
      </c>
      <c r="O450" s="116">
        <v>124.8</v>
      </c>
      <c r="P450" s="116">
        <v>125.6</v>
      </c>
      <c r="Q450" s="116">
        <v>627.45000000000005</v>
      </c>
      <c r="R450">
        <v>7079</v>
      </c>
    </row>
    <row r="451" spans="1:18" x14ac:dyDescent="0.25">
      <c r="A451" s="170">
        <v>42691</v>
      </c>
      <c r="B451" s="116">
        <v>138</v>
      </c>
      <c r="C451" s="116">
        <v>128</v>
      </c>
      <c r="D451" s="116">
        <v>126</v>
      </c>
      <c r="E451" s="116">
        <v>138</v>
      </c>
      <c r="F451" s="116">
        <v>640</v>
      </c>
      <c r="G451">
        <v>1695</v>
      </c>
      <c r="H451" s="116"/>
      <c r="I451" s="116"/>
      <c r="L451" s="170">
        <v>42675</v>
      </c>
      <c r="M451" s="116">
        <v>145.85999999999999</v>
      </c>
      <c r="N451" s="116">
        <v>149.97999999999999</v>
      </c>
      <c r="O451" s="116">
        <v>127</v>
      </c>
      <c r="P451" s="116">
        <v>127</v>
      </c>
      <c r="Q451" s="116">
        <v>729.3</v>
      </c>
      <c r="R451">
        <v>125036</v>
      </c>
    </row>
    <row r="452" spans="1:18" x14ac:dyDescent="0.25">
      <c r="A452" s="170">
        <v>42692</v>
      </c>
      <c r="B452" s="116">
        <v>132</v>
      </c>
      <c r="C452" s="116">
        <v>126.00999999999999</v>
      </c>
      <c r="D452" s="116">
        <v>125.8</v>
      </c>
      <c r="E452" s="116">
        <v>132</v>
      </c>
      <c r="F452" s="116">
        <v>630.04999999999995</v>
      </c>
      <c r="G452">
        <v>2857</v>
      </c>
      <c r="H452" s="116"/>
      <c r="I452" s="116"/>
      <c r="L452" s="170">
        <v>42676</v>
      </c>
      <c r="M452" s="116">
        <v>149.91</v>
      </c>
      <c r="N452" s="116">
        <v>155.42000000000002</v>
      </c>
      <c r="O452" s="116">
        <v>138.65</v>
      </c>
      <c r="P452" s="116">
        <v>144.19999999999999</v>
      </c>
      <c r="Q452" s="116">
        <v>749.55</v>
      </c>
      <c r="R452">
        <v>115083</v>
      </c>
    </row>
    <row r="453" spans="1:18" x14ac:dyDescent="0.25">
      <c r="A453" s="170">
        <v>42695</v>
      </c>
      <c r="B453" s="116">
        <v>129.12</v>
      </c>
      <c r="C453" s="116">
        <v>116.99000000000001</v>
      </c>
      <c r="D453" s="116">
        <v>109</v>
      </c>
      <c r="E453" s="116">
        <v>128</v>
      </c>
      <c r="F453" s="116">
        <v>584.95000000000005</v>
      </c>
      <c r="G453">
        <v>4438</v>
      </c>
      <c r="H453" s="116"/>
      <c r="I453" s="116"/>
      <c r="L453" s="170">
        <v>42677</v>
      </c>
      <c r="M453" s="116">
        <v>142.45999999999998</v>
      </c>
      <c r="N453" s="116">
        <v>155.80000000000001</v>
      </c>
      <c r="O453" s="116">
        <v>140.19999999999999</v>
      </c>
      <c r="P453" s="116">
        <v>153</v>
      </c>
      <c r="Q453" s="116">
        <v>712.3</v>
      </c>
      <c r="R453">
        <v>23635</v>
      </c>
    </row>
    <row r="454" spans="1:18" x14ac:dyDescent="0.25">
      <c r="A454" s="170">
        <v>42696</v>
      </c>
      <c r="B454" s="116">
        <v>120.8</v>
      </c>
      <c r="C454" s="116">
        <v>115.97999999999999</v>
      </c>
      <c r="D454" s="116">
        <v>112.38</v>
      </c>
      <c r="E454" s="116">
        <v>119.92</v>
      </c>
      <c r="F454" s="116">
        <v>579.9</v>
      </c>
      <c r="G454">
        <v>3910</v>
      </c>
      <c r="H454" s="116"/>
      <c r="I454" s="116"/>
      <c r="L454" s="170">
        <v>42678</v>
      </c>
      <c r="M454" s="116">
        <v>139.59</v>
      </c>
      <c r="N454" s="116">
        <v>150</v>
      </c>
      <c r="O454" s="116">
        <v>128.01</v>
      </c>
      <c r="P454" s="116">
        <v>145.19999999999999</v>
      </c>
      <c r="Q454" s="116">
        <v>697.95</v>
      </c>
      <c r="R454">
        <v>58209</v>
      </c>
    </row>
    <row r="455" spans="1:18" x14ac:dyDescent="0.25">
      <c r="A455" s="170">
        <v>42697</v>
      </c>
      <c r="B455" s="116">
        <v>137</v>
      </c>
      <c r="C455" s="116">
        <v>132.43</v>
      </c>
      <c r="D455" s="116">
        <v>115.1</v>
      </c>
      <c r="E455" s="116">
        <v>117</v>
      </c>
      <c r="F455" s="116">
        <v>662.15</v>
      </c>
      <c r="G455">
        <v>20521</v>
      </c>
      <c r="H455" s="116"/>
      <c r="I455" s="116"/>
      <c r="L455" s="170">
        <v>42681</v>
      </c>
      <c r="M455" s="116">
        <v>157.75</v>
      </c>
      <c r="N455" s="116">
        <v>164.45999999999998</v>
      </c>
      <c r="O455" s="116">
        <v>153.19999999999999</v>
      </c>
      <c r="P455" s="116">
        <v>164.2</v>
      </c>
      <c r="Q455" s="116">
        <v>788.75</v>
      </c>
      <c r="R455">
        <v>276693</v>
      </c>
    </row>
    <row r="456" spans="1:18" x14ac:dyDescent="0.25">
      <c r="A456" s="170">
        <v>42698</v>
      </c>
      <c r="B456" s="116">
        <v>139.69999999999999</v>
      </c>
      <c r="C456" s="116">
        <v>137.54000000000002</v>
      </c>
      <c r="D456" s="116">
        <v>132.6</v>
      </c>
      <c r="E456" s="116">
        <v>133.59</v>
      </c>
      <c r="F456" s="116">
        <v>687.7</v>
      </c>
      <c r="G456">
        <v>7775</v>
      </c>
      <c r="H456" s="116"/>
      <c r="I456" s="116"/>
      <c r="L456" s="170">
        <v>42682</v>
      </c>
      <c r="M456" s="116">
        <v>151.64000000000001</v>
      </c>
      <c r="N456" s="116">
        <v>160.4</v>
      </c>
      <c r="O456" s="116">
        <v>150.19999999999999</v>
      </c>
      <c r="P456" s="116">
        <v>158</v>
      </c>
      <c r="Q456" s="116">
        <v>758.2</v>
      </c>
      <c r="R456">
        <v>43684</v>
      </c>
    </row>
    <row r="457" spans="1:18" x14ac:dyDescent="0.25">
      <c r="A457" s="170">
        <v>42699</v>
      </c>
      <c r="B457" s="116">
        <v>153.44999999999999</v>
      </c>
      <c r="C457" s="116">
        <v>147.10999999999999</v>
      </c>
      <c r="D457" s="116">
        <v>137.1</v>
      </c>
      <c r="E457" s="116">
        <v>139</v>
      </c>
      <c r="F457" s="116">
        <v>735.55</v>
      </c>
      <c r="G457">
        <v>11741</v>
      </c>
      <c r="H457" s="116"/>
      <c r="I457" s="116"/>
      <c r="L457" s="170">
        <v>42683</v>
      </c>
      <c r="M457" s="116">
        <v>148.59</v>
      </c>
      <c r="N457" s="116">
        <v>151.6</v>
      </c>
      <c r="O457" s="116">
        <v>130</v>
      </c>
      <c r="P457" s="116">
        <v>140</v>
      </c>
      <c r="Q457" s="116">
        <v>742.95</v>
      </c>
      <c r="R457">
        <v>51784</v>
      </c>
    </row>
    <row r="458" spans="1:18" x14ac:dyDescent="0.25">
      <c r="A458" s="170">
        <v>42702</v>
      </c>
      <c r="B458" s="116">
        <v>155.80000000000001</v>
      </c>
      <c r="C458" s="116">
        <v>154.44</v>
      </c>
      <c r="D458" s="116">
        <v>146</v>
      </c>
      <c r="E458" s="116">
        <v>146.4</v>
      </c>
      <c r="F458" s="116">
        <v>772.2</v>
      </c>
      <c r="G458">
        <v>4695</v>
      </c>
      <c r="H458" s="116"/>
      <c r="I458" s="116"/>
      <c r="L458" s="170">
        <v>42684</v>
      </c>
      <c r="M458" s="116">
        <v>149.57999999999998</v>
      </c>
      <c r="N458" s="116">
        <v>157</v>
      </c>
      <c r="O458" s="116">
        <v>146.44</v>
      </c>
      <c r="P458" s="116">
        <v>155.4</v>
      </c>
      <c r="Q458" s="116">
        <v>747.9</v>
      </c>
      <c r="R458">
        <v>18090</v>
      </c>
    </row>
    <row r="459" spans="1:18" x14ac:dyDescent="0.25">
      <c r="A459" s="170">
        <v>42703</v>
      </c>
      <c r="B459" s="116">
        <v>158.19</v>
      </c>
      <c r="C459" s="116">
        <v>150.49</v>
      </c>
      <c r="D459" s="116">
        <v>149.4</v>
      </c>
      <c r="E459" s="116">
        <v>154.44</v>
      </c>
      <c r="F459" s="116">
        <v>752.45</v>
      </c>
      <c r="G459">
        <v>2928</v>
      </c>
      <c r="H459" s="116"/>
      <c r="I459" s="116"/>
      <c r="L459" s="170">
        <v>42685</v>
      </c>
      <c r="M459" s="116">
        <v>153.62</v>
      </c>
      <c r="N459" s="116">
        <v>165</v>
      </c>
      <c r="O459" s="116">
        <v>146.01</v>
      </c>
      <c r="P459" s="116">
        <v>153.97999999999999</v>
      </c>
      <c r="Q459" s="116">
        <v>768.1</v>
      </c>
      <c r="R459">
        <v>47178</v>
      </c>
    </row>
    <row r="460" spans="1:18" x14ac:dyDescent="0.25">
      <c r="A460" s="170">
        <v>42704</v>
      </c>
      <c r="B460" s="116">
        <v>159</v>
      </c>
      <c r="C460" s="116">
        <v>154.16</v>
      </c>
      <c r="D460" s="116">
        <v>152.82</v>
      </c>
      <c r="E460" s="116">
        <v>154</v>
      </c>
      <c r="F460" s="116">
        <v>770.8</v>
      </c>
      <c r="G460">
        <v>4265</v>
      </c>
      <c r="H460" s="116"/>
      <c r="I460" s="116"/>
      <c r="L460" s="170">
        <v>42689</v>
      </c>
      <c r="M460" s="116">
        <v>138.34</v>
      </c>
      <c r="N460" s="116">
        <v>159.78</v>
      </c>
      <c r="O460" s="116">
        <v>135.6</v>
      </c>
      <c r="P460" s="116">
        <v>157.80000000000001</v>
      </c>
      <c r="Q460" s="116">
        <v>691.7</v>
      </c>
      <c r="R460">
        <v>32045</v>
      </c>
    </row>
    <row r="461" spans="1:18" x14ac:dyDescent="0.25">
      <c r="A461" s="170">
        <v>42705</v>
      </c>
      <c r="B461" s="116">
        <v>154.79000000000002</v>
      </c>
      <c r="C461" s="116">
        <v>148.84</v>
      </c>
      <c r="D461" s="116">
        <v>147.6</v>
      </c>
      <c r="E461" s="116">
        <v>153.47</v>
      </c>
      <c r="F461" s="116">
        <v>744.2</v>
      </c>
      <c r="G461">
        <v>3217</v>
      </c>
      <c r="H461" s="116"/>
      <c r="I461" s="116"/>
      <c r="L461" s="170">
        <v>42690</v>
      </c>
      <c r="M461" s="116">
        <v>136.60999999999999</v>
      </c>
      <c r="N461" s="116">
        <v>145.6</v>
      </c>
      <c r="O461" s="116">
        <v>135.01</v>
      </c>
      <c r="P461" s="116">
        <v>143.57999999999998</v>
      </c>
      <c r="Q461" s="116">
        <v>683.05</v>
      </c>
      <c r="R461">
        <v>15468</v>
      </c>
    </row>
    <row r="462" spans="1:18" x14ac:dyDescent="0.25">
      <c r="A462" s="170">
        <v>42706</v>
      </c>
      <c r="B462" s="116">
        <v>148</v>
      </c>
      <c r="C462" s="116">
        <v>143.89000000000001</v>
      </c>
      <c r="D462" s="116">
        <v>141.4</v>
      </c>
      <c r="E462" s="116">
        <v>142</v>
      </c>
      <c r="F462" s="116">
        <v>719.45</v>
      </c>
      <c r="G462">
        <v>3758</v>
      </c>
      <c r="H462" s="116"/>
      <c r="I462" s="116"/>
      <c r="L462" s="170">
        <v>42691</v>
      </c>
      <c r="M462" s="116">
        <v>128.42000000000002</v>
      </c>
      <c r="N462" s="116">
        <v>137.64000000000001</v>
      </c>
      <c r="O462" s="116">
        <v>127</v>
      </c>
      <c r="P462" s="116">
        <v>137.57999999999998</v>
      </c>
      <c r="Q462" s="116">
        <v>642.1</v>
      </c>
      <c r="R462">
        <v>19165</v>
      </c>
    </row>
    <row r="463" spans="1:18" x14ac:dyDescent="0.25">
      <c r="A463" s="170">
        <v>42709</v>
      </c>
      <c r="B463" s="116">
        <v>147.26</v>
      </c>
      <c r="C463" s="116">
        <v>143.6</v>
      </c>
      <c r="D463" s="116">
        <v>141.72999999999999</v>
      </c>
      <c r="E463" s="116">
        <v>144.16</v>
      </c>
      <c r="F463" s="116">
        <v>718</v>
      </c>
      <c r="G463">
        <v>725</v>
      </c>
      <c r="H463" s="116"/>
      <c r="I463" s="116"/>
      <c r="L463" s="170">
        <v>42692</v>
      </c>
      <c r="M463" s="116">
        <v>126.32000000000001</v>
      </c>
      <c r="N463" s="116">
        <v>133.19</v>
      </c>
      <c r="O463" s="116">
        <v>125.13</v>
      </c>
      <c r="P463" s="116">
        <v>133.19</v>
      </c>
      <c r="Q463" s="116">
        <v>631.6</v>
      </c>
      <c r="R463">
        <v>18014</v>
      </c>
    </row>
    <row r="464" spans="1:18" x14ac:dyDescent="0.25">
      <c r="A464" s="170">
        <v>42710</v>
      </c>
      <c r="B464" s="116">
        <v>148.39000000000001</v>
      </c>
      <c r="C464" s="116">
        <v>146.87</v>
      </c>
      <c r="D464" s="116">
        <v>142.6</v>
      </c>
      <c r="E464" s="116">
        <v>144.94</v>
      </c>
      <c r="F464" s="116">
        <v>734.35</v>
      </c>
      <c r="G464">
        <v>1083</v>
      </c>
      <c r="H464" s="116"/>
      <c r="I464" s="116"/>
      <c r="L464" s="170">
        <v>42695</v>
      </c>
      <c r="M464" s="116">
        <v>117.71</v>
      </c>
      <c r="N464" s="116">
        <v>131.19999999999999</v>
      </c>
      <c r="O464" s="116">
        <v>115</v>
      </c>
      <c r="P464" s="116">
        <v>131.19999999999999</v>
      </c>
      <c r="Q464" s="116">
        <v>588.54999999999995</v>
      </c>
      <c r="R464">
        <v>19382</v>
      </c>
    </row>
    <row r="465" spans="1:18" x14ac:dyDescent="0.25">
      <c r="A465" s="170">
        <v>42711</v>
      </c>
      <c r="B465" s="116">
        <v>153.6</v>
      </c>
      <c r="C465" s="116">
        <v>144.19</v>
      </c>
      <c r="D465" s="116">
        <v>142.6</v>
      </c>
      <c r="E465" s="116">
        <v>149</v>
      </c>
      <c r="F465" s="116">
        <v>720.95</v>
      </c>
      <c r="G465">
        <v>2179</v>
      </c>
      <c r="H465" s="116"/>
      <c r="I465" s="116"/>
      <c r="L465" s="170">
        <v>42696</v>
      </c>
      <c r="M465" s="116">
        <v>116.72999999999999</v>
      </c>
      <c r="N465" s="116">
        <v>120.78</v>
      </c>
      <c r="O465" s="116">
        <v>112.2</v>
      </c>
      <c r="P465" s="116">
        <v>120.78</v>
      </c>
      <c r="Q465" s="116">
        <v>583.65</v>
      </c>
      <c r="R465">
        <v>16145</v>
      </c>
    </row>
    <row r="466" spans="1:18" x14ac:dyDescent="0.25">
      <c r="A466" s="170">
        <v>42712</v>
      </c>
      <c r="B466" s="116">
        <v>150.32</v>
      </c>
      <c r="C466" s="116">
        <v>148.06</v>
      </c>
      <c r="D466" s="116">
        <v>147.44</v>
      </c>
      <c r="E466" s="116">
        <v>148.59</v>
      </c>
      <c r="F466" s="116">
        <v>740.3</v>
      </c>
      <c r="G466">
        <v>795</v>
      </c>
      <c r="H466" s="116"/>
      <c r="I466" s="116"/>
      <c r="L466" s="170">
        <v>42697</v>
      </c>
      <c r="M466" s="116">
        <v>132.6</v>
      </c>
      <c r="N466" s="116">
        <v>136.80000000000001</v>
      </c>
      <c r="O466" s="116">
        <v>114.44000000000001</v>
      </c>
      <c r="P466" s="116">
        <v>117.6</v>
      </c>
      <c r="Q466" s="116">
        <v>663</v>
      </c>
      <c r="R466">
        <v>78799</v>
      </c>
    </row>
    <row r="467" spans="1:18" x14ac:dyDescent="0.25">
      <c r="A467" s="170">
        <v>42713</v>
      </c>
      <c r="B467" s="116">
        <v>148.92000000000002</v>
      </c>
      <c r="C467" s="116">
        <v>147.07999999999998</v>
      </c>
      <c r="D467" s="116">
        <v>144.19999999999999</v>
      </c>
      <c r="E467" s="116">
        <v>147.80000000000001</v>
      </c>
      <c r="F467" s="116">
        <v>735.4</v>
      </c>
      <c r="G467">
        <v>1052</v>
      </c>
      <c r="H467" s="116"/>
      <c r="I467" s="116"/>
      <c r="L467" s="170">
        <v>42698</v>
      </c>
      <c r="M467" s="116">
        <v>137.1</v>
      </c>
      <c r="N467" s="116">
        <v>138.59</v>
      </c>
      <c r="O467" s="116">
        <v>130</v>
      </c>
      <c r="P467" s="116">
        <v>133.02000000000001</v>
      </c>
      <c r="Q467" s="116">
        <v>685.5</v>
      </c>
      <c r="R467">
        <v>30415</v>
      </c>
    </row>
    <row r="468" spans="1:18" x14ac:dyDescent="0.25">
      <c r="A468" s="170">
        <v>42716</v>
      </c>
      <c r="B468" s="116">
        <v>149</v>
      </c>
      <c r="C468" s="116">
        <v>143.35999999999999</v>
      </c>
      <c r="D468" s="116">
        <v>142</v>
      </c>
      <c r="E468" s="116">
        <v>146.67000000000002</v>
      </c>
      <c r="F468" s="116">
        <v>716.8</v>
      </c>
      <c r="G468">
        <v>568</v>
      </c>
      <c r="H468" s="116"/>
      <c r="I468" s="116"/>
      <c r="L468" s="170">
        <v>42699</v>
      </c>
      <c r="M468" s="116">
        <v>146.09</v>
      </c>
      <c r="N468" s="116">
        <v>154</v>
      </c>
      <c r="O468" s="116">
        <v>136.22999999999999</v>
      </c>
      <c r="P468" s="116">
        <v>138.01</v>
      </c>
      <c r="Q468" s="116">
        <v>730.45</v>
      </c>
      <c r="R468">
        <v>60025</v>
      </c>
    </row>
    <row r="469" spans="1:18" x14ac:dyDescent="0.25">
      <c r="A469" s="170">
        <v>42717</v>
      </c>
      <c r="B469" s="116">
        <v>145.6</v>
      </c>
      <c r="C469" s="116">
        <v>143.67000000000002</v>
      </c>
      <c r="D469" s="116">
        <v>142.15</v>
      </c>
      <c r="E469" s="116">
        <v>142.15</v>
      </c>
      <c r="F469" s="116">
        <v>718.35</v>
      </c>
      <c r="G469">
        <v>390</v>
      </c>
      <c r="H469" s="116"/>
      <c r="I469" s="116"/>
      <c r="L469" s="170">
        <v>42702</v>
      </c>
      <c r="M469" s="116">
        <v>154.32</v>
      </c>
      <c r="N469" s="116">
        <v>155.4</v>
      </c>
      <c r="O469" s="116">
        <v>145.6</v>
      </c>
      <c r="P469" s="116">
        <v>146.26</v>
      </c>
      <c r="Q469" s="116">
        <v>771.6</v>
      </c>
      <c r="R469">
        <v>37926</v>
      </c>
    </row>
    <row r="470" spans="1:18" x14ac:dyDescent="0.25">
      <c r="A470" s="170">
        <v>42718</v>
      </c>
      <c r="B470" s="116">
        <v>146.38</v>
      </c>
      <c r="C470" s="116">
        <v>141.70999999999998</v>
      </c>
      <c r="D470" s="116">
        <v>141.01</v>
      </c>
      <c r="E470" s="116">
        <v>143</v>
      </c>
      <c r="F470" s="116">
        <v>708.55</v>
      </c>
      <c r="G470">
        <v>2056</v>
      </c>
      <c r="H470" s="116"/>
      <c r="I470" s="116"/>
      <c r="L470" s="170">
        <v>42703</v>
      </c>
      <c r="M470" s="116">
        <v>150.47</v>
      </c>
      <c r="N470" s="116">
        <v>159</v>
      </c>
      <c r="O470" s="116">
        <v>148.80000000000001</v>
      </c>
      <c r="P470" s="116">
        <v>155</v>
      </c>
      <c r="Q470" s="116">
        <v>752.35</v>
      </c>
      <c r="R470">
        <v>20774</v>
      </c>
    </row>
    <row r="471" spans="1:18" x14ac:dyDescent="0.25">
      <c r="A471" s="170">
        <v>42719</v>
      </c>
      <c r="B471" s="116">
        <v>145.22</v>
      </c>
      <c r="C471" s="116">
        <v>143.19</v>
      </c>
      <c r="D471" s="116">
        <v>141.72</v>
      </c>
      <c r="E471" s="116">
        <v>143.80000000000001</v>
      </c>
      <c r="F471" s="116">
        <v>715.95</v>
      </c>
      <c r="G471">
        <v>861</v>
      </c>
      <c r="H471" s="116"/>
      <c r="I471" s="116"/>
      <c r="L471" s="170">
        <v>42704</v>
      </c>
      <c r="M471" s="116">
        <v>154.4</v>
      </c>
      <c r="N471" s="116">
        <v>159.92000000000002</v>
      </c>
      <c r="O471" s="116">
        <v>152.91</v>
      </c>
      <c r="P471" s="116">
        <v>154.4</v>
      </c>
      <c r="Q471" s="116">
        <v>772</v>
      </c>
      <c r="R471">
        <v>19734</v>
      </c>
    </row>
    <row r="472" spans="1:18" x14ac:dyDescent="0.25">
      <c r="A472" s="170">
        <v>42720</v>
      </c>
      <c r="B472" s="116">
        <v>150.6</v>
      </c>
      <c r="C472" s="116">
        <v>144.69</v>
      </c>
      <c r="D472" s="116">
        <v>144</v>
      </c>
      <c r="E472" s="116">
        <v>144</v>
      </c>
      <c r="F472" s="116">
        <v>723.45</v>
      </c>
      <c r="G472">
        <v>3815</v>
      </c>
      <c r="H472" s="116"/>
      <c r="I472" s="116"/>
      <c r="L472" s="170">
        <v>42705</v>
      </c>
      <c r="M472" s="116">
        <v>147.88</v>
      </c>
      <c r="N472" s="116">
        <v>155.93</v>
      </c>
      <c r="O472" s="116">
        <v>147.19999999999999</v>
      </c>
      <c r="P472" s="116">
        <v>154.81</v>
      </c>
      <c r="Q472" s="116">
        <v>739.4</v>
      </c>
      <c r="R472">
        <v>16325</v>
      </c>
    </row>
    <row r="473" spans="1:18" x14ac:dyDescent="0.25">
      <c r="A473" s="170">
        <v>42723</v>
      </c>
      <c r="B473" s="116">
        <v>145.5</v>
      </c>
      <c r="C473" s="116">
        <v>143.68</v>
      </c>
      <c r="D473" s="116">
        <v>142.4</v>
      </c>
      <c r="E473" s="116">
        <v>144</v>
      </c>
      <c r="F473" s="116">
        <v>718.4</v>
      </c>
      <c r="G473">
        <v>793</v>
      </c>
      <c r="H473" s="116"/>
      <c r="I473" s="116"/>
      <c r="L473" s="170">
        <v>42706</v>
      </c>
      <c r="M473" s="116">
        <v>144.64000000000001</v>
      </c>
      <c r="N473" s="116">
        <v>147.6</v>
      </c>
      <c r="O473" s="116">
        <v>140.41</v>
      </c>
      <c r="P473" s="116">
        <v>145.80000000000001</v>
      </c>
      <c r="Q473" s="116">
        <v>723.2</v>
      </c>
      <c r="R473">
        <v>18296</v>
      </c>
    </row>
    <row r="474" spans="1:18" x14ac:dyDescent="0.25">
      <c r="A474" s="170">
        <v>42724</v>
      </c>
      <c r="B474" s="116">
        <v>143.28</v>
      </c>
      <c r="C474" s="116">
        <v>141.41</v>
      </c>
      <c r="D474" s="116">
        <v>140.80000000000001</v>
      </c>
      <c r="E474" s="116">
        <v>143</v>
      </c>
      <c r="F474" s="116">
        <v>707.05</v>
      </c>
      <c r="G474">
        <v>319</v>
      </c>
      <c r="H474" s="116"/>
      <c r="I474" s="116"/>
      <c r="L474" s="170">
        <v>42709</v>
      </c>
      <c r="M474" s="116">
        <v>142.82999999999998</v>
      </c>
      <c r="N474" s="116">
        <v>147.59</v>
      </c>
      <c r="O474" s="116">
        <v>140.5</v>
      </c>
      <c r="P474" s="116">
        <v>147.59</v>
      </c>
      <c r="Q474" s="116">
        <v>714.15</v>
      </c>
      <c r="R474">
        <v>9217</v>
      </c>
    </row>
    <row r="475" spans="1:18" x14ac:dyDescent="0.25">
      <c r="A475" s="170">
        <v>42725</v>
      </c>
      <c r="B475" s="116">
        <v>140.6</v>
      </c>
      <c r="C475" s="116">
        <v>138.87</v>
      </c>
      <c r="D475" s="116">
        <v>138</v>
      </c>
      <c r="E475" s="116">
        <v>140.6</v>
      </c>
      <c r="F475" s="116">
        <v>694.35</v>
      </c>
      <c r="G475">
        <v>336</v>
      </c>
      <c r="H475" s="116"/>
      <c r="I475" s="116"/>
      <c r="L475" s="170">
        <v>42710</v>
      </c>
      <c r="M475" s="116">
        <v>147.69999999999999</v>
      </c>
      <c r="N475" s="116">
        <v>148.92000000000002</v>
      </c>
      <c r="O475" s="116">
        <v>142.22</v>
      </c>
      <c r="P475" s="116">
        <v>145.38</v>
      </c>
      <c r="Q475" s="116">
        <v>738.5</v>
      </c>
      <c r="R475">
        <v>8844</v>
      </c>
    </row>
    <row r="476" spans="1:18" x14ac:dyDescent="0.25">
      <c r="A476" s="170">
        <v>42726</v>
      </c>
      <c r="B476" s="116">
        <v>140.07</v>
      </c>
      <c r="C476" s="116">
        <v>134.94</v>
      </c>
      <c r="D476" s="116">
        <v>132</v>
      </c>
      <c r="E476" s="116">
        <v>140.07</v>
      </c>
      <c r="F476" s="116">
        <v>674.7</v>
      </c>
      <c r="G476">
        <v>1556</v>
      </c>
      <c r="H476" s="116"/>
      <c r="I476" s="116"/>
      <c r="L476" s="170">
        <v>42711</v>
      </c>
      <c r="M476" s="116">
        <v>143.44999999999999</v>
      </c>
      <c r="N476" s="116">
        <v>154.4</v>
      </c>
      <c r="O476" s="116">
        <v>140.32</v>
      </c>
      <c r="P476" s="116">
        <v>151</v>
      </c>
      <c r="Q476" s="116">
        <v>717.25</v>
      </c>
      <c r="R476">
        <v>14555</v>
      </c>
    </row>
    <row r="477" spans="1:18" x14ac:dyDescent="0.25">
      <c r="A477" s="170">
        <v>42727</v>
      </c>
      <c r="B477" s="116">
        <v>143.4</v>
      </c>
      <c r="C477" s="116">
        <v>139.76</v>
      </c>
      <c r="D477" s="116">
        <v>132.20999999999998</v>
      </c>
      <c r="E477" s="116">
        <v>133</v>
      </c>
      <c r="F477" s="116">
        <v>698.8</v>
      </c>
      <c r="G477">
        <v>3648</v>
      </c>
      <c r="H477" s="116"/>
      <c r="I477" s="116"/>
      <c r="L477" s="170">
        <v>42712</v>
      </c>
      <c r="M477" s="116">
        <v>147.75</v>
      </c>
      <c r="N477" s="116">
        <v>150</v>
      </c>
      <c r="O477" s="116">
        <v>146.02000000000001</v>
      </c>
      <c r="P477" s="116">
        <v>148</v>
      </c>
      <c r="Q477" s="116">
        <v>738.75</v>
      </c>
      <c r="R477">
        <v>9103</v>
      </c>
    </row>
    <row r="478" spans="1:18" x14ac:dyDescent="0.25">
      <c r="A478" s="170">
        <v>42730</v>
      </c>
      <c r="B478" s="116">
        <v>138.6</v>
      </c>
      <c r="C478" s="116">
        <v>135.31</v>
      </c>
      <c r="D478" s="116">
        <v>134.22</v>
      </c>
      <c r="E478" s="116">
        <v>138</v>
      </c>
      <c r="F478" s="116">
        <v>676.55</v>
      </c>
      <c r="G478">
        <v>1055</v>
      </c>
      <c r="H478" s="116"/>
      <c r="I478" s="116"/>
      <c r="L478" s="170">
        <v>42713</v>
      </c>
      <c r="M478" s="116">
        <v>146.92000000000002</v>
      </c>
      <c r="N478" s="116">
        <v>149.9</v>
      </c>
      <c r="O478" s="116">
        <v>145.01</v>
      </c>
      <c r="P478" s="116">
        <v>149</v>
      </c>
      <c r="Q478" s="116">
        <v>734.6</v>
      </c>
      <c r="R478">
        <v>3641</v>
      </c>
    </row>
    <row r="479" spans="1:18" x14ac:dyDescent="0.25">
      <c r="A479" s="170">
        <v>42731</v>
      </c>
      <c r="B479" s="116">
        <v>137.32</v>
      </c>
      <c r="C479" s="116">
        <v>134.75</v>
      </c>
      <c r="D479" s="116">
        <v>134.01</v>
      </c>
      <c r="E479" s="116">
        <v>137.32</v>
      </c>
      <c r="F479" s="116">
        <v>673.75</v>
      </c>
      <c r="G479">
        <v>1716</v>
      </c>
      <c r="H479" s="116"/>
      <c r="I479" s="116"/>
      <c r="L479" s="170">
        <v>42716</v>
      </c>
      <c r="M479" s="116">
        <v>143.09</v>
      </c>
      <c r="N479" s="116">
        <v>149.6</v>
      </c>
      <c r="O479" s="116">
        <v>141</v>
      </c>
      <c r="P479" s="116">
        <v>149.59</v>
      </c>
      <c r="Q479" s="116">
        <v>715.45</v>
      </c>
      <c r="R479">
        <v>6478</v>
      </c>
    </row>
    <row r="480" spans="1:18" x14ac:dyDescent="0.25">
      <c r="A480" s="170">
        <v>42732</v>
      </c>
      <c r="B480" s="116">
        <v>141.57999999999998</v>
      </c>
      <c r="C480" s="116">
        <v>137.29000000000002</v>
      </c>
      <c r="D480" s="116">
        <v>134.01</v>
      </c>
      <c r="E480" s="116">
        <v>137</v>
      </c>
      <c r="F480" s="116">
        <v>686.45</v>
      </c>
      <c r="G480">
        <v>411</v>
      </c>
      <c r="H480" s="116"/>
      <c r="I480" s="116"/>
      <c r="L480" s="170">
        <v>42717</v>
      </c>
      <c r="M480" s="116">
        <v>142.99</v>
      </c>
      <c r="N480" s="116">
        <v>144.94</v>
      </c>
      <c r="O480" s="116">
        <v>141.22999999999999</v>
      </c>
      <c r="P480" s="116">
        <v>144.94</v>
      </c>
      <c r="Q480" s="116">
        <v>714.95</v>
      </c>
      <c r="R480">
        <v>3285</v>
      </c>
    </row>
    <row r="481" spans="1:18" x14ac:dyDescent="0.25">
      <c r="A481" s="170">
        <v>42733</v>
      </c>
      <c r="B481" s="116">
        <v>140.80000000000001</v>
      </c>
      <c r="C481" s="116">
        <v>139.95999999999998</v>
      </c>
      <c r="D481" s="116">
        <v>138.85999999999999</v>
      </c>
      <c r="E481" s="116">
        <v>139.80000000000001</v>
      </c>
      <c r="F481" s="116">
        <v>699.8</v>
      </c>
      <c r="G481">
        <v>611</v>
      </c>
      <c r="H481" s="116"/>
      <c r="I481" s="116"/>
      <c r="L481" s="170">
        <v>42718</v>
      </c>
      <c r="M481" s="116">
        <v>141.88</v>
      </c>
      <c r="N481" s="116">
        <v>146</v>
      </c>
      <c r="O481" s="116">
        <v>141.19</v>
      </c>
      <c r="P481" s="116">
        <v>143.79000000000002</v>
      </c>
      <c r="Q481" s="116">
        <v>709.4</v>
      </c>
      <c r="R481">
        <v>7634</v>
      </c>
    </row>
    <row r="482" spans="1:18" x14ac:dyDescent="0.25">
      <c r="A482" s="170">
        <v>42734</v>
      </c>
      <c r="B482" s="116">
        <v>141.45999999999998</v>
      </c>
      <c r="C482" s="116">
        <v>138.15</v>
      </c>
      <c r="D482" s="116">
        <v>137.6</v>
      </c>
      <c r="E482" s="116">
        <v>140</v>
      </c>
      <c r="F482" s="116">
        <v>690.75</v>
      </c>
      <c r="G482">
        <v>677</v>
      </c>
      <c r="H482" s="116"/>
      <c r="I482" s="116"/>
      <c r="L482" s="170">
        <v>42719</v>
      </c>
      <c r="M482" s="116">
        <v>142.57</v>
      </c>
      <c r="N482" s="116">
        <v>145</v>
      </c>
      <c r="O482" s="116">
        <v>138.51</v>
      </c>
      <c r="P482" s="116">
        <v>138.51</v>
      </c>
      <c r="Q482" s="116">
        <v>712.85</v>
      </c>
      <c r="R482">
        <v>4500</v>
      </c>
    </row>
    <row r="483" spans="1:18" x14ac:dyDescent="0.25">
      <c r="A483" s="170">
        <v>42737</v>
      </c>
      <c r="B483" s="116">
        <v>140</v>
      </c>
      <c r="C483" s="116">
        <v>139.84</v>
      </c>
      <c r="D483" s="116">
        <v>137</v>
      </c>
      <c r="E483" s="116">
        <v>138.69</v>
      </c>
      <c r="F483" s="116">
        <v>699.2</v>
      </c>
      <c r="G483">
        <v>945</v>
      </c>
      <c r="H483" s="116"/>
      <c r="I483" s="116"/>
      <c r="L483" s="170">
        <v>42720</v>
      </c>
      <c r="M483" s="116">
        <v>143.85999999999999</v>
      </c>
      <c r="N483" s="116">
        <v>150</v>
      </c>
      <c r="O483" s="116">
        <v>142.44</v>
      </c>
      <c r="P483" s="116">
        <v>144.99</v>
      </c>
      <c r="Q483" s="116">
        <v>719.3</v>
      </c>
      <c r="R483">
        <v>16291</v>
      </c>
    </row>
    <row r="484" spans="1:18" x14ac:dyDescent="0.25">
      <c r="A484" s="170">
        <v>42738</v>
      </c>
      <c r="B484" s="116">
        <v>144</v>
      </c>
      <c r="C484" s="116">
        <v>143.35999999999999</v>
      </c>
      <c r="D484" s="116">
        <v>139.80000000000001</v>
      </c>
      <c r="E484" s="116">
        <v>140.15</v>
      </c>
      <c r="F484" s="116">
        <v>716.8</v>
      </c>
      <c r="G484">
        <v>796</v>
      </c>
      <c r="H484" s="116"/>
      <c r="I484" s="116"/>
      <c r="L484" s="170">
        <v>42723</v>
      </c>
      <c r="M484" s="116">
        <v>142.28</v>
      </c>
      <c r="N484" s="116">
        <v>145.95999999999998</v>
      </c>
      <c r="O484" s="116">
        <v>141</v>
      </c>
      <c r="P484" s="116">
        <v>144.22</v>
      </c>
      <c r="Q484" s="116">
        <v>711.4</v>
      </c>
      <c r="R484">
        <v>4689</v>
      </c>
    </row>
    <row r="485" spans="1:18" x14ac:dyDescent="0.25">
      <c r="A485" s="170">
        <v>42739</v>
      </c>
      <c r="B485" s="116">
        <v>148</v>
      </c>
      <c r="C485" s="116">
        <v>145.53</v>
      </c>
      <c r="D485" s="116">
        <v>144.01</v>
      </c>
      <c r="E485" s="116">
        <v>144.1</v>
      </c>
      <c r="F485" s="116">
        <v>727.65</v>
      </c>
      <c r="G485">
        <v>1843</v>
      </c>
      <c r="H485" s="116"/>
      <c r="I485" s="116"/>
      <c r="L485" s="170">
        <v>42724</v>
      </c>
      <c r="M485" s="116">
        <v>140.84</v>
      </c>
      <c r="N485" s="116">
        <v>144.6</v>
      </c>
      <c r="O485" s="116">
        <v>140.4</v>
      </c>
      <c r="P485" s="116">
        <v>143.77000000000001</v>
      </c>
      <c r="Q485" s="116">
        <v>704.2</v>
      </c>
      <c r="R485">
        <v>2631</v>
      </c>
    </row>
    <row r="486" spans="1:18" x14ac:dyDescent="0.25">
      <c r="A486" s="170">
        <v>42740</v>
      </c>
      <c r="B486" s="116">
        <v>151</v>
      </c>
      <c r="C486" s="116">
        <v>148.04000000000002</v>
      </c>
      <c r="D486" s="116">
        <v>147.70999999999998</v>
      </c>
      <c r="E486" s="116">
        <v>148</v>
      </c>
      <c r="F486" s="116">
        <v>740.2</v>
      </c>
      <c r="G486">
        <v>773</v>
      </c>
      <c r="H486" s="116"/>
      <c r="I486" s="116"/>
      <c r="L486" s="170">
        <v>42725</v>
      </c>
      <c r="M486" s="116">
        <v>138.01</v>
      </c>
      <c r="N486" s="116">
        <v>141.9</v>
      </c>
      <c r="O486" s="116">
        <v>137.4</v>
      </c>
      <c r="P486" s="116">
        <v>141.41</v>
      </c>
      <c r="Q486" s="116">
        <v>690.05</v>
      </c>
      <c r="R486">
        <v>4248</v>
      </c>
    </row>
    <row r="487" spans="1:18" x14ac:dyDescent="0.25">
      <c r="A487" s="170">
        <v>42741</v>
      </c>
      <c r="B487" s="116">
        <v>147.69999999999999</v>
      </c>
      <c r="C487" s="116">
        <v>145.35</v>
      </c>
      <c r="D487" s="116">
        <v>143.82</v>
      </c>
      <c r="E487" s="116">
        <v>147.69999999999999</v>
      </c>
      <c r="F487" s="116">
        <v>726.75</v>
      </c>
      <c r="G487">
        <v>1063</v>
      </c>
      <c r="H487" s="116"/>
      <c r="I487" s="116"/>
      <c r="L487" s="170">
        <v>42726</v>
      </c>
      <c r="M487" s="116">
        <v>134.35999999999999</v>
      </c>
      <c r="N487" s="116">
        <v>138.19</v>
      </c>
      <c r="O487" s="116">
        <v>133.69999999999999</v>
      </c>
      <c r="P487" s="116">
        <v>137.41</v>
      </c>
      <c r="Q487" s="116">
        <v>671.8</v>
      </c>
      <c r="R487">
        <v>6458</v>
      </c>
    </row>
    <row r="488" spans="1:18" x14ac:dyDescent="0.25">
      <c r="A488" s="170">
        <v>42744</v>
      </c>
      <c r="B488" s="116">
        <v>147.35</v>
      </c>
      <c r="C488" s="116">
        <v>145.12</v>
      </c>
      <c r="D488" s="116">
        <v>143.69999999999999</v>
      </c>
      <c r="E488" s="116">
        <v>143.69999999999999</v>
      </c>
      <c r="F488" s="116">
        <v>725.6</v>
      </c>
      <c r="G488">
        <v>623</v>
      </c>
      <c r="H488" s="116"/>
      <c r="I488" s="116"/>
      <c r="L488" s="170">
        <v>42727</v>
      </c>
      <c r="M488" s="116">
        <v>139.88</v>
      </c>
      <c r="N488" s="116">
        <v>143</v>
      </c>
      <c r="O488" s="116">
        <v>131.55000000000001</v>
      </c>
      <c r="P488" s="116">
        <v>133.26</v>
      </c>
      <c r="Q488" s="116">
        <v>699.4</v>
      </c>
      <c r="R488">
        <v>11794</v>
      </c>
    </row>
    <row r="489" spans="1:18" x14ac:dyDescent="0.25">
      <c r="A489" s="170">
        <v>42745</v>
      </c>
      <c r="B489" s="116">
        <v>147.54000000000002</v>
      </c>
      <c r="C489" s="116">
        <v>146.69999999999999</v>
      </c>
      <c r="D489" s="116">
        <v>145.63</v>
      </c>
      <c r="E489" s="116">
        <v>146.17000000000002</v>
      </c>
      <c r="F489" s="116">
        <v>733.5</v>
      </c>
      <c r="G489">
        <v>136</v>
      </c>
      <c r="H489" s="116"/>
      <c r="I489" s="116"/>
      <c r="L489" s="170">
        <v>42730</v>
      </c>
      <c r="M489" s="116">
        <v>134.97999999999999</v>
      </c>
      <c r="N489" s="116">
        <v>141.09</v>
      </c>
      <c r="O489" s="116">
        <v>134</v>
      </c>
      <c r="P489" s="116">
        <v>138.20999999999998</v>
      </c>
      <c r="Q489" s="116">
        <v>674.9</v>
      </c>
      <c r="R489">
        <v>4575</v>
      </c>
    </row>
    <row r="490" spans="1:18" x14ac:dyDescent="0.25">
      <c r="A490" s="170">
        <v>42746</v>
      </c>
      <c r="B490" s="116">
        <v>155.6</v>
      </c>
      <c r="C490" s="116">
        <v>151.75</v>
      </c>
      <c r="D490" s="116">
        <v>144.80000000000001</v>
      </c>
      <c r="E490" s="116">
        <v>145.6</v>
      </c>
      <c r="F490" s="116">
        <v>758.75</v>
      </c>
      <c r="G490">
        <v>3323</v>
      </c>
      <c r="H490" s="116"/>
      <c r="I490" s="116"/>
      <c r="L490" s="170">
        <v>42731</v>
      </c>
      <c r="M490" s="116">
        <v>135.39000000000001</v>
      </c>
      <c r="N490" s="116">
        <v>137.99</v>
      </c>
      <c r="O490" s="116">
        <v>134</v>
      </c>
      <c r="P490" s="116">
        <v>137.99</v>
      </c>
      <c r="Q490" s="116">
        <v>676.95</v>
      </c>
      <c r="R490">
        <v>5005</v>
      </c>
    </row>
    <row r="491" spans="1:18" x14ac:dyDescent="0.25">
      <c r="A491" s="170">
        <v>42747</v>
      </c>
      <c r="B491" s="116">
        <v>154</v>
      </c>
      <c r="C491" s="116">
        <v>148.10999999999999</v>
      </c>
      <c r="D491" s="116">
        <v>146.4</v>
      </c>
      <c r="E491" s="116">
        <v>152.47999999999999</v>
      </c>
      <c r="F491" s="116">
        <v>740.55</v>
      </c>
      <c r="G491">
        <v>1372</v>
      </c>
      <c r="H491" s="116"/>
      <c r="I491" s="116"/>
      <c r="L491" s="170">
        <v>42732</v>
      </c>
      <c r="M491" s="116">
        <v>138.64000000000001</v>
      </c>
      <c r="N491" s="116">
        <v>141.47</v>
      </c>
      <c r="O491" s="116">
        <v>136.10999999999999</v>
      </c>
      <c r="P491" s="116">
        <v>138.19999999999999</v>
      </c>
      <c r="Q491" s="116">
        <v>693.2</v>
      </c>
      <c r="R491">
        <v>5495</v>
      </c>
    </row>
    <row r="492" spans="1:18" x14ac:dyDescent="0.25">
      <c r="A492" s="170">
        <v>42748</v>
      </c>
      <c r="B492" s="116">
        <v>148</v>
      </c>
      <c r="C492" s="116">
        <v>146.01</v>
      </c>
      <c r="D492" s="116">
        <v>142.80000000000001</v>
      </c>
      <c r="E492" s="116">
        <v>148</v>
      </c>
      <c r="F492" s="116">
        <v>730.05</v>
      </c>
      <c r="G492">
        <v>1463</v>
      </c>
      <c r="H492" s="116"/>
      <c r="I492" s="116"/>
      <c r="L492" s="170">
        <v>42733</v>
      </c>
      <c r="M492" s="116">
        <v>139.82999999999998</v>
      </c>
      <c r="N492" s="116">
        <v>140.97</v>
      </c>
      <c r="O492" s="116">
        <v>138.41</v>
      </c>
      <c r="P492" s="116">
        <v>138.97999999999999</v>
      </c>
      <c r="Q492" s="116">
        <v>699.15</v>
      </c>
      <c r="R492">
        <v>2974</v>
      </c>
    </row>
    <row r="493" spans="1:18" x14ac:dyDescent="0.25">
      <c r="A493" s="170">
        <v>42751</v>
      </c>
      <c r="B493" s="116">
        <v>145.19999999999999</v>
      </c>
      <c r="C493" s="116">
        <v>142.93</v>
      </c>
      <c r="D493" s="116">
        <v>142.02000000000001</v>
      </c>
      <c r="E493" s="116">
        <v>145</v>
      </c>
      <c r="F493" s="116">
        <v>714.65</v>
      </c>
      <c r="G493">
        <v>464</v>
      </c>
      <c r="H493" s="116"/>
      <c r="I493" s="116"/>
      <c r="L493" s="170">
        <v>42734</v>
      </c>
      <c r="M493" s="116">
        <v>137.79000000000002</v>
      </c>
      <c r="N493" s="116">
        <v>141.80000000000001</v>
      </c>
      <c r="O493" s="116">
        <v>137.22</v>
      </c>
      <c r="P493" s="116">
        <v>139.79000000000002</v>
      </c>
      <c r="Q493" s="116">
        <v>688.95</v>
      </c>
      <c r="R493">
        <v>6242</v>
      </c>
    </row>
    <row r="494" spans="1:18" x14ac:dyDescent="0.25">
      <c r="A494" s="170">
        <v>42752</v>
      </c>
      <c r="B494" s="116">
        <v>145</v>
      </c>
      <c r="C494" s="116">
        <v>142.80000000000001</v>
      </c>
      <c r="D494" s="116">
        <v>142.69</v>
      </c>
      <c r="E494" s="116">
        <v>143.89000000000001</v>
      </c>
      <c r="F494" s="116">
        <v>714</v>
      </c>
      <c r="G494">
        <v>240</v>
      </c>
      <c r="H494" s="116"/>
      <c r="I494" s="116"/>
      <c r="L494" s="170">
        <v>42737</v>
      </c>
      <c r="M494" s="116">
        <v>139.18</v>
      </c>
      <c r="N494" s="116">
        <v>140.18</v>
      </c>
      <c r="O494" s="116">
        <v>136.62</v>
      </c>
      <c r="P494" s="116">
        <v>138.95999999999998</v>
      </c>
      <c r="Q494" s="116">
        <v>695.9</v>
      </c>
      <c r="R494">
        <v>3106</v>
      </c>
    </row>
    <row r="495" spans="1:18" x14ac:dyDescent="0.25">
      <c r="A495" s="170">
        <v>42753</v>
      </c>
      <c r="B495" s="116">
        <v>154</v>
      </c>
      <c r="C495" s="116">
        <v>151.66</v>
      </c>
      <c r="D495" s="116">
        <v>144.02000000000001</v>
      </c>
      <c r="E495" s="116">
        <v>144.19999999999999</v>
      </c>
      <c r="F495" s="116">
        <v>758.3</v>
      </c>
      <c r="G495">
        <v>7927</v>
      </c>
      <c r="H495" s="116"/>
      <c r="I495" s="116"/>
      <c r="L495" s="170">
        <v>42738</v>
      </c>
      <c r="M495" s="116">
        <v>143.60999999999999</v>
      </c>
      <c r="N495" s="116">
        <v>144.44</v>
      </c>
      <c r="O495" s="116">
        <v>137.32</v>
      </c>
      <c r="P495" s="116">
        <v>138.79000000000002</v>
      </c>
      <c r="Q495" s="116">
        <v>718.05</v>
      </c>
      <c r="R495">
        <v>6219</v>
      </c>
    </row>
    <row r="496" spans="1:18" x14ac:dyDescent="0.25">
      <c r="A496" s="170">
        <v>42754</v>
      </c>
      <c r="B496" s="116">
        <v>157</v>
      </c>
      <c r="C496" s="116">
        <v>155.01</v>
      </c>
      <c r="D496" s="116">
        <v>151.4</v>
      </c>
      <c r="E496" s="116">
        <v>153</v>
      </c>
      <c r="F496" s="116">
        <v>775.05</v>
      </c>
      <c r="G496">
        <v>6027</v>
      </c>
      <c r="H496" s="116"/>
      <c r="I496" s="116"/>
      <c r="L496" s="170">
        <v>42739</v>
      </c>
      <c r="M496" s="116">
        <v>145.93</v>
      </c>
      <c r="N496" s="116">
        <v>148.4</v>
      </c>
      <c r="O496" s="116">
        <v>141.19999999999999</v>
      </c>
      <c r="P496" s="116">
        <v>141.19999999999999</v>
      </c>
      <c r="Q496" s="116">
        <v>729.65</v>
      </c>
      <c r="R496">
        <v>20039</v>
      </c>
    </row>
    <row r="497" spans="1:18" x14ac:dyDescent="0.25">
      <c r="A497" s="170">
        <v>42755</v>
      </c>
      <c r="B497" s="116">
        <v>155.4</v>
      </c>
      <c r="C497" s="116">
        <v>148.85999999999999</v>
      </c>
      <c r="D497" s="116">
        <v>148</v>
      </c>
      <c r="E497" s="116">
        <v>154</v>
      </c>
      <c r="F497" s="116">
        <v>744.3</v>
      </c>
      <c r="G497">
        <v>1591</v>
      </c>
      <c r="H497" s="116"/>
      <c r="I497" s="116"/>
      <c r="L497" s="170">
        <v>42740</v>
      </c>
      <c r="M497" s="116">
        <v>148.39000000000001</v>
      </c>
      <c r="N497" s="116">
        <v>151</v>
      </c>
      <c r="O497" s="116">
        <v>146.60999999999999</v>
      </c>
      <c r="P497" s="116">
        <v>148.6</v>
      </c>
      <c r="Q497" s="116">
        <v>741.95</v>
      </c>
      <c r="R497">
        <v>10646</v>
      </c>
    </row>
    <row r="498" spans="1:18" x14ac:dyDescent="0.25">
      <c r="A498" s="170">
        <v>42758</v>
      </c>
      <c r="B498" s="116">
        <v>155</v>
      </c>
      <c r="C498" s="116">
        <v>151.51</v>
      </c>
      <c r="D498" s="116">
        <v>149.5</v>
      </c>
      <c r="E498" s="116">
        <v>150.19999999999999</v>
      </c>
      <c r="F498" s="116">
        <v>757.55</v>
      </c>
      <c r="G498">
        <v>417</v>
      </c>
      <c r="H498" s="116"/>
      <c r="I498" s="116"/>
      <c r="L498" s="170">
        <v>42741</v>
      </c>
      <c r="M498" s="116">
        <v>146.07999999999998</v>
      </c>
      <c r="N498" s="116">
        <v>148.19999999999999</v>
      </c>
      <c r="O498" s="116">
        <v>144</v>
      </c>
      <c r="P498" s="116">
        <v>147.30000000000001</v>
      </c>
      <c r="Q498" s="116">
        <v>730.4</v>
      </c>
      <c r="R498">
        <v>6489</v>
      </c>
    </row>
    <row r="499" spans="1:18" x14ac:dyDescent="0.25">
      <c r="A499" s="170">
        <v>42759</v>
      </c>
      <c r="B499" s="116">
        <v>154</v>
      </c>
      <c r="C499" s="116">
        <v>150.80000000000001</v>
      </c>
      <c r="D499" s="116">
        <v>149.01</v>
      </c>
      <c r="E499" s="116">
        <v>151.4</v>
      </c>
      <c r="F499" s="116">
        <v>754</v>
      </c>
      <c r="G499">
        <v>1659</v>
      </c>
      <c r="H499" s="116"/>
      <c r="I499" s="116"/>
      <c r="L499" s="170">
        <v>42744</v>
      </c>
      <c r="M499" s="116">
        <v>144.97999999999999</v>
      </c>
      <c r="N499" s="116">
        <v>147.80000000000001</v>
      </c>
      <c r="O499" s="116">
        <v>144.19999999999999</v>
      </c>
      <c r="P499" s="116">
        <v>146.99</v>
      </c>
      <c r="Q499" s="116">
        <v>724.9</v>
      </c>
      <c r="R499">
        <v>7413</v>
      </c>
    </row>
    <row r="500" spans="1:18" x14ac:dyDescent="0.25">
      <c r="A500" s="170">
        <v>42760</v>
      </c>
      <c r="B500" s="116">
        <v>152</v>
      </c>
      <c r="C500" s="116">
        <v>152</v>
      </c>
      <c r="D500" s="116">
        <v>150.4</v>
      </c>
      <c r="E500" s="116">
        <v>150.57</v>
      </c>
      <c r="F500" s="116">
        <v>760</v>
      </c>
      <c r="G500">
        <v>1084</v>
      </c>
      <c r="H500" s="116"/>
      <c r="I500" s="116"/>
      <c r="L500" s="170">
        <v>42745</v>
      </c>
      <c r="M500" s="116">
        <v>145.82999999999998</v>
      </c>
      <c r="N500" s="116">
        <v>147.22</v>
      </c>
      <c r="O500" s="116">
        <v>145.22</v>
      </c>
      <c r="P500" s="116">
        <v>146.1</v>
      </c>
      <c r="Q500" s="116">
        <v>729.15</v>
      </c>
      <c r="R500">
        <v>3396</v>
      </c>
    </row>
    <row r="501" spans="1:18" x14ac:dyDescent="0.25">
      <c r="A501" s="170">
        <v>42762</v>
      </c>
      <c r="B501" s="116">
        <v>152</v>
      </c>
      <c r="C501" s="116">
        <v>149.64000000000001</v>
      </c>
      <c r="D501" s="116">
        <v>147</v>
      </c>
      <c r="E501" s="116">
        <v>151</v>
      </c>
      <c r="F501" s="116">
        <v>748.2</v>
      </c>
      <c r="G501">
        <v>2907</v>
      </c>
      <c r="H501" s="116"/>
      <c r="I501" s="116"/>
      <c r="L501" s="170">
        <v>42746</v>
      </c>
      <c r="M501" s="116">
        <v>152.65</v>
      </c>
      <c r="N501" s="116">
        <v>156.22</v>
      </c>
      <c r="O501" s="116">
        <v>145.81</v>
      </c>
      <c r="P501" s="116">
        <v>147.39000000000001</v>
      </c>
      <c r="Q501" s="116">
        <v>763.25</v>
      </c>
      <c r="R501">
        <v>26216</v>
      </c>
    </row>
    <row r="502" spans="1:18" x14ac:dyDescent="0.25">
      <c r="A502" s="170">
        <v>42765</v>
      </c>
      <c r="B502" s="116">
        <v>149</v>
      </c>
      <c r="C502" s="116">
        <v>145.19999999999999</v>
      </c>
      <c r="D502" s="116">
        <v>143.30000000000001</v>
      </c>
      <c r="E502" s="116">
        <v>148.89000000000001</v>
      </c>
      <c r="F502" s="116">
        <v>726</v>
      </c>
      <c r="G502">
        <v>979</v>
      </c>
      <c r="H502" s="116"/>
      <c r="I502" s="116"/>
      <c r="L502" s="170">
        <v>42747</v>
      </c>
      <c r="M502" s="116">
        <v>148.82</v>
      </c>
      <c r="N502" s="116">
        <v>154.35999999999999</v>
      </c>
      <c r="O502" s="116">
        <v>148</v>
      </c>
      <c r="P502" s="116">
        <v>150.20999999999998</v>
      </c>
      <c r="Q502" s="116">
        <v>744.1</v>
      </c>
      <c r="R502">
        <v>7635</v>
      </c>
    </row>
    <row r="503" spans="1:18" x14ac:dyDescent="0.25">
      <c r="A503" s="170">
        <v>42766</v>
      </c>
      <c r="B503" s="116">
        <v>147</v>
      </c>
      <c r="C503" s="116">
        <v>145.10999999999999</v>
      </c>
      <c r="D503" s="116">
        <v>145.1</v>
      </c>
      <c r="E503" s="116">
        <v>146.93</v>
      </c>
      <c r="F503" s="116">
        <v>725.55</v>
      </c>
      <c r="G503">
        <v>56</v>
      </c>
      <c r="H503" s="116"/>
      <c r="I503" s="116"/>
      <c r="L503" s="170">
        <v>42748</v>
      </c>
      <c r="M503" s="116">
        <v>144.82999999999998</v>
      </c>
      <c r="N503" s="116">
        <v>150.31</v>
      </c>
      <c r="O503" s="116">
        <v>142.4</v>
      </c>
      <c r="P503" s="116">
        <v>148.24</v>
      </c>
      <c r="Q503" s="116">
        <v>724.15</v>
      </c>
      <c r="R503">
        <v>16304</v>
      </c>
    </row>
    <row r="504" spans="1:18" x14ac:dyDescent="0.25">
      <c r="A504" s="170">
        <v>42767</v>
      </c>
      <c r="B504" s="116">
        <v>146.4</v>
      </c>
      <c r="C504" s="116">
        <v>144.87</v>
      </c>
      <c r="D504" s="116">
        <v>143.22</v>
      </c>
      <c r="E504" s="116">
        <v>146</v>
      </c>
      <c r="F504" s="116">
        <v>724.35</v>
      </c>
      <c r="G504">
        <v>1738</v>
      </c>
      <c r="H504" s="116"/>
      <c r="I504" s="116"/>
      <c r="L504" s="170">
        <v>42751</v>
      </c>
      <c r="M504" s="116">
        <v>144.4</v>
      </c>
      <c r="N504" s="116">
        <v>146.59</v>
      </c>
      <c r="O504" s="116">
        <v>143.4</v>
      </c>
      <c r="P504" s="116">
        <v>145</v>
      </c>
      <c r="Q504" s="116">
        <v>722</v>
      </c>
      <c r="R504">
        <v>2474</v>
      </c>
    </row>
    <row r="505" spans="1:18" x14ac:dyDescent="0.25">
      <c r="A505" s="170">
        <v>42768</v>
      </c>
      <c r="B505" s="116">
        <v>152.80000000000001</v>
      </c>
      <c r="C505" s="116">
        <v>150.31</v>
      </c>
      <c r="D505" s="116">
        <v>146.44</v>
      </c>
      <c r="E505" s="116">
        <v>146.44999999999999</v>
      </c>
      <c r="F505" s="116">
        <v>751.55</v>
      </c>
      <c r="G505">
        <v>769</v>
      </c>
      <c r="H505" s="116"/>
      <c r="I505" s="116"/>
      <c r="L505" s="170">
        <v>42752</v>
      </c>
      <c r="M505" s="116">
        <v>143.35999999999999</v>
      </c>
      <c r="N505" s="116">
        <v>146.57999999999998</v>
      </c>
      <c r="O505" s="116">
        <v>142.80000000000001</v>
      </c>
      <c r="P505" s="116">
        <v>146.57999999999998</v>
      </c>
      <c r="Q505" s="116">
        <v>716.8</v>
      </c>
      <c r="R505">
        <v>3223</v>
      </c>
    </row>
    <row r="506" spans="1:18" x14ac:dyDescent="0.25">
      <c r="A506" s="170">
        <v>42769</v>
      </c>
      <c r="B506" s="116">
        <v>158.80000000000001</v>
      </c>
      <c r="C506" s="116">
        <v>156.25</v>
      </c>
      <c r="D506" s="116">
        <v>152</v>
      </c>
      <c r="E506" s="116">
        <v>152</v>
      </c>
      <c r="F506" s="116">
        <v>781.25</v>
      </c>
      <c r="G506">
        <v>2149</v>
      </c>
      <c r="H506" s="116"/>
      <c r="I506" s="116"/>
      <c r="L506" s="170">
        <v>42753</v>
      </c>
      <c r="M506" s="116">
        <v>150.26</v>
      </c>
      <c r="N506" s="116">
        <v>153.78</v>
      </c>
      <c r="O506" s="116">
        <v>143.80000000000001</v>
      </c>
      <c r="P506" s="116">
        <v>145.19999999999999</v>
      </c>
      <c r="Q506" s="116">
        <v>751.3</v>
      </c>
      <c r="R506">
        <v>28290</v>
      </c>
    </row>
    <row r="507" spans="1:18" x14ac:dyDescent="0.25">
      <c r="A507" s="170">
        <v>42772</v>
      </c>
      <c r="B507" s="116">
        <v>176</v>
      </c>
      <c r="C507" s="116">
        <v>167.51</v>
      </c>
      <c r="D507" s="116">
        <v>164.54000000000002</v>
      </c>
      <c r="E507" s="116">
        <v>167</v>
      </c>
      <c r="F507" s="116">
        <v>837.55</v>
      </c>
      <c r="G507">
        <v>26807</v>
      </c>
      <c r="H507" s="116"/>
      <c r="I507" s="116"/>
      <c r="L507" s="170">
        <v>42754</v>
      </c>
      <c r="M507" s="116">
        <v>155.39000000000001</v>
      </c>
      <c r="N507" s="116">
        <v>157.4</v>
      </c>
      <c r="O507" s="116">
        <v>151.63</v>
      </c>
      <c r="P507" s="116">
        <v>153.19999999999999</v>
      </c>
      <c r="Q507" s="116">
        <v>776.95</v>
      </c>
      <c r="R507">
        <v>27612</v>
      </c>
    </row>
    <row r="508" spans="1:18" x14ac:dyDescent="0.25">
      <c r="A508" s="170">
        <v>42773</v>
      </c>
      <c r="B508" s="116">
        <v>168.43</v>
      </c>
      <c r="C508" s="116">
        <v>161.41</v>
      </c>
      <c r="D508" s="116">
        <v>160.6</v>
      </c>
      <c r="E508" s="116">
        <v>167.85</v>
      </c>
      <c r="F508" s="116">
        <v>807.05</v>
      </c>
      <c r="G508">
        <v>2870</v>
      </c>
      <c r="H508" s="116"/>
      <c r="I508" s="116"/>
      <c r="L508" s="170">
        <v>42755</v>
      </c>
      <c r="M508" s="116">
        <v>149.27000000000001</v>
      </c>
      <c r="N508" s="116">
        <v>157.56</v>
      </c>
      <c r="O508" s="116">
        <v>148.32999999999998</v>
      </c>
      <c r="P508" s="116">
        <v>154</v>
      </c>
      <c r="Q508" s="116">
        <v>746.35</v>
      </c>
      <c r="R508">
        <v>10876</v>
      </c>
    </row>
    <row r="509" spans="1:18" x14ac:dyDescent="0.25">
      <c r="A509" s="170">
        <v>42774</v>
      </c>
      <c r="B509" s="116">
        <v>162.32</v>
      </c>
      <c r="C509" s="116">
        <v>161.07999999999998</v>
      </c>
      <c r="D509" s="116">
        <v>156.41</v>
      </c>
      <c r="E509" s="116">
        <v>162.1</v>
      </c>
      <c r="F509" s="116">
        <v>805.4</v>
      </c>
      <c r="G509">
        <v>3113</v>
      </c>
      <c r="H509" s="116"/>
      <c r="I509" s="116"/>
      <c r="L509" s="170">
        <v>42758</v>
      </c>
      <c r="M509" s="116">
        <v>149.97999999999999</v>
      </c>
      <c r="N509" s="116">
        <v>153.32</v>
      </c>
      <c r="O509" s="116">
        <v>148.57</v>
      </c>
      <c r="P509" s="116">
        <v>149.27000000000001</v>
      </c>
      <c r="Q509" s="116">
        <v>749.9</v>
      </c>
      <c r="R509">
        <v>6954</v>
      </c>
    </row>
    <row r="510" spans="1:18" x14ac:dyDescent="0.25">
      <c r="A510" s="170">
        <v>42775</v>
      </c>
      <c r="B510" s="116">
        <v>165.95999999999998</v>
      </c>
      <c r="C510" s="116">
        <v>164.95</v>
      </c>
      <c r="D510" s="116">
        <v>160.19999999999999</v>
      </c>
      <c r="E510" s="116">
        <v>160.19999999999999</v>
      </c>
      <c r="F510" s="116">
        <v>824.75</v>
      </c>
      <c r="G510">
        <v>1828</v>
      </c>
      <c r="H510" s="116"/>
      <c r="I510" s="116"/>
      <c r="L510" s="170">
        <v>42759</v>
      </c>
      <c r="M510" s="116">
        <v>150.94999999999999</v>
      </c>
      <c r="N510" s="116">
        <v>154.47</v>
      </c>
      <c r="O510" s="116">
        <v>149.4</v>
      </c>
      <c r="P510" s="116">
        <v>151.6</v>
      </c>
      <c r="Q510" s="116">
        <v>754.75</v>
      </c>
      <c r="R510">
        <v>7756</v>
      </c>
    </row>
    <row r="511" spans="1:18" x14ac:dyDescent="0.25">
      <c r="A511" s="170">
        <v>42776</v>
      </c>
      <c r="B511" s="116">
        <v>166.25</v>
      </c>
      <c r="C511" s="116">
        <v>161.94</v>
      </c>
      <c r="D511" s="116">
        <v>161.4</v>
      </c>
      <c r="E511" s="116">
        <v>166</v>
      </c>
      <c r="F511" s="116">
        <v>809.7</v>
      </c>
      <c r="G511">
        <v>1029</v>
      </c>
      <c r="H511" s="116"/>
      <c r="I511" s="116"/>
      <c r="L511" s="170">
        <v>42760</v>
      </c>
      <c r="M511" s="116">
        <v>151.03</v>
      </c>
      <c r="N511" s="116">
        <v>152</v>
      </c>
      <c r="O511" s="116">
        <v>150</v>
      </c>
      <c r="P511" s="116">
        <v>151.84</v>
      </c>
      <c r="Q511" s="116">
        <v>755.15</v>
      </c>
      <c r="R511">
        <v>6051</v>
      </c>
    </row>
    <row r="512" spans="1:18" x14ac:dyDescent="0.25">
      <c r="A512" s="170">
        <v>42779</v>
      </c>
      <c r="B512" s="116">
        <v>165.85</v>
      </c>
      <c r="C512" s="116">
        <v>156.53</v>
      </c>
      <c r="D512" s="116">
        <v>156.27000000000001</v>
      </c>
      <c r="E512" s="116">
        <v>162.19999999999999</v>
      </c>
      <c r="F512" s="116">
        <v>782.65</v>
      </c>
      <c r="G512">
        <v>2154</v>
      </c>
      <c r="H512" s="116"/>
      <c r="I512" s="116"/>
      <c r="L512" s="170">
        <v>42762</v>
      </c>
      <c r="M512" s="116">
        <v>148.72</v>
      </c>
      <c r="N512" s="116">
        <v>152.59</v>
      </c>
      <c r="O512" s="116">
        <v>146.19999999999999</v>
      </c>
      <c r="P512" s="116">
        <v>148.81</v>
      </c>
      <c r="Q512" s="116">
        <v>743.6</v>
      </c>
      <c r="R512">
        <v>11311</v>
      </c>
    </row>
    <row r="513" spans="1:18" x14ac:dyDescent="0.25">
      <c r="A513" s="170">
        <v>42780</v>
      </c>
      <c r="B513" s="116">
        <v>160</v>
      </c>
      <c r="C513" s="116">
        <v>154.41</v>
      </c>
      <c r="D513" s="116">
        <v>153.18</v>
      </c>
      <c r="E513" s="116">
        <v>159.34</v>
      </c>
      <c r="F513" s="116">
        <v>772.05</v>
      </c>
      <c r="G513">
        <v>1407</v>
      </c>
      <c r="H513" s="116"/>
      <c r="I513" s="116"/>
      <c r="L513" s="170">
        <v>42765</v>
      </c>
      <c r="M513" s="116">
        <v>145.19999999999999</v>
      </c>
      <c r="N513" s="116">
        <v>151</v>
      </c>
      <c r="O513" s="116">
        <v>143.15</v>
      </c>
      <c r="P513" s="116">
        <v>150.02000000000001</v>
      </c>
      <c r="Q513" s="116">
        <v>726</v>
      </c>
      <c r="R513">
        <v>7134</v>
      </c>
    </row>
    <row r="514" spans="1:18" x14ac:dyDescent="0.25">
      <c r="A514" s="170">
        <v>42781</v>
      </c>
      <c r="B514" s="116">
        <v>153.30000000000001</v>
      </c>
      <c r="C514" s="116">
        <v>148.32999999999998</v>
      </c>
      <c r="D514" s="116">
        <v>147</v>
      </c>
      <c r="E514" s="116">
        <v>153.30000000000001</v>
      </c>
      <c r="F514" s="116">
        <v>741.65</v>
      </c>
      <c r="G514">
        <v>4882</v>
      </c>
      <c r="H514" s="116"/>
      <c r="I514" s="116"/>
      <c r="L514" s="170">
        <v>42766</v>
      </c>
      <c r="M514" s="116">
        <v>146</v>
      </c>
      <c r="N514" s="116">
        <v>148.57999999999998</v>
      </c>
      <c r="O514" s="116">
        <v>144.60999999999999</v>
      </c>
      <c r="P514" s="116">
        <v>148.57999999999998</v>
      </c>
      <c r="Q514" s="116">
        <v>730</v>
      </c>
      <c r="R514">
        <v>3800</v>
      </c>
    </row>
    <row r="515" spans="1:18" x14ac:dyDescent="0.25">
      <c r="A515" s="170">
        <v>42782</v>
      </c>
      <c r="B515" s="116">
        <v>155.74</v>
      </c>
      <c r="C515" s="116">
        <v>153.49</v>
      </c>
      <c r="D515" s="116">
        <v>148.4</v>
      </c>
      <c r="E515" s="116">
        <v>151</v>
      </c>
      <c r="F515" s="116">
        <v>767.45</v>
      </c>
      <c r="G515">
        <v>1267</v>
      </c>
      <c r="H515" s="116"/>
      <c r="I515" s="116"/>
      <c r="L515" s="170">
        <v>42767</v>
      </c>
      <c r="M515" s="116">
        <v>145.1</v>
      </c>
      <c r="N515" s="116">
        <v>146.94</v>
      </c>
      <c r="O515" s="116">
        <v>143.37</v>
      </c>
      <c r="P515" s="116">
        <v>145</v>
      </c>
      <c r="Q515" s="116">
        <v>725.5</v>
      </c>
      <c r="R515">
        <v>8660</v>
      </c>
    </row>
    <row r="516" spans="1:18" x14ac:dyDescent="0.25">
      <c r="A516" s="170">
        <v>42783</v>
      </c>
      <c r="B516" s="116">
        <v>154.80000000000001</v>
      </c>
      <c r="C516" s="116">
        <v>154.15</v>
      </c>
      <c r="D516" s="116">
        <v>153.16</v>
      </c>
      <c r="E516" s="116">
        <v>154.4</v>
      </c>
      <c r="F516" s="116">
        <v>770.75</v>
      </c>
      <c r="G516">
        <v>895</v>
      </c>
      <c r="H516" s="116"/>
      <c r="I516" s="116"/>
      <c r="L516" s="170">
        <v>42768</v>
      </c>
      <c r="M516" s="116">
        <v>151.51</v>
      </c>
      <c r="N516" s="116">
        <v>152.80000000000001</v>
      </c>
      <c r="O516" s="116">
        <v>146.02000000000001</v>
      </c>
      <c r="P516" s="116">
        <v>148.80000000000001</v>
      </c>
      <c r="Q516" s="116">
        <v>757.55</v>
      </c>
      <c r="R516">
        <v>9626</v>
      </c>
    </row>
    <row r="517" spans="1:18" x14ac:dyDescent="0.25">
      <c r="A517" s="170">
        <v>42786</v>
      </c>
      <c r="B517" s="116">
        <v>154.6</v>
      </c>
      <c r="C517" s="116">
        <v>151.70999999999998</v>
      </c>
      <c r="D517" s="116">
        <v>149.4</v>
      </c>
      <c r="E517" s="116">
        <v>154</v>
      </c>
      <c r="F517" s="116">
        <v>758.55</v>
      </c>
      <c r="G517">
        <v>2738</v>
      </c>
      <c r="H517" s="116"/>
      <c r="I517" s="116"/>
      <c r="L517" s="170">
        <v>42769</v>
      </c>
      <c r="M517" s="116">
        <v>156.97999999999999</v>
      </c>
      <c r="N517" s="116">
        <v>158.4</v>
      </c>
      <c r="O517" s="116">
        <v>150.99</v>
      </c>
      <c r="P517" s="116">
        <v>152</v>
      </c>
      <c r="Q517" s="116">
        <v>784.9</v>
      </c>
      <c r="R517">
        <v>25045</v>
      </c>
    </row>
    <row r="518" spans="1:18" x14ac:dyDescent="0.25">
      <c r="A518" s="170">
        <v>42787</v>
      </c>
      <c r="B518" s="116">
        <v>156</v>
      </c>
      <c r="C518" s="116">
        <v>151.76</v>
      </c>
      <c r="D518" s="116">
        <v>151.76</v>
      </c>
      <c r="E518" s="116">
        <v>152</v>
      </c>
      <c r="F518" s="116">
        <v>758.8</v>
      </c>
      <c r="G518">
        <v>236</v>
      </c>
      <c r="H518" s="116"/>
      <c r="I518" s="116"/>
      <c r="L518" s="170">
        <v>42772</v>
      </c>
      <c r="M518" s="116">
        <v>166.91</v>
      </c>
      <c r="N518" s="116">
        <v>174</v>
      </c>
      <c r="O518" s="116">
        <v>164</v>
      </c>
      <c r="P518" s="116">
        <v>166.8</v>
      </c>
      <c r="Q518" s="116">
        <v>834.55</v>
      </c>
      <c r="R518">
        <v>110157</v>
      </c>
    </row>
    <row r="519" spans="1:18" x14ac:dyDescent="0.25">
      <c r="A519" s="170">
        <v>42788</v>
      </c>
      <c r="B519" s="116">
        <v>153.54000000000002</v>
      </c>
      <c r="C519" s="116">
        <v>149.10999999999999</v>
      </c>
      <c r="D519" s="116">
        <v>146.4</v>
      </c>
      <c r="E519" s="116">
        <v>151.22</v>
      </c>
      <c r="F519" s="116">
        <v>745.55</v>
      </c>
      <c r="G519">
        <v>981</v>
      </c>
      <c r="H519" s="116"/>
      <c r="I519" s="116"/>
      <c r="L519" s="170">
        <v>42773</v>
      </c>
      <c r="M519" s="116">
        <v>161.19999999999999</v>
      </c>
      <c r="N519" s="116">
        <v>167.92000000000002</v>
      </c>
      <c r="O519" s="116">
        <v>160.30000000000001</v>
      </c>
      <c r="P519" s="116">
        <v>167.92000000000002</v>
      </c>
      <c r="Q519" s="116">
        <v>806</v>
      </c>
      <c r="R519">
        <v>21087</v>
      </c>
    </row>
    <row r="520" spans="1:18" x14ac:dyDescent="0.25">
      <c r="A520" s="170">
        <v>42789</v>
      </c>
      <c r="B520" s="116">
        <v>151.94</v>
      </c>
      <c r="C520" s="116">
        <v>150.81</v>
      </c>
      <c r="D520" s="116">
        <v>148.4</v>
      </c>
      <c r="E520" s="116">
        <v>151.94</v>
      </c>
      <c r="F520" s="116">
        <v>754.05</v>
      </c>
      <c r="G520">
        <v>1071</v>
      </c>
      <c r="H520" s="116"/>
      <c r="I520" s="116"/>
      <c r="L520" s="170">
        <v>42774</v>
      </c>
      <c r="M520" s="116">
        <v>160.47</v>
      </c>
      <c r="N520" s="116">
        <v>162.39000000000001</v>
      </c>
      <c r="O520" s="116">
        <v>159.25</v>
      </c>
      <c r="P520" s="116">
        <v>162.39000000000001</v>
      </c>
      <c r="Q520" s="116">
        <v>802.35</v>
      </c>
      <c r="R520">
        <v>10515</v>
      </c>
    </row>
    <row r="521" spans="1:18" x14ac:dyDescent="0.25">
      <c r="A521" s="170">
        <v>42793</v>
      </c>
      <c r="B521" s="116">
        <v>153.59</v>
      </c>
      <c r="C521" s="116">
        <v>151.02000000000001</v>
      </c>
      <c r="D521" s="116">
        <v>149.01</v>
      </c>
      <c r="E521" s="116">
        <v>153.10999999999999</v>
      </c>
      <c r="F521" s="116">
        <v>755.1</v>
      </c>
      <c r="G521">
        <v>1596</v>
      </c>
      <c r="H521" s="116"/>
      <c r="I521" s="116"/>
      <c r="L521" s="170">
        <v>42775</v>
      </c>
      <c r="M521" s="116">
        <v>165.05</v>
      </c>
      <c r="N521" s="116">
        <v>166</v>
      </c>
      <c r="O521" s="116">
        <v>161.02000000000001</v>
      </c>
      <c r="P521" s="116">
        <v>161.97999999999999</v>
      </c>
      <c r="Q521" s="116">
        <v>825.25</v>
      </c>
      <c r="R521">
        <v>13935</v>
      </c>
    </row>
    <row r="522" spans="1:18" x14ac:dyDescent="0.25">
      <c r="A522" s="170">
        <v>42794</v>
      </c>
      <c r="B522" s="116">
        <v>155.80000000000001</v>
      </c>
      <c r="C522" s="116">
        <v>155.09</v>
      </c>
      <c r="D522" s="116">
        <v>149.6</v>
      </c>
      <c r="E522" s="116">
        <v>151</v>
      </c>
      <c r="F522" s="116">
        <v>775.45</v>
      </c>
      <c r="G522">
        <v>473</v>
      </c>
      <c r="H522" s="116"/>
      <c r="I522" s="116"/>
      <c r="L522" s="170">
        <v>42776</v>
      </c>
      <c r="M522" s="116">
        <v>161.89000000000001</v>
      </c>
      <c r="N522" s="116">
        <v>166.57999999999998</v>
      </c>
      <c r="O522" s="116">
        <v>161</v>
      </c>
      <c r="P522" s="116">
        <v>166.57</v>
      </c>
      <c r="Q522" s="116">
        <v>809.45</v>
      </c>
      <c r="R522">
        <v>9461</v>
      </c>
    </row>
    <row r="523" spans="1:18" x14ac:dyDescent="0.25">
      <c r="A523" s="170">
        <v>42795</v>
      </c>
      <c r="B523" s="116">
        <v>160.6</v>
      </c>
      <c r="C523" s="116">
        <v>157.16</v>
      </c>
      <c r="D523" s="116">
        <v>153.19999999999999</v>
      </c>
      <c r="E523" s="116">
        <v>153.19999999999999</v>
      </c>
      <c r="F523" s="116">
        <v>785.8</v>
      </c>
      <c r="G523">
        <v>3170</v>
      </c>
      <c r="H523" s="116"/>
      <c r="I523" s="116"/>
      <c r="L523" s="170">
        <v>42779</v>
      </c>
      <c r="M523" s="116">
        <v>157.07</v>
      </c>
      <c r="N523" s="116">
        <v>165.8</v>
      </c>
      <c r="O523" s="116">
        <v>156.30000000000001</v>
      </c>
      <c r="P523" s="116">
        <v>165.8</v>
      </c>
      <c r="Q523" s="116">
        <v>785.35</v>
      </c>
      <c r="R523">
        <v>10094</v>
      </c>
    </row>
    <row r="524" spans="1:18" x14ac:dyDescent="0.25">
      <c r="A524" s="170">
        <v>42796</v>
      </c>
      <c r="B524" s="116">
        <v>161</v>
      </c>
      <c r="C524" s="116">
        <v>155.45999999999998</v>
      </c>
      <c r="D524" s="116">
        <v>154.81</v>
      </c>
      <c r="E524" s="116">
        <v>158.80000000000001</v>
      </c>
      <c r="F524" s="116">
        <v>777.3</v>
      </c>
      <c r="G524">
        <v>1145</v>
      </c>
      <c r="H524" s="116"/>
      <c r="I524" s="116"/>
      <c r="L524" s="170">
        <v>42780</v>
      </c>
      <c r="M524" s="116">
        <v>153.60999999999999</v>
      </c>
      <c r="N524" s="116">
        <v>161.4</v>
      </c>
      <c r="O524" s="116">
        <v>152.38</v>
      </c>
      <c r="P524" s="116">
        <v>159.57</v>
      </c>
      <c r="Q524" s="116">
        <v>768.05</v>
      </c>
      <c r="R524">
        <v>10608</v>
      </c>
    </row>
    <row r="525" spans="1:18" x14ac:dyDescent="0.25">
      <c r="A525" s="170">
        <v>42797</v>
      </c>
      <c r="B525" s="116">
        <v>156.6</v>
      </c>
      <c r="C525" s="116">
        <v>155.20999999999998</v>
      </c>
      <c r="D525" s="116">
        <v>150.80000000000001</v>
      </c>
      <c r="E525" s="116">
        <v>155.80000000000001</v>
      </c>
      <c r="F525" s="116">
        <v>776.05</v>
      </c>
      <c r="G525">
        <v>1013</v>
      </c>
      <c r="H525" s="116"/>
      <c r="I525" s="116"/>
      <c r="L525" s="170">
        <v>42781</v>
      </c>
      <c r="M525" s="116">
        <v>149.17000000000002</v>
      </c>
      <c r="N525" s="116">
        <v>156.51</v>
      </c>
      <c r="O525" s="116">
        <v>148.32</v>
      </c>
      <c r="P525" s="116">
        <v>153</v>
      </c>
      <c r="Q525" s="116">
        <v>745.85</v>
      </c>
      <c r="R525">
        <v>7274</v>
      </c>
    </row>
    <row r="526" spans="1:18" x14ac:dyDescent="0.25">
      <c r="A526" s="170">
        <v>42800</v>
      </c>
      <c r="B526" s="116">
        <v>156.6</v>
      </c>
      <c r="C526" s="116">
        <v>154.6</v>
      </c>
      <c r="D526" s="116">
        <v>151.34</v>
      </c>
      <c r="E526" s="116">
        <v>155.4</v>
      </c>
      <c r="F526" s="116">
        <v>773</v>
      </c>
      <c r="G526">
        <v>606</v>
      </c>
      <c r="H526" s="116"/>
      <c r="I526" s="116"/>
      <c r="L526" s="170">
        <v>42782</v>
      </c>
      <c r="M526" s="116">
        <v>153.59</v>
      </c>
      <c r="N526" s="116">
        <v>155.18</v>
      </c>
      <c r="O526" s="116">
        <v>149.19999999999999</v>
      </c>
      <c r="P526" s="116">
        <v>151.78</v>
      </c>
      <c r="Q526" s="116">
        <v>767.95</v>
      </c>
      <c r="R526">
        <v>8969</v>
      </c>
    </row>
    <row r="527" spans="1:18" x14ac:dyDescent="0.25">
      <c r="A527" s="170">
        <v>42801</v>
      </c>
      <c r="B527" s="116">
        <v>155.1</v>
      </c>
      <c r="C527" s="116">
        <v>153.47</v>
      </c>
      <c r="D527" s="116">
        <v>151.80000000000001</v>
      </c>
      <c r="E527" s="116">
        <v>153.04000000000002</v>
      </c>
      <c r="F527" s="116">
        <v>767.35</v>
      </c>
      <c r="G527">
        <v>596</v>
      </c>
      <c r="H527" s="116"/>
      <c r="I527" s="116"/>
      <c r="L527" s="170">
        <v>42783</v>
      </c>
      <c r="M527" s="116">
        <v>153.19999999999999</v>
      </c>
      <c r="N527" s="116">
        <v>154.80000000000001</v>
      </c>
      <c r="O527" s="116">
        <v>151.84</v>
      </c>
      <c r="P527" s="116">
        <v>154.75</v>
      </c>
      <c r="Q527" s="116">
        <v>766</v>
      </c>
      <c r="R527">
        <v>6562</v>
      </c>
    </row>
    <row r="528" spans="1:18" x14ac:dyDescent="0.25">
      <c r="A528" s="170">
        <v>42802</v>
      </c>
      <c r="B528" s="116">
        <v>153.39000000000001</v>
      </c>
      <c r="C528" s="116">
        <v>150.99</v>
      </c>
      <c r="D528" s="116">
        <v>149.24</v>
      </c>
      <c r="E528" s="116">
        <v>153.39000000000001</v>
      </c>
      <c r="F528" s="116">
        <v>754.95</v>
      </c>
      <c r="G528">
        <v>1213</v>
      </c>
      <c r="H528" s="116"/>
      <c r="I528" s="116"/>
      <c r="L528" s="170">
        <v>42786</v>
      </c>
      <c r="M528" s="116">
        <v>151.42000000000002</v>
      </c>
      <c r="N528" s="116">
        <v>154.41</v>
      </c>
      <c r="O528" s="116">
        <v>150.22</v>
      </c>
      <c r="P528" s="116">
        <v>154.38</v>
      </c>
      <c r="Q528" s="116">
        <v>757.1</v>
      </c>
      <c r="R528">
        <v>10206</v>
      </c>
    </row>
    <row r="529" spans="1:18" x14ac:dyDescent="0.25">
      <c r="A529" s="170">
        <v>42803</v>
      </c>
      <c r="B529" s="116">
        <v>154.77000000000001</v>
      </c>
      <c r="C529" s="116">
        <v>153.06</v>
      </c>
      <c r="D529" s="116">
        <v>148.20999999999998</v>
      </c>
      <c r="E529" s="116">
        <v>151.57999999999998</v>
      </c>
      <c r="F529" s="116">
        <v>765.3</v>
      </c>
      <c r="G529">
        <v>5020</v>
      </c>
      <c r="H529" s="116"/>
      <c r="I529" s="116"/>
      <c r="L529" s="170">
        <v>42787</v>
      </c>
      <c r="M529" s="116">
        <v>151.65</v>
      </c>
      <c r="N529" s="116">
        <v>153.6</v>
      </c>
      <c r="O529" s="116">
        <v>151</v>
      </c>
      <c r="P529" s="116">
        <v>151.41</v>
      </c>
      <c r="Q529" s="116">
        <v>758.25</v>
      </c>
      <c r="R529">
        <v>3096</v>
      </c>
    </row>
    <row r="530" spans="1:18" x14ac:dyDescent="0.25">
      <c r="A530" s="170">
        <v>42804</v>
      </c>
      <c r="B530" s="116">
        <v>156.69999999999999</v>
      </c>
      <c r="C530" s="116">
        <v>154.34</v>
      </c>
      <c r="D530" s="116">
        <v>152.32999999999998</v>
      </c>
      <c r="E530" s="116">
        <v>152.4</v>
      </c>
      <c r="F530" s="116">
        <v>771.7</v>
      </c>
      <c r="G530">
        <v>2471</v>
      </c>
      <c r="H530" s="116"/>
      <c r="I530" s="116"/>
      <c r="L530" s="170">
        <v>42788</v>
      </c>
      <c r="M530" s="116">
        <v>149.47</v>
      </c>
      <c r="N530" s="116">
        <v>154</v>
      </c>
      <c r="O530" s="116">
        <v>147.92000000000002</v>
      </c>
      <c r="P530" s="116">
        <v>154</v>
      </c>
      <c r="Q530" s="116">
        <v>747.35</v>
      </c>
      <c r="R530">
        <v>5532</v>
      </c>
    </row>
    <row r="531" spans="1:18" x14ac:dyDescent="0.25">
      <c r="A531" s="170">
        <v>42808</v>
      </c>
      <c r="B531" s="116">
        <v>159.97999999999999</v>
      </c>
      <c r="C531" s="116">
        <v>154.51</v>
      </c>
      <c r="D531" s="116">
        <v>154.34</v>
      </c>
      <c r="E531" s="116">
        <v>155</v>
      </c>
      <c r="F531" s="116">
        <v>772.55</v>
      </c>
      <c r="G531">
        <v>550</v>
      </c>
      <c r="H531" s="116"/>
      <c r="I531" s="116"/>
      <c r="L531" s="170">
        <v>42789</v>
      </c>
      <c r="M531" s="116">
        <v>149.62</v>
      </c>
      <c r="N531" s="116">
        <v>151.4</v>
      </c>
      <c r="O531" s="116">
        <v>147.19999999999999</v>
      </c>
      <c r="P531" s="116">
        <v>150.97999999999999</v>
      </c>
      <c r="Q531" s="116">
        <v>748.1</v>
      </c>
      <c r="R531">
        <v>2481</v>
      </c>
    </row>
    <row r="532" spans="1:18" x14ac:dyDescent="0.25">
      <c r="A532" s="170">
        <v>42809</v>
      </c>
      <c r="B532" s="116">
        <v>157.75</v>
      </c>
      <c r="C532" s="116">
        <v>156.94</v>
      </c>
      <c r="D532" s="116">
        <v>155.80000000000001</v>
      </c>
      <c r="E532" s="116">
        <v>155.93</v>
      </c>
      <c r="F532" s="116">
        <v>784.7</v>
      </c>
      <c r="G532">
        <v>602</v>
      </c>
      <c r="H532" s="116"/>
      <c r="I532" s="116"/>
      <c r="L532" s="170">
        <v>42793</v>
      </c>
      <c r="M532" s="116">
        <v>151.02000000000001</v>
      </c>
      <c r="N532" s="116">
        <v>153.9</v>
      </c>
      <c r="O532" s="116">
        <v>149.13</v>
      </c>
      <c r="P532" s="116">
        <v>153.19</v>
      </c>
      <c r="Q532" s="116">
        <v>755.1</v>
      </c>
      <c r="R532">
        <v>14853</v>
      </c>
    </row>
    <row r="533" spans="1:18" x14ac:dyDescent="0.25">
      <c r="A533" s="170">
        <v>42810</v>
      </c>
      <c r="B533" s="116">
        <v>161</v>
      </c>
      <c r="C533" s="116">
        <v>157.68</v>
      </c>
      <c r="D533" s="116">
        <v>157.04000000000002</v>
      </c>
      <c r="E533" s="116">
        <v>158</v>
      </c>
      <c r="F533" s="116">
        <v>788.4</v>
      </c>
      <c r="G533">
        <v>1532</v>
      </c>
      <c r="H533" s="116"/>
      <c r="I533" s="116"/>
      <c r="L533" s="170">
        <v>42794</v>
      </c>
      <c r="M533" s="116">
        <v>155.20999999999998</v>
      </c>
      <c r="N533" s="116">
        <v>156.38</v>
      </c>
      <c r="O533" s="116">
        <v>150.79000000000002</v>
      </c>
      <c r="P533" s="116">
        <v>151.02000000000001</v>
      </c>
      <c r="Q533" s="116">
        <v>776.05</v>
      </c>
      <c r="R533">
        <v>6238</v>
      </c>
    </row>
    <row r="534" spans="1:18" x14ac:dyDescent="0.25">
      <c r="A534" s="170">
        <v>42811</v>
      </c>
      <c r="B534" s="116">
        <v>158.28</v>
      </c>
      <c r="C534" s="116">
        <v>154.12</v>
      </c>
      <c r="D534" s="116">
        <v>153.19999999999999</v>
      </c>
      <c r="E534" s="116">
        <v>157</v>
      </c>
      <c r="F534" s="116">
        <v>770.6</v>
      </c>
      <c r="G534">
        <v>784</v>
      </c>
      <c r="H534" s="116"/>
      <c r="I534" s="116"/>
      <c r="L534" s="170">
        <v>42795</v>
      </c>
      <c r="M534" s="116">
        <v>157.56</v>
      </c>
      <c r="N534" s="116">
        <v>159.6</v>
      </c>
      <c r="O534" s="116">
        <v>153.06</v>
      </c>
      <c r="P534" s="116">
        <v>153.06</v>
      </c>
      <c r="Q534" s="116">
        <v>787.8</v>
      </c>
      <c r="R534">
        <v>8150</v>
      </c>
    </row>
    <row r="535" spans="1:18" x14ac:dyDescent="0.25">
      <c r="A535" s="170">
        <v>42814</v>
      </c>
      <c r="B535" s="116">
        <v>154.12</v>
      </c>
      <c r="C535" s="116">
        <v>152.81</v>
      </c>
      <c r="D535" s="116">
        <v>151.66</v>
      </c>
      <c r="E535" s="116">
        <v>154.12</v>
      </c>
      <c r="F535" s="116">
        <v>764.05</v>
      </c>
      <c r="G535">
        <v>605</v>
      </c>
      <c r="H535" s="116"/>
      <c r="I535" s="116"/>
      <c r="L535" s="170">
        <v>42796</v>
      </c>
      <c r="M535" s="116">
        <v>155.89000000000001</v>
      </c>
      <c r="N535" s="116">
        <v>161.9</v>
      </c>
      <c r="O535" s="116">
        <v>155.1</v>
      </c>
      <c r="P535" s="116">
        <v>158.97999999999999</v>
      </c>
      <c r="Q535" s="116">
        <v>779.45</v>
      </c>
      <c r="R535">
        <v>7047</v>
      </c>
    </row>
    <row r="536" spans="1:18" x14ac:dyDescent="0.25">
      <c r="A536" s="170">
        <v>42815</v>
      </c>
      <c r="B536" s="116">
        <v>153.57999999999998</v>
      </c>
      <c r="C536" s="116">
        <v>153.30000000000001</v>
      </c>
      <c r="D536" s="116">
        <v>151</v>
      </c>
      <c r="E536" s="116">
        <v>152.6</v>
      </c>
      <c r="F536" s="116">
        <v>766.5</v>
      </c>
      <c r="G536">
        <v>552</v>
      </c>
      <c r="H536" s="116"/>
      <c r="I536" s="116"/>
      <c r="L536" s="170">
        <v>42797</v>
      </c>
      <c r="M536" s="116">
        <v>154.97999999999999</v>
      </c>
      <c r="N536" s="116">
        <v>158.35</v>
      </c>
      <c r="O536" s="116">
        <v>153.19999999999999</v>
      </c>
      <c r="P536" s="116">
        <v>158.17000000000002</v>
      </c>
      <c r="Q536" s="116">
        <v>774.9</v>
      </c>
      <c r="R536">
        <v>2081</v>
      </c>
    </row>
    <row r="537" spans="1:18" x14ac:dyDescent="0.25">
      <c r="A537" s="170">
        <v>42816</v>
      </c>
      <c r="B537" s="116">
        <v>152.97999999999999</v>
      </c>
      <c r="C537" s="116">
        <v>152.43</v>
      </c>
      <c r="D537" s="116">
        <v>150.22</v>
      </c>
      <c r="E537" s="116">
        <v>151.13</v>
      </c>
      <c r="F537" s="116">
        <v>762.15</v>
      </c>
      <c r="G537">
        <v>914</v>
      </c>
      <c r="H537" s="116"/>
      <c r="I537" s="116"/>
      <c r="L537" s="170">
        <v>42800</v>
      </c>
      <c r="M537" s="116">
        <v>153.9</v>
      </c>
      <c r="N537" s="116">
        <v>156.6</v>
      </c>
      <c r="O537" s="116">
        <v>152.99</v>
      </c>
      <c r="P537" s="116">
        <v>156.6</v>
      </c>
      <c r="Q537" s="116">
        <v>769.5</v>
      </c>
      <c r="R537">
        <v>4436</v>
      </c>
    </row>
    <row r="538" spans="1:18" x14ac:dyDescent="0.25">
      <c r="A538" s="170">
        <v>42817</v>
      </c>
      <c r="B538" s="116">
        <v>156.4</v>
      </c>
      <c r="C538" s="116">
        <v>155.57</v>
      </c>
      <c r="D538" s="116">
        <v>152</v>
      </c>
      <c r="E538" s="116">
        <v>153.66</v>
      </c>
      <c r="F538" s="116">
        <v>777.85</v>
      </c>
      <c r="G538">
        <v>986</v>
      </c>
      <c r="H538" s="116"/>
      <c r="I538" s="116"/>
      <c r="L538" s="170">
        <v>42801</v>
      </c>
      <c r="M538" s="116">
        <v>152.54000000000002</v>
      </c>
      <c r="N538" s="116">
        <v>156</v>
      </c>
      <c r="O538" s="116">
        <v>151.19999999999999</v>
      </c>
      <c r="P538" s="116">
        <v>155.76</v>
      </c>
      <c r="Q538" s="116">
        <v>762.7</v>
      </c>
      <c r="R538">
        <v>3827</v>
      </c>
    </row>
    <row r="539" spans="1:18" x14ac:dyDescent="0.25">
      <c r="A539" s="170">
        <v>42818</v>
      </c>
      <c r="B539" s="116">
        <v>166.95999999999998</v>
      </c>
      <c r="C539" s="116">
        <v>159.82999999999998</v>
      </c>
      <c r="D539" s="116">
        <v>155.6</v>
      </c>
      <c r="E539" s="116">
        <v>155.6</v>
      </c>
      <c r="F539" s="116">
        <v>799.15</v>
      </c>
      <c r="G539">
        <v>12763</v>
      </c>
      <c r="H539" s="116"/>
      <c r="I539" s="116"/>
      <c r="L539" s="170">
        <v>42802</v>
      </c>
      <c r="M539" s="116">
        <v>150.85</v>
      </c>
      <c r="N539" s="116">
        <v>153.16</v>
      </c>
      <c r="O539" s="116">
        <v>149</v>
      </c>
      <c r="P539" s="116">
        <v>151.95999999999998</v>
      </c>
      <c r="Q539" s="116">
        <v>754.25</v>
      </c>
      <c r="R539">
        <v>5431</v>
      </c>
    </row>
    <row r="540" spans="1:18" x14ac:dyDescent="0.25">
      <c r="A540" s="170">
        <v>42821</v>
      </c>
      <c r="B540" s="116">
        <v>164.49</v>
      </c>
      <c r="C540" s="116">
        <v>158.38</v>
      </c>
      <c r="D540" s="116">
        <v>156.19999999999999</v>
      </c>
      <c r="E540" s="116">
        <v>161</v>
      </c>
      <c r="F540" s="116">
        <v>791.9</v>
      </c>
      <c r="G540">
        <v>3688</v>
      </c>
      <c r="H540" s="116"/>
      <c r="I540" s="116"/>
      <c r="L540" s="170">
        <v>42803</v>
      </c>
      <c r="M540" s="116">
        <v>152.35</v>
      </c>
      <c r="N540" s="116">
        <v>153.16</v>
      </c>
      <c r="O540" s="116">
        <v>148.30000000000001</v>
      </c>
      <c r="P540" s="116">
        <v>151</v>
      </c>
      <c r="Q540" s="116">
        <v>761.75</v>
      </c>
      <c r="R540">
        <v>13281</v>
      </c>
    </row>
    <row r="541" spans="1:18" x14ac:dyDescent="0.25">
      <c r="A541" s="170">
        <v>42822</v>
      </c>
      <c r="B541" s="116">
        <v>166.6</v>
      </c>
      <c r="C541" s="116">
        <v>161.70999999999998</v>
      </c>
      <c r="D541" s="116">
        <v>161.19999999999999</v>
      </c>
      <c r="E541" s="116">
        <v>163.09</v>
      </c>
      <c r="F541" s="116">
        <v>808.55</v>
      </c>
      <c r="G541">
        <v>3071</v>
      </c>
      <c r="H541" s="116"/>
      <c r="I541" s="116"/>
      <c r="L541" s="170">
        <v>42804</v>
      </c>
      <c r="M541" s="116">
        <v>154.70999999999998</v>
      </c>
      <c r="N541" s="116">
        <v>155.99</v>
      </c>
      <c r="O541" s="116">
        <v>152.03</v>
      </c>
      <c r="P541" s="116">
        <v>152.4</v>
      </c>
      <c r="Q541" s="116">
        <v>773.55</v>
      </c>
      <c r="R541">
        <v>6288</v>
      </c>
    </row>
    <row r="542" spans="1:18" x14ac:dyDescent="0.25">
      <c r="A542" s="170">
        <v>42823</v>
      </c>
      <c r="B542" s="116">
        <v>162.82999999999998</v>
      </c>
      <c r="C542" s="116">
        <v>158.81</v>
      </c>
      <c r="D542" s="116">
        <v>158.05000000000001</v>
      </c>
      <c r="E542" s="116">
        <v>162.54000000000002</v>
      </c>
      <c r="F542" s="116">
        <v>794.05</v>
      </c>
      <c r="G542">
        <v>1292</v>
      </c>
      <c r="H542" s="116"/>
      <c r="I542" s="116"/>
      <c r="L542" s="170">
        <v>42808</v>
      </c>
      <c r="M542" s="116">
        <v>155.32</v>
      </c>
      <c r="N542" s="116">
        <v>159.35</v>
      </c>
      <c r="O542" s="116">
        <v>153.02000000000001</v>
      </c>
      <c r="P542" s="116">
        <v>159.35</v>
      </c>
      <c r="Q542" s="116">
        <v>776.6</v>
      </c>
      <c r="R542">
        <v>5115</v>
      </c>
    </row>
    <row r="543" spans="1:18" x14ac:dyDescent="0.25">
      <c r="A543" s="170">
        <v>42824</v>
      </c>
      <c r="B543" s="116">
        <v>161.53</v>
      </c>
      <c r="C543" s="116">
        <v>159.20999999999998</v>
      </c>
      <c r="D543" s="116">
        <v>158.32</v>
      </c>
      <c r="E543" s="116">
        <v>160.03</v>
      </c>
      <c r="F543" s="116">
        <v>796.05</v>
      </c>
      <c r="G543">
        <v>1095</v>
      </c>
      <c r="H543" s="116"/>
      <c r="I543" s="116"/>
      <c r="L543" s="170">
        <v>42809</v>
      </c>
      <c r="M543" s="116">
        <v>156.79000000000002</v>
      </c>
      <c r="N543" s="116">
        <v>157.97</v>
      </c>
      <c r="O543" s="116">
        <v>154.42000000000002</v>
      </c>
      <c r="P543" s="116">
        <v>154.47999999999999</v>
      </c>
      <c r="Q543" s="116">
        <v>783.95</v>
      </c>
      <c r="R543">
        <v>6986</v>
      </c>
    </row>
    <row r="544" spans="1:18" x14ac:dyDescent="0.25">
      <c r="A544" s="170">
        <v>42825</v>
      </c>
      <c r="B544" s="116">
        <v>162.13</v>
      </c>
      <c r="C544" s="116">
        <v>156.56</v>
      </c>
      <c r="D544" s="116">
        <v>156</v>
      </c>
      <c r="E544" s="116">
        <v>158.22</v>
      </c>
      <c r="F544" s="116">
        <v>782.8</v>
      </c>
      <c r="G544">
        <v>2998</v>
      </c>
      <c r="H544" s="116"/>
      <c r="I544" s="116"/>
      <c r="L544" s="170">
        <v>42810</v>
      </c>
      <c r="M544" s="116">
        <v>157.80000000000001</v>
      </c>
      <c r="N544" s="116">
        <v>160.97999999999999</v>
      </c>
      <c r="O544" s="116">
        <v>156.31</v>
      </c>
      <c r="P544" s="116">
        <v>158.4</v>
      </c>
      <c r="Q544" s="116">
        <v>789</v>
      </c>
      <c r="R544">
        <v>5985</v>
      </c>
    </row>
    <row r="545" spans="1:18" x14ac:dyDescent="0.25">
      <c r="A545" s="170">
        <v>42828</v>
      </c>
      <c r="B545" s="116">
        <v>161.19999999999999</v>
      </c>
      <c r="C545" s="116">
        <v>159.70999999999998</v>
      </c>
      <c r="D545" s="116">
        <v>156</v>
      </c>
      <c r="E545" s="116">
        <v>160.78</v>
      </c>
      <c r="F545" s="116">
        <v>798.55</v>
      </c>
      <c r="G545">
        <v>3285</v>
      </c>
      <c r="H545" s="116"/>
      <c r="I545" s="116"/>
      <c r="L545" s="170">
        <v>42811</v>
      </c>
      <c r="M545" s="116">
        <v>154.64000000000001</v>
      </c>
      <c r="N545" s="116">
        <v>158</v>
      </c>
      <c r="O545" s="116">
        <v>154.02000000000001</v>
      </c>
      <c r="P545" s="116">
        <v>154.70999999999998</v>
      </c>
      <c r="Q545" s="116">
        <v>773.2</v>
      </c>
      <c r="R545">
        <v>2664</v>
      </c>
    </row>
    <row r="546" spans="1:18" x14ac:dyDescent="0.25">
      <c r="A546" s="170">
        <v>42830</v>
      </c>
      <c r="B546" s="116">
        <v>165.6</v>
      </c>
      <c r="C546" s="116">
        <v>163.20999999999998</v>
      </c>
      <c r="D546" s="116">
        <v>161.17000000000002</v>
      </c>
      <c r="E546" s="116">
        <v>161.18</v>
      </c>
      <c r="F546" s="116">
        <v>816.05</v>
      </c>
      <c r="G546">
        <v>2712</v>
      </c>
      <c r="H546" s="116"/>
      <c r="I546" s="116"/>
      <c r="L546" s="170">
        <v>42814</v>
      </c>
      <c r="M546" s="116">
        <v>152.01</v>
      </c>
      <c r="N546" s="116">
        <v>154.88</v>
      </c>
      <c r="O546" s="116">
        <v>151.35999999999999</v>
      </c>
      <c r="P546" s="116">
        <v>154.69999999999999</v>
      </c>
      <c r="Q546" s="116">
        <v>760.05</v>
      </c>
      <c r="R546">
        <v>3621</v>
      </c>
    </row>
    <row r="547" spans="1:18" x14ac:dyDescent="0.25">
      <c r="A547" s="170">
        <v>42831</v>
      </c>
      <c r="B547" s="116">
        <v>167.04000000000002</v>
      </c>
      <c r="C547" s="116">
        <v>164.55</v>
      </c>
      <c r="D547" s="116">
        <v>162.04000000000002</v>
      </c>
      <c r="E547" s="116">
        <v>163.19999999999999</v>
      </c>
      <c r="F547" s="116">
        <v>822.75</v>
      </c>
      <c r="G547">
        <v>1756</v>
      </c>
      <c r="H547" s="116"/>
      <c r="I547" s="116"/>
      <c r="L547" s="170">
        <v>42815</v>
      </c>
      <c r="M547" s="116">
        <v>152.64000000000001</v>
      </c>
      <c r="N547" s="116">
        <v>154.92000000000002</v>
      </c>
      <c r="O547" s="116">
        <v>151</v>
      </c>
      <c r="P547" s="116">
        <v>152.19999999999999</v>
      </c>
      <c r="Q547" s="116">
        <v>763.2</v>
      </c>
      <c r="R547">
        <v>2945</v>
      </c>
    </row>
    <row r="548" spans="1:18" x14ac:dyDescent="0.25">
      <c r="A548" s="170">
        <v>42832</v>
      </c>
      <c r="B548" s="116">
        <v>167.12</v>
      </c>
      <c r="C548" s="116">
        <v>162.77000000000001</v>
      </c>
      <c r="D548" s="116">
        <v>162.19999999999999</v>
      </c>
      <c r="E548" s="116">
        <v>163.6</v>
      </c>
      <c r="F548" s="116">
        <v>813.85</v>
      </c>
      <c r="G548">
        <v>2095</v>
      </c>
      <c r="H548" s="116"/>
      <c r="I548" s="116"/>
      <c r="L548" s="170">
        <v>42816</v>
      </c>
      <c r="M548" s="116">
        <v>152</v>
      </c>
      <c r="N548" s="116">
        <v>153</v>
      </c>
      <c r="O548" s="116">
        <v>150</v>
      </c>
      <c r="P548" s="116">
        <v>152.47999999999999</v>
      </c>
      <c r="Q548" s="116">
        <v>760</v>
      </c>
      <c r="R548">
        <v>4042</v>
      </c>
    </row>
    <row r="549" spans="1:18" x14ac:dyDescent="0.25">
      <c r="A549" s="170">
        <v>42835</v>
      </c>
      <c r="B549" s="116">
        <v>169.4</v>
      </c>
      <c r="C549" s="116">
        <v>161.53</v>
      </c>
      <c r="D549" s="116">
        <v>160.93</v>
      </c>
      <c r="E549" s="116">
        <v>164</v>
      </c>
      <c r="F549" s="116">
        <v>807.65</v>
      </c>
      <c r="G549">
        <v>5476</v>
      </c>
      <c r="H549" s="116"/>
      <c r="I549" s="116"/>
      <c r="L549" s="170">
        <v>42817</v>
      </c>
      <c r="M549" s="116">
        <v>155.03</v>
      </c>
      <c r="N549" s="116">
        <v>157.80000000000001</v>
      </c>
      <c r="O549" s="116">
        <v>151.35999999999999</v>
      </c>
      <c r="P549" s="116">
        <v>152.19999999999999</v>
      </c>
      <c r="Q549" s="116">
        <v>775.15</v>
      </c>
      <c r="R549">
        <v>7617</v>
      </c>
    </row>
    <row r="550" spans="1:18" x14ac:dyDescent="0.25">
      <c r="A550" s="170">
        <v>42836</v>
      </c>
      <c r="B550" s="116">
        <v>165</v>
      </c>
      <c r="C550" s="116">
        <v>162.37</v>
      </c>
      <c r="D550" s="116">
        <v>161.6</v>
      </c>
      <c r="E550" s="116">
        <v>163.95</v>
      </c>
      <c r="F550" s="116">
        <v>811.85</v>
      </c>
      <c r="G550">
        <v>4991</v>
      </c>
      <c r="H550" s="116"/>
      <c r="I550" s="116"/>
      <c r="L550" s="170">
        <v>42818</v>
      </c>
      <c r="M550" s="116">
        <v>158.92000000000002</v>
      </c>
      <c r="N550" s="116">
        <v>166.6</v>
      </c>
      <c r="O550" s="116">
        <v>153.4</v>
      </c>
      <c r="P550" s="116">
        <v>153.4</v>
      </c>
      <c r="Q550" s="116">
        <v>794.6</v>
      </c>
      <c r="R550">
        <v>44009</v>
      </c>
    </row>
    <row r="551" spans="1:18" x14ac:dyDescent="0.25">
      <c r="A551" s="170">
        <v>42837</v>
      </c>
      <c r="B551" s="116">
        <v>165</v>
      </c>
      <c r="C551" s="116">
        <v>162.19</v>
      </c>
      <c r="D551" s="116">
        <v>160.4</v>
      </c>
      <c r="E551" s="116">
        <v>162</v>
      </c>
      <c r="F551" s="116">
        <v>810.95</v>
      </c>
      <c r="G551">
        <v>2638</v>
      </c>
      <c r="H551" s="116"/>
      <c r="I551" s="116"/>
      <c r="L551" s="170">
        <v>42821</v>
      </c>
      <c r="M551" s="116">
        <v>158.69999999999999</v>
      </c>
      <c r="N551" s="116">
        <v>164.06</v>
      </c>
      <c r="O551" s="116">
        <v>157.80000000000001</v>
      </c>
      <c r="P551" s="116">
        <v>159.30000000000001</v>
      </c>
      <c r="Q551" s="116">
        <v>793.5</v>
      </c>
      <c r="R551">
        <v>13359</v>
      </c>
    </row>
    <row r="552" spans="1:18" x14ac:dyDescent="0.25">
      <c r="A552" s="170">
        <v>42838</v>
      </c>
      <c r="B552" s="116">
        <v>164.4</v>
      </c>
      <c r="C552" s="116">
        <v>162.09</v>
      </c>
      <c r="D552" s="116">
        <v>161.19999999999999</v>
      </c>
      <c r="E552" s="116">
        <v>162</v>
      </c>
      <c r="F552" s="116">
        <v>810.45</v>
      </c>
      <c r="G552">
        <v>1374</v>
      </c>
      <c r="H552" s="116"/>
      <c r="I552" s="116"/>
      <c r="L552" s="170">
        <v>42822</v>
      </c>
      <c r="M552" s="116">
        <v>161.29000000000002</v>
      </c>
      <c r="N552" s="116">
        <v>167.99</v>
      </c>
      <c r="O552" s="116">
        <v>159.32</v>
      </c>
      <c r="P552" s="116">
        <v>161.99</v>
      </c>
      <c r="Q552" s="116">
        <v>806.45</v>
      </c>
      <c r="R552">
        <v>19736</v>
      </c>
    </row>
    <row r="553" spans="1:18" x14ac:dyDescent="0.25">
      <c r="A553" s="170">
        <v>42842</v>
      </c>
      <c r="B553" s="116">
        <v>161.6</v>
      </c>
      <c r="C553" s="116">
        <v>159.26</v>
      </c>
      <c r="D553" s="116">
        <v>159</v>
      </c>
      <c r="E553" s="116">
        <v>160.85999999999999</v>
      </c>
      <c r="F553" s="116">
        <v>796.3</v>
      </c>
      <c r="G553">
        <v>738</v>
      </c>
      <c r="H553" s="116"/>
      <c r="I553" s="116"/>
      <c r="L553" s="170">
        <v>42823</v>
      </c>
      <c r="M553" s="116">
        <v>158.76</v>
      </c>
      <c r="N553" s="116">
        <v>165</v>
      </c>
      <c r="O553" s="116">
        <v>156.82999999999998</v>
      </c>
      <c r="P553" s="116">
        <v>165</v>
      </c>
      <c r="Q553" s="116">
        <v>793.8</v>
      </c>
      <c r="R553">
        <v>4537</v>
      </c>
    </row>
    <row r="554" spans="1:18" x14ac:dyDescent="0.25">
      <c r="A554" s="170">
        <v>42843</v>
      </c>
      <c r="B554" s="116">
        <v>154.25</v>
      </c>
      <c r="C554" s="116">
        <v>142.49</v>
      </c>
      <c r="D554" s="116">
        <v>140.32</v>
      </c>
      <c r="E554" s="116">
        <v>152.57999999999998</v>
      </c>
      <c r="F554" s="116">
        <v>712.45</v>
      </c>
      <c r="G554">
        <v>20820</v>
      </c>
      <c r="H554" s="116"/>
      <c r="I554" s="116"/>
      <c r="L554" s="170">
        <v>42824</v>
      </c>
      <c r="M554" s="116">
        <v>159.49</v>
      </c>
      <c r="N554" s="116">
        <v>161.6</v>
      </c>
      <c r="O554" s="116">
        <v>158.47999999999999</v>
      </c>
      <c r="P554" s="116">
        <v>158.54000000000002</v>
      </c>
      <c r="Q554" s="116">
        <v>797.45</v>
      </c>
      <c r="R554">
        <v>2629</v>
      </c>
    </row>
    <row r="555" spans="1:18" x14ac:dyDescent="0.25">
      <c r="A555" s="170">
        <v>42844</v>
      </c>
      <c r="B555" s="116">
        <v>144.01</v>
      </c>
      <c r="C555" s="116">
        <v>142.69</v>
      </c>
      <c r="D555" s="116">
        <v>140.6</v>
      </c>
      <c r="E555" s="116">
        <v>142.6</v>
      </c>
      <c r="F555" s="116">
        <v>713.45</v>
      </c>
      <c r="G555">
        <v>7037</v>
      </c>
      <c r="H555" s="116"/>
      <c r="I555" s="116"/>
      <c r="L555" s="170">
        <v>42825</v>
      </c>
      <c r="M555" s="116">
        <v>156.18</v>
      </c>
      <c r="N555" s="116">
        <v>162.85</v>
      </c>
      <c r="O555" s="116">
        <v>155.42000000000002</v>
      </c>
      <c r="P555" s="116">
        <v>158.80000000000001</v>
      </c>
      <c r="Q555" s="116">
        <v>780.9</v>
      </c>
      <c r="R555">
        <v>7700</v>
      </c>
    </row>
    <row r="556" spans="1:18" x14ac:dyDescent="0.25">
      <c r="A556" s="170">
        <v>42845</v>
      </c>
      <c r="B556" s="116">
        <v>150.19999999999999</v>
      </c>
      <c r="C556" s="116">
        <v>148.67000000000002</v>
      </c>
      <c r="D556" s="116">
        <v>144.02000000000001</v>
      </c>
      <c r="E556" s="116">
        <v>145.01</v>
      </c>
      <c r="F556" s="116">
        <v>743.35</v>
      </c>
      <c r="G556">
        <v>7808</v>
      </c>
      <c r="H556" s="116"/>
      <c r="I556" s="116"/>
      <c r="L556" s="170">
        <v>42828</v>
      </c>
      <c r="M556" s="116">
        <v>159.75</v>
      </c>
      <c r="N556" s="116">
        <v>161.6</v>
      </c>
      <c r="O556" s="116">
        <v>155.49</v>
      </c>
      <c r="P556" s="116">
        <v>159.79000000000002</v>
      </c>
      <c r="Q556" s="116">
        <v>798.75</v>
      </c>
      <c r="R556">
        <v>32242</v>
      </c>
    </row>
    <row r="557" spans="1:18" x14ac:dyDescent="0.25">
      <c r="A557" s="170">
        <v>42846</v>
      </c>
      <c r="B557" s="116">
        <v>149.44</v>
      </c>
      <c r="C557" s="116">
        <v>146.95999999999998</v>
      </c>
      <c r="D557" s="116">
        <v>145.84</v>
      </c>
      <c r="E557" s="116">
        <v>149.44</v>
      </c>
      <c r="F557" s="116">
        <v>734.8</v>
      </c>
      <c r="G557">
        <v>1738</v>
      </c>
      <c r="H557" s="116"/>
      <c r="I557" s="116"/>
      <c r="L557" s="170">
        <v>42830</v>
      </c>
      <c r="M557" s="116">
        <v>163.93</v>
      </c>
      <c r="N557" s="116">
        <v>166</v>
      </c>
      <c r="O557" s="116">
        <v>160.19999999999999</v>
      </c>
      <c r="P557" s="116">
        <v>160.19999999999999</v>
      </c>
      <c r="Q557" s="116">
        <v>819.65</v>
      </c>
      <c r="R557">
        <v>24193</v>
      </c>
    </row>
    <row r="558" spans="1:18" x14ac:dyDescent="0.25">
      <c r="A558" s="170">
        <v>42849</v>
      </c>
      <c r="B558" s="116">
        <v>148.97</v>
      </c>
      <c r="C558" s="116">
        <v>147.72999999999999</v>
      </c>
      <c r="D558" s="116">
        <v>146.89000000000001</v>
      </c>
      <c r="E558" s="116">
        <v>147.32</v>
      </c>
      <c r="F558" s="116">
        <v>738.65</v>
      </c>
      <c r="G558">
        <v>1020</v>
      </c>
      <c r="H558" s="116"/>
      <c r="I558" s="116"/>
      <c r="L558" s="170">
        <v>42831</v>
      </c>
      <c r="M558" s="116">
        <v>164.67000000000002</v>
      </c>
      <c r="N558" s="116">
        <v>168.4</v>
      </c>
      <c r="O558" s="116">
        <v>162.14000000000001</v>
      </c>
      <c r="P558" s="116">
        <v>164</v>
      </c>
      <c r="Q558" s="116">
        <v>823.35</v>
      </c>
      <c r="R558">
        <v>12278</v>
      </c>
    </row>
    <row r="559" spans="1:18" x14ac:dyDescent="0.25">
      <c r="A559" s="170">
        <v>42850</v>
      </c>
      <c r="B559" s="116">
        <v>147.74</v>
      </c>
      <c r="C559" s="116">
        <v>146.35999999999999</v>
      </c>
      <c r="D559" s="116">
        <v>145.41</v>
      </c>
      <c r="E559" s="116">
        <v>147.35</v>
      </c>
      <c r="F559" s="116">
        <v>731.8</v>
      </c>
      <c r="G559">
        <v>2246</v>
      </c>
      <c r="H559" s="116"/>
      <c r="I559" s="116"/>
      <c r="L559" s="170">
        <v>42832</v>
      </c>
      <c r="M559" s="116">
        <v>163.01</v>
      </c>
      <c r="N559" s="116">
        <v>167</v>
      </c>
      <c r="O559" s="116">
        <v>162.4</v>
      </c>
      <c r="P559" s="116">
        <v>165</v>
      </c>
      <c r="Q559" s="116">
        <v>815.05</v>
      </c>
      <c r="R559">
        <v>6689</v>
      </c>
    </row>
    <row r="560" spans="1:18" x14ac:dyDescent="0.25">
      <c r="A560" s="170">
        <v>42851</v>
      </c>
      <c r="B560" s="116">
        <v>147.6</v>
      </c>
      <c r="C560" s="116">
        <v>144.87</v>
      </c>
      <c r="D560" s="116">
        <v>143</v>
      </c>
      <c r="E560" s="116">
        <v>145.9</v>
      </c>
      <c r="F560" s="116">
        <v>724.35</v>
      </c>
      <c r="G560">
        <v>1308</v>
      </c>
      <c r="H560" s="116"/>
      <c r="I560" s="116"/>
      <c r="L560" s="170">
        <v>42835</v>
      </c>
      <c r="M560" s="116">
        <v>161.63</v>
      </c>
      <c r="N560" s="116">
        <v>169.39000000000001</v>
      </c>
      <c r="O560" s="116">
        <v>160</v>
      </c>
      <c r="P560" s="116">
        <v>160</v>
      </c>
      <c r="Q560" s="116">
        <v>808.15</v>
      </c>
      <c r="R560">
        <v>27455</v>
      </c>
    </row>
    <row r="561" spans="1:18" x14ac:dyDescent="0.25">
      <c r="A561" s="170">
        <v>42852</v>
      </c>
      <c r="B561" s="116">
        <v>144.65</v>
      </c>
      <c r="C561" s="116">
        <v>143.68</v>
      </c>
      <c r="D561" s="116">
        <v>143.04000000000002</v>
      </c>
      <c r="E561" s="116">
        <v>144.65</v>
      </c>
      <c r="F561" s="116">
        <v>718.4</v>
      </c>
      <c r="G561">
        <v>1841</v>
      </c>
      <c r="H561" s="116"/>
      <c r="I561" s="116"/>
      <c r="L561" s="170">
        <v>42836</v>
      </c>
      <c r="M561" s="116">
        <v>161.68</v>
      </c>
      <c r="N561" s="116">
        <v>165.19</v>
      </c>
      <c r="O561" s="116">
        <v>161.19999999999999</v>
      </c>
      <c r="P561" s="116">
        <v>162.97999999999999</v>
      </c>
      <c r="Q561" s="116">
        <v>808.4</v>
      </c>
      <c r="R561">
        <v>22340</v>
      </c>
    </row>
    <row r="562" spans="1:18" x14ac:dyDescent="0.25">
      <c r="A562" s="170">
        <v>42853</v>
      </c>
      <c r="B562" s="116">
        <v>147</v>
      </c>
      <c r="C562" s="116">
        <v>144.06</v>
      </c>
      <c r="D562" s="116">
        <v>142.56</v>
      </c>
      <c r="E562" s="116">
        <v>144.47999999999999</v>
      </c>
      <c r="F562" s="116">
        <v>720.3</v>
      </c>
      <c r="G562">
        <v>777</v>
      </c>
      <c r="H562" s="116"/>
      <c r="I562" s="116"/>
      <c r="L562" s="170">
        <v>42837</v>
      </c>
      <c r="M562" s="116">
        <v>162.85</v>
      </c>
      <c r="N562" s="116">
        <v>164</v>
      </c>
      <c r="O562" s="116">
        <v>160</v>
      </c>
      <c r="P562" s="116">
        <v>163</v>
      </c>
      <c r="Q562" s="116">
        <v>814.25</v>
      </c>
      <c r="R562">
        <v>20975</v>
      </c>
    </row>
    <row r="563" spans="1:18" x14ac:dyDescent="0.25">
      <c r="A563" s="170">
        <v>42857</v>
      </c>
      <c r="B563" s="116">
        <v>144.65</v>
      </c>
      <c r="C563" s="116">
        <v>142.47</v>
      </c>
      <c r="D563" s="116">
        <v>142</v>
      </c>
      <c r="E563" s="116">
        <v>144</v>
      </c>
      <c r="F563" s="116">
        <v>712.35</v>
      </c>
      <c r="G563">
        <v>1781</v>
      </c>
      <c r="H563" s="116"/>
      <c r="I563" s="116"/>
      <c r="L563" s="170">
        <v>42838</v>
      </c>
      <c r="M563" s="116">
        <v>161.63</v>
      </c>
      <c r="N563" s="116">
        <v>165</v>
      </c>
      <c r="O563" s="116">
        <v>161.03</v>
      </c>
      <c r="P563" s="116">
        <v>163</v>
      </c>
      <c r="Q563" s="116">
        <v>808.15</v>
      </c>
      <c r="R563">
        <v>10528</v>
      </c>
    </row>
    <row r="564" spans="1:18" x14ac:dyDescent="0.25">
      <c r="A564" s="170">
        <v>42858</v>
      </c>
      <c r="B564" s="116">
        <v>145.78</v>
      </c>
      <c r="C564" s="116">
        <v>144.97</v>
      </c>
      <c r="D564" s="116">
        <v>142.9</v>
      </c>
      <c r="E564" s="116">
        <v>143.4</v>
      </c>
      <c r="F564" s="116">
        <v>724.85</v>
      </c>
      <c r="G564">
        <v>3587</v>
      </c>
      <c r="H564" s="116"/>
      <c r="I564" s="116"/>
      <c r="L564" s="170">
        <v>42842</v>
      </c>
      <c r="M564" s="116">
        <v>160</v>
      </c>
      <c r="N564" s="116">
        <v>163</v>
      </c>
      <c r="O564" s="116">
        <v>159</v>
      </c>
      <c r="P564" s="116">
        <v>163</v>
      </c>
      <c r="Q564" s="116">
        <v>800</v>
      </c>
      <c r="R564">
        <v>4328</v>
      </c>
    </row>
    <row r="565" spans="1:18" x14ac:dyDescent="0.25">
      <c r="A565" s="170">
        <v>42859</v>
      </c>
      <c r="B565" s="116">
        <v>158</v>
      </c>
      <c r="C565" s="116">
        <v>153.69</v>
      </c>
      <c r="D565" s="116">
        <v>149.4</v>
      </c>
      <c r="E565" s="116">
        <v>149.4</v>
      </c>
      <c r="F565" s="116">
        <v>768.45</v>
      </c>
      <c r="G565">
        <v>9728</v>
      </c>
      <c r="H565" s="116"/>
      <c r="I565" s="116"/>
      <c r="L565" s="170">
        <v>42843</v>
      </c>
      <c r="M565" s="116">
        <v>142.15</v>
      </c>
      <c r="N565" s="116">
        <v>154</v>
      </c>
      <c r="O565" s="116">
        <v>140.31</v>
      </c>
      <c r="P565" s="116">
        <v>154</v>
      </c>
      <c r="Q565" s="116">
        <v>710.75</v>
      </c>
      <c r="R565">
        <v>90655</v>
      </c>
    </row>
    <row r="566" spans="1:18" x14ac:dyDescent="0.25">
      <c r="A566" s="170">
        <v>42860</v>
      </c>
      <c r="B566" s="116">
        <v>153.69</v>
      </c>
      <c r="C566" s="116">
        <v>151.56</v>
      </c>
      <c r="D566" s="116">
        <v>149.44999999999999</v>
      </c>
      <c r="E566" s="116">
        <v>153.69</v>
      </c>
      <c r="F566" s="116">
        <v>757.8</v>
      </c>
      <c r="G566">
        <v>1527</v>
      </c>
      <c r="H566" s="116"/>
      <c r="I566" s="116"/>
      <c r="L566" s="170">
        <v>42844</v>
      </c>
      <c r="M566" s="116">
        <v>142.92000000000002</v>
      </c>
      <c r="N566" s="116">
        <v>145</v>
      </c>
      <c r="O566" s="116">
        <v>140.01</v>
      </c>
      <c r="P566" s="116">
        <v>145</v>
      </c>
      <c r="Q566" s="116">
        <v>714.6</v>
      </c>
      <c r="R566">
        <v>24883</v>
      </c>
    </row>
    <row r="567" spans="1:18" x14ac:dyDescent="0.25">
      <c r="A567" s="170">
        <v>42863</v>
      </c>
      <c r="B567" s="116">
        <v>155</v>
      </c>
      <c r="C567" s="116">
        <v>153.77000000000001</v>
      </c>
      <c r="D567" s="116">
        <v>152</v>
      </c>
      <c r="E567" s="116">
        <v>152.03</v>
      </c>
      <c r="F567" s="116">
        <v>768.85</v>
      </c>
      <c r="G567">
        <v>1202</v>
      </c>
      <c r="H567" s="116"/>
      <c r="I567" s="116"/>
      <c r="L567" s="170">
        <v>42845</v>
      </c>
      <c r="M567" s="116">
        <v>148.22</v>
      </c>
      <c r="N567" s="116">
        <v>149.19999999999999</v>
      </c>
      <c r="O567" s="116">
        <v>144.22</v>
      </c>
      <c r="P567" s="116">
        <v>144.22</v>
      </c>
      <c r="Q567" s="116">
        <v>741.1</v>
      </c>
      <c r="R567">
        <v>25792</v>
      </c>
    </row>
    <row r="568" spans="1:18" x14ac:dyDescent="0.25">
      <c r="A568" s="170">
        <v>42864</v>
      </c>
      <c r="B568" s="116">
        <v>156.65</v>
      </c>
      <c r="C568" s="116">
        <v>153.57999999999998</v>
      </c>
      <c r="D568" s="116">
        <v>153.19999999999999</v>
      </c>
      <c r="E568" s="116">
        <v>155.77000000000001</v>
      </c>
      <c r="F568" s="116">
        <v>767.9</v>
      </c>
      <c r="G568">
        <v>731</v>
      </c>
      <c r="H568" s="116"/>
      <c r="I568" s="116"/>
      <c r="L568" s="170">
        <v>42846</v>
      </c>
      <c r="M568" s="116">
        <v>147.18</v>
      </c>
      <c r="N568" s="116">
        <v>149.6</v>
      </c>
      <c r="O568" s="116">
        <v>146.02000000000001</v>
      </c>
      <c r="P568" s="116">
        <v>148.22</v>
      </c>
      <c r="Q568" s="116">
        <v>735.9</v>
      </c>
      <c r="R568">
        <v>5422</v>
      </c>
    </row>
    <row r="569" spans="1:18" x14ac:dyDescent="0.25">
      <c r="A569" s="170">
        <v>42865</v>
      </c>
      <c r="B569" s="116">
        <v>158.19999999999999</v>
      </c>
      <c r="C569" s="116">
        <v>156.85999999999999</v>
      </c>
      <c r="D569" s="116">
        <v>153</v>
      </c>
      <c r="E569" s="116">
        <v>153</v>
      </c>
      <c r="F569" s="116">
        <v>784.3</v>
      </c>
      <c r="G569">
        <v>1940</v>
      </c>
      <c r="H569" s="116"/>
      <c r="I569" s="116"/>
      <c r="L569" s="170">
        <v>42849</v>
      </c>
      <c r="M569" s="116">
        <v>147.37</v>
      </c>
      <c r="N569" s="116">
        <v>148.6</v>
      </c>
      <c r="O569" s="116">
        <v>146.4</v>
      </c>
      <c r="P569" s="116">
        <v>148.59</v>
      </c>
      <c r="Q569" s="116">
        <v>736.85</v>
      </c>
      <c r="R569">
        <v>5483</v>
      </c>
    </row>
    <row r="570" spans="1:18" x14ac:dyDescent="0.25">
      <c r="A570" s="170">
        <v>42866</v>
      </c>
      <c r="B570" s="116">
        <v>157.84</v>
      </c>
      <c r="C570" s="116">
        <v>154.59</v>
      </c>
      <c r="D570" s="116">
        <v>154</v>
      </c>
      <c r="E570" s="116">
        <v>156.97</v>
      </c>
      <c r="F570" s="116">
        <v>772.95</v>
      </c>
      <c r="G570">
        <v>718</v>
      </c>
      <c r="H570" s="116"/>
      <c r="I570" s="116"/>
      <c r="L570" s="170">
        <v>42850</v>
      </c>
      <c r="M570" s="116">
        <v>146.92000000000002</v>
      </c>
      <c r="N570" s="116">
        <v>148.07</v>
      </c>
      <c r="O570" s="116">
        <v>145.4</v>
      </c>
      <c r="P570" s="116">
        <v>147.63</v>
      </c>
      <c r="Q570" s="116">
        <v>734.6</v>
      </c>
      <c r="R570">
        <v>5807</v>
      </c>
    </row>
    <row r="571" spans="1:18" x14ac:dyDescent="0.25">
      <c r="A571" s="170">
        <v>42867</v>
      </c>
      <c r="B571" s="116">
        <v>155.45999999999998</v>
      </c>
      <c r="C571" s="116">
        <v>153.07</v>
      </c>
      <c r="D571" s="116">
        <v>152.62</v>
      </c>
      <c r="E571" s="116">
        <v>155.45999999999998</v>
      </c>
      <c r="F571" s="116">
        <v>765.35</v>
      </c>
      <c r="G571">
        <v>204</v>
      </c>
      <c r="H571" s="116"/>
      <c r="I571" s="116"/>
      <c r="L571" s="170">
        <v>42851</v>
      </c>
      <c r="M571" s="116">
        <v>144.38</v>
      </c>
      <c r="N571" s="116">
        <v>147.19999999999999</v>
      </c>
      <c r="O571" s="116">
        <v>143.6</v>
      </c>
      <c r="P571" s="116">
        <v>147</v>
      </c>
      <c r="Q571" s="116">
        <v>721.9</v>
      </c>
      <c r="R571">
        <v>6375</v>
      </c>
    </row>
    <row r="572" spans="1:18" x14ac:dyDescent="0.25">
      <c r="A572" s="170">
        <v>42870</v>
      </c>
      <c r="B572" s="116">
        <v>159</v>
      </c>
      <c r="C572" s="116">
        <v>157.43</v>
      </c>
      <c r="D572" s="116">
        <v>153.6</v>
      </c>
      <c r="E572" s="116">
        <v>153.80000000000001</v>
      </c>
      <c r="F572" s="116">
        <v>787.15</v>
      </c>
      <c r="G572">
        <v>1993</v>
      </c>
      <c r="H572" s="116"/>
      <c r="I572" s="116"/>
      <c r="L572" s="170">
        <v>42852</v>
      </c>
      <c r="M572" s="116">
        <v>143.49</v>
      </c>
      <c r="N572" s="116">
        <v>149</v>
      </c>
      <c r="O572" s="116">
        <v>143.02000000000001</v>
      </c>
      <c r="P572" s="116">
        <v>147</v>
      </c>
      <c r="Q572" s="116">
        <v>717.45</v>
      </c>
      <c r="R572">
        <v>8744</v>
      </c>
    </row>
    <row r="573" spans="1:18" x14ac:dyDescent="0.25">
      <c r="A573" s="170">
        <v>42871</v>
      </c>
      <c r="B573" s="116">
        <v>159.4</v>
      </c>
      <c r="C573" s="116">
        <v>158.1</v>
      </c>
      <c r="D573" s="116">
        <v>157</v>
      </c>
      <c r="E573" s="116">
        <v>157</v>
      </c>
      <c r="F573" s="116">
        <v>790.5</v>
      </c>
      <c r="G573">
        <v>1238</v>
      </c>
      <c r="H573" s="116"/>
      <c r="I573" s="116"/>
      <c r="L573" s="170">
        <v>42853</v>
      </c>
      <c r="M573" s="116">
        <v>143.25</v>
      </c>
      <c r="N573" s="116">
        <v>145.89000000000001</v>
      </c>
      <c r="O573" s="116">
        <v>142</v>
      </c>
      <c r="P573" s="116">
        <v>144.37</v>
      </c>
      <c r="Q573" s="116">
        <v>716.25</v>
      </c>
      <c r="R573">
        <v>2458</v>
      </c>
    </row>
    <row r="574" spans="1:18" x14ac:dyDescent="0.25">
      <c r="A574" s="170">
        <v>42872</v>
      </c>
      <c r="B574" s="116">
        <v>158.19999999999999</v>
      </c>
      <c r="C574" s="116">
        <v>157.43</v>
      </c>
      <c r="D574" s="116">
        <v>157</v>
      </c>
      <c r="E574" s="116">
        <v>158</v>
      </c>
      <c r="F574" s="116">
        <v>787.15</v>
      </c>
      <c r="G574">
        <v>188</v>
      </c>
      <c r="H574" s="116"/>
      <c r="I574" s="116"/>
      <c r="L574" s="170">
        <v>42857</v>
      </c>
      <c r="M574" s="116">
        <v>142.66</v>
      </c>
      <c r="N574" s="116">
        <v>146.6</v>
      </c>
      <c r="O574" s="116">
        <v>141.01</v>
      </c>
      <c r="P574" s="116">
        <v>146.6</v>
      </c>
      <c r="Q574" s="116">
        <v>713.3</v>
      </c>
      <c r="R574">
        <v>6363</v>
      </c>
    </row>
    <row r="575" spans="1:18" x14ac:dyDescent="0.25">
      <c r="A575" s="170">
        <v>42873</v>
      </c>
      <c r="B575" s="116">
        <v>160</v>
      </c>
      <c r="C575" s="116">
        <v>158.69999999999999</v>
      </c>
      <c r="D575" s="116">
        <v>155.4</v>
      </c>
      <c r="E575" s="116">
        <v>155.4</v>
      </c>
      <c r="F575" s="116">
        <v>793.5</v>
      </c>
      <c r="G575">
        <v>505</v>
      </c>
      <c r="H575" s="116"/>
      <c r="I575" s="116"/>
      <c r="L575" s="170">
        <v>42858</v>
      </c>
      <c r="M575" s="116">
        <v>144.82</v>
      </c>
      <c r="N575" s="116">
        <v>145.80000000000001</v>
      </c>
      <c r="O575" s="116">
        <v>142.37</v>
      </c>
      <c r="P575" s="116">
        <v>145.57</v>
      </c>
      <c r="Q575" s="116">
        <v>724.1</v>
      </c>
      <c r="R575">
        <v>6589</v>
      </c>
    </row>
    <row r="576" spans="1:18" x14ac:dyDescent="0.25">
      <c r="A576" s="170">
        <v>42874</v>
      </c>
      <c r="B576" s="116">
        <v>163</v>
      </c>
      <c r="C576" s="116">
        <v>158.6</v>
      </c>
      <c r="D576" s="116">
        <v>157</v>
      </c>
      <c r="E576" s="116">
        <v>159.01</v>
      </c>
      <c r="F576" s="116">
        <v>793</v>
      </c>
      <c r="G576">
        <v>1643</v>
      </c>
      <c r="H576" s="116"/>
      <c r="I576" s="116"/>
      <c r="L576" s="170">
        <v>42859</v>
      </c>
      <c r="M576" s="116">
        <v>153.41</v>
      </c>
      <c r="N576" s="116">
        <v>158.4</v>
      </c>
      <c r="O576" s="116">
        <v>149</v>
      </c>
      <c r="P576" s="116">
        <v>149</v>
      </c>
      <c r="Q576" s="116">
        <v>767.05</v>
      </c>
      <c r="R576">
        <v>55090</v>
      </c>
    </row>
    <row r="577" spans="1:18" x14ac:dyDescent="0.25">
      <c r="A577" s="170">
        <v>42877</v>
      </c>
      <c r="B577" s="116">
        <v>159.6</v>
      </c>
      <c r="C577" s="116">
        <v>158.17000000000002</v>
      </c>
      <c r="D577" s="116">
        <v>157.20999999999998</v>
      </c>
      <c r="E577" s="116">
        <v>158.82999999999998</v>
      </c>
      <c r="F577" s="116">
        <v>790.85</v>
      </c>
      <c r="G577">
        <v>2701</v>
      </c>
      <c r="H577" s="116"/>
      <c r="I577" s="116"/>
      <c r="L577" s="170">
        <v>42860</v>
      </c>
      <c r="M577" s="116">
        <v>151.94999999999999</v>
      </c>
      <c r="N577" s="116">
        <v>154.92000000000002</v>
      </c>
      <c r="O577" s="116">
        <v>149.57999999999998</v>
      </c>
      <c r="P577" s="116">
        <v>154.92000000000002</v>
      </c>
      <c r="Q577" s="116">
        <v>759.75</v>
      </c>
      <c r="R577">
        <v>7555</v>
      </c>
    </row>
    <row r="578" spans="1:18" x14ac:dyDescent="0.25">
      <c r="A578" s="170">
        <v>42878</v>
      </c>
      <c r="B578" s="116">
        <v>157.4</v>
      </c>
      <c r="C578" s="116">
        <v>157.4</v>
      </c>
      <c r="D578" s="116">
        <v>153.6</v>
      </c>
      <c r="E578" s="116">
        <v>156.02000000000001</v>
      </c>
      <c r="F578" s="116">
        <v>787</v>
      </c>
      <c r="G578">
        <v>559</v>
      </c>
      <c r="H578" s="116"/>
      <c r="I578" s="116"/>
      <c r="L578" s="170">
        <v>42863</v>
      </c>
      <c r="M578" s="116">
        <v>153.10999999999999</v>
      </c>
      <c r="N578" s="116">
        <v>155.19999999999999</v>
      </c>
      <c r="O578" s="116">
        <v>150.42000000000002</v>
      </c>
      <c r="P578" s="116">
        <v>150.43</v>
      </c>
      <c r="Q578" s="116">
        <v>765.55</v>
      </c>
      <c r="R578">
        <v>4329</v>
      </c>
    </row>
    <row r="579" spans="1:18" x14ac:dyDescent="0.25">
      <c r="A579" s="170">
        <v>42879</v>
      </c>
      <c r="B579" s="116">
        <v>156.47999999999999</v>
      </c>
      <c r="C579" s="116">
        <v>154.07</v>
      </c>
      <c r="D579" s="116">
        <v>154.01</v>
      </c>
      <c r="E579" s="116">
        <v>156</v>
      </c>
      <c r="F579" s="116">
        <v>770.35</v>
      </c>
      <c r="G579">
        <v>1127</v>
      </c>
      <c r="H579" s="116"/>
      <c r="I579" s="116"/>
      <c r="L579" s="170">
        <v>42864</v>
      </c>
      <c r="M579" s="116">
        <v>153.57</v>
      </c>
      <c r="N579" s="116">
        <v>155.99</v>
      </c>
      <c r="O579" s="116">
        <v>152.6</v>
      </c>
      <c r="P579" s="116">
        <v>155.39000000000001</v>
      </c>
      <c r="Q579" s="116">
        <v>767.85</v>
      </c>
      <c r="R579">
        <v>3569</v>
      </c>
    </row>
    <row r="580" spans="1:18" x14ac:dyDescent="0.25">
      <c r="A580" s="170">
        <v>42880</v>
      </c>
      <c r="B580" s="116">
        <v>159.99</v>
      </c>
      <c r="C580" s="116">
        <v>156.52000000000001</v>
      </c>
      <c r="D580" s="116">
        <v>154.14000000000001</v>
      </c>
      <c r="E580" s="116">
        <v>156.76</v>
      </c>
      <c r="F580" s="116">
        <v>782.6</v>
      </c>
      <c r="G580">
        <v>1832</v>
      </c>
      <c r="H580" s="116"/>
      <c r="I580" s="116"/>
      <c r="L580" s="170">
        <v>42865</v>
      </c>
      <c r="M580" s="116">
        <v>157.05000000000001</v>
      </c>
      <c r="N580" s="116">
        <v>158.74</v>
      </c>
      <c r="O580" s="116">
        <v>152.84</v>
      </c>
      <c r="P580" s="116">
        <v>156</v>
      </c>
      <c r="Q580" s="116">
        <v>785.25</v>
      </c>
      <c r="R580">
        <v>12521</v>
      </c>
    </row>
    <row r="581" spans="1:18" x14ac:dyDescent="0.25">
      <c r="A581" s="170">
        <v>42881</v>
      </c>
      <c r="B581" s="116">
        <v>164.4</v>
      </c>
      <c r="C581" s="116">
        <v>160.68</v>
      </c>
      <c r="D581" s="116">
        <v>159</v>
      </c>
      <c r="E581" s="116">
        <v>159.80000000000001</v>
      </c>
      <c r="F581" s="116">
        <v>803.4</v>
      </c>
      <c r="G581">
        <v>2252</v>
      </c>
      <c r="H581" s="116"/>
      <c r="I581" s="116"/>
      <c r="L581" s="170">
        <v>42866</v>
      </c>
      <c r="M581" s="116">
        <v>154.72999999999999</v>
      </c>
      <c r="N581" s="116">
        <v>158</v>
      </c>
      <c r="O581" s="116">
        <v>154.42000000000002</v>
      </c>
      <c r="P581" s="116">
        <v>158</v>
      </c>
      <c r="Q581" s="116">
        <v>773.65</v>
      </c>
      <c r="R581">
        <v>3383</v>
      </c>
    </row>
    <row r="582" spans="1:18" x14ac:dyDescent="0.25">
      <c r="A582" s="170">
        <v>42884</v>
      </c>
      <c r="B582" s="116">
        <v>162.79000000000002</v>
      </c>
      <c r="C582" s="116">
        <v>160.65</v>
      </c>
      <c r="D582" s="116">
        <v>146</v>
      </c>
      <c r="E582" s="116">
        <v>157.99</v>
      </c>
      <c r="F582" s="116">
        <v>803.25</v>
      </c>
      <c r="G582">
        <v>2169</v>
      </c>
      <c r="H582" s="116"/>
      <c r="I582" s="116"/>
      <c r="L582" s="170">
        <v>42867</v>
      </c>
      <c r="M582" s="116">
        <v>153.19</v>
      </c>
      <c r="N582" s="116">
        <v>157.19999999999999</v>
      </c>
      <c r="O582" s="116">
        <v>152.42000000000002</v>
      </c>
      <c r="P582" s="116">
        <v>157.19999999999999</v>
      </c>
      <c r="Q582" s="116">
        <v>765.95</v>
      </c>
      <c r="R582">
        <v>2682</v>
      </c>
    </row>
    <row r="583" spans="1:18" x14ac:dyDescent="0.25">
      <c r="A583" s="170">
        <v>42885</v>
      </c>
      <c r="B583" s="116">
        <v>165</v>
      </c>
      <c r="C583" s="116">
        <v>163.38</v>
      </c>
      <c r="D583" s="116">
        <v>159.4</v>
      </c>
      <c r="E583" s="116">
        <v>160</v>
      </c>
      <c r="F583" s="116">
        <v>816.9</v>
      </c>
      <c r="G583">
        <v>2791</v>
      </c>
      <c r="H583" s="116"/>
      <c r="I583" s="116"/>
      <c r="L583" s="170">
        <v>42870</v>
      </c>
      <c r="M583" s="116">
        <v>157.81</v>
      </c>
      <c r="N583" s="116">
        <v>159</v>
      </c>
      <c r="O583" s="116">
        <v>153.19999999999999</v>
      </c>
      <c r="P583" s="116">
        <v>153.19999999999999</v>
      </c>
      <c r="Q583" s="116">
        <v>789.05</v>
      </c>
      <c r="R583">
        <v>9844</v>
      </c>
    </row>
    <row r="584" spans="1:18" x14ac:dyDescent="0.25">
      <c r="A584" s="170">
        <v>42886</v>
      </c>
      <c r="B584" s="116">
        <v>162.4</v>
      </c>
      <c r="C584" s="116">
        <v>158.18</v>
      </c>
      <c r="D584" s="116">
        <v>157.4</v>
      </c>
      <c r="E584" s="116">
        <v>160.22</v>
      </c>
      <c r="F584" s="116">
        <v>790.9</v>
      </c>
      <c r="G584">
        <v>5612</v>
      </c>
      <c r="H584" s="116"/>
      <c r="I584" s="116"/>
      <c r="L584" s="170">
        <v>42871</v>
      </c>
      <c r="M584" s="116">
        <v>158.57999999999998</v>
      </c>
      <c r="N584" s="116">
        <v>159.4</v>
      </c>
      <c r="O584" s="116">
        <v>157.66</v>
      </c>
      <c r="P584" s="116">
        <v>159</v>
      </c>
      <c r="Q584" s="116">
        <v>792.9</v>
      </c>
      <c r="R584">
        <v>3121</v>
      </c>
    </row>
    <row r="585" spans="1:18" x14ac:dyDescent="0.25">
      <c r="A585" s="170">
        <v>42887</v>
      </c>
      <c r="B585" s="116">
        <v>159.37</v>
      </c>
      <c r="C585" s="116">
        <v>155.45999999999998</v>
      </c>
      <c r="D585" s="116">
        <v>154.31</v>
      </c>
      <c r="E585" s="116">
        <v>158.97999999999999</v>
      </c>
      <c r="F585" s="116">
        <v>777.3</v>
      </c>
      <c r="G585">
        <v>976</v>
      </c>
      <c r="H585" s="116"/>
      <c r="I585" s="116"/>
      <c r="L585" s="170">
        <v>42872</v>
      </c>
      <c r="M585" s="116">
        <v>157.30000000000001</v>
      </c>
      <c r="N585" s="116">
        <v>160.19999999999999</v>
      </c>
      <c r="O585" s="116">
        <v>156</v>
      </c>
      <c r="P585" s="116">
        <v>160.19999999999999</v>
      </c>
      <c r="Q585" s="116">
        <v>786.5</v>
      </c>
      <c r="R585">
        <v>5434</v>
      </c>
    </row>
    <row r="586" spans="1:18" x14ac:dyDescent="0.25">
      <c r="A586" s="170">
        <v>42888</v>
      </c>
      <c r="B586" s="116">
        <v>156.22</v>
      </c>
      <c r="C586" s="116">
        <v>155.59</v>
      </c>
      <c r="D586" s="116">
        <v>154</v>
      </c>
      <c r="E586" s="116">
        <v>156.19999999999999</v>
      </c>
      <c r="F586" s="116">
        <v>777.95</v>
      </c>
      <c r="G586">
        <v>1140</v>
      </c>
      <c r="H586" s="116"/>
      <c r="I586" s="116"/>
      <c r="L586" s="170">
        <v>42873</v>
      </c>
      <c r="M586" s="116">
        <v>158.66</v>
      </c>
      <c r="N586" s="116">
        <v>159.74</v>
      </c>
      <c r="O586" s="116">
        <v>155.19999999999999</v>
      </c>
      <c r="P586" s="116">
        <v>158</v>
      </c>
      <c r="Q586" s="116">
        <v>793.3</v>
      </c>
      <c r="R586">
        <v>10608</v>
      </c>
    </row>
    <row r="587" spans="1:18" x14ac:dyDescent="0.25">
      <c r="A587" s="170">
        <v>42891</v>
      </c>
      <c r="B587" s="116">
        <v>156</v>
      </c>
      <c r="C587" s="116">
        <v>154.80000000000001</v>
      </c>
      <c r="D587" s="116">
        <v>152.01</v>
      </c>
      <c r="E587" s="116">
        <v>156</v>
      </c>
      <c r="F587" s="116">
        <v>774</v>
      </c>
      <c r="G587">
        <v>525</v>
      </c>
      <c r="H587" s="116"/>
      <c r="I587" s="116"/>
      <c r="L587" s="170">
        <v>42874</v>
      </c>
      <c r="M587" s="116">
        <v>159.07</v>
      </c>
      <c r="N587" s="116">
        <v>163</v>
      </c>
      <c r="O587" s="116">
        <v>156.45999999999998</v>
      </c>
      <c r="P587" s="116">
        <v>161</v>
      </c>
      <c r="Q587" s="116">
        <v>795.35</v>
      </c>
      <c r="R587">
        <v>10292</v>
      </c>
    </row>
    <row r="588" spans="1:18" x14ac:dyDescent="0.25">
      <c r="A588" s="170">
        <v>42892</v>
      </c>
      <c r="B588" s="116">
        <v>155</v>
      </c>
      <c r="C588" s="116">
        <v>152.30000000000001</v>
      </c>
      <c r="D588" s="116">
        <v>152.19</v>
      </c>
      <c r="E588" s="116">
        <v>152.41</v>
      </c>
      <c r="F588" s="116">
        <v>761.5</v>
      </c>
      <c r="G588">
        <v>606</v>
      </c>
      <c r="H588" s="116"/>
      <c r="I588" s="116"/>
      <c r="L588" s="170">
        <v>42877</v>
      </c>
      <c r="M588" s="116">
        <v>158.29000000000002</v>
      </c>
      <c r="N588" s="116">
        <v>162.44999999999999</v>
      </c>
      <c r="O588" s="116">
        <v>157.43</v>
      </c>
      <c r="P588" s="116">
        <v>160</v>
      </c>
      <c r="Q588" s="116">
        <v>791.45</v>
      </c>
      <c r="R588">
        <v>7612</v>
      </c>
    </row>
    <row r="589" spans="1:18" x14ac:dyDescent="0.25">
      <c r="A589" s="170">
        <v>42893</v>
      </c>
      <c r="B589" s="116">
        <v>153.10999999999999</v>
      </c>
      <c r="C589" s="116">
        <v>151.44999999999999</v>
      </c>
      <c r="D589" s="116">
        <v>151</v>
      </c>
      <c r="E589" s="116">
        <v>152.4</v>
      </c>
      <c r="F589" s="116">
        <v>757.25</v>
      </c>
      <c r="G589">
        <v>692</v>
      </c>
      <c r="H589" s="116"/>
      <c r="I589" s="116"/>
      <c r="L589" s="170">
        <v>42878</v>
      </c>
      <c r="M589" s="116">
        <v>155.30000000000001</v>
      </c>
      <c r="N589" s="116">
        <v>157.94</v>
      </c>
      <c r="O589" s="116">
        <v>152.41</v>
      </c>
      <c r="P589" s="116">
        <v>156.10999999999999</v>
      </c>
      <c r="Q589" s="116">
        <v>776.5</v>
      </c>
      <c r="R589">
        <v>6219</v>
      </c>
    </row>
    <row r="590" spans="1:18" x14ac:dyDescent="0.25">
      <c r="A590" s="170">
        <v>42894</v>
      </c>
      <c r="B590" s="116">
        <v>153.80000000000001</v>
      </c>
      <c r="C590" s="116">
        <v>153.66</v>
      </c>
      <c r="D590" s="116">
        <v>150.92000000000002</v>
      </c>
      <c r="E590" s="116">
        <v>150.92000000000002</v>
      </c>
      <c r="F590" s="116">
        <v>768.3</v>
      </c>
      <c r="G590">
        <v>297</v>
      </c>
      <c r="H590" s="116"/>
      <c r="I590" s="116"/>
      <c r="L590" s="170">
        <v>42879</v>
      </c>
      <c r="M590" s="116">
        <v>154.32999999999998</v>
      </c>
      <c r="N590" s="116">
        <v>157.87</v>
      </c>
      <c r="O590" s="116">
        <v>153.92000000000002</v>
      </c>
      <c r="P590" s="116">
        <v>155.19999999999999</v>
      </c>
      <c r="Q590" s="116">
        <v>771.65</v>
      </c>
      <c r="R590">
        <v>9009</v>
      </c>
    </row>
    <row r="591" spans="1:18" x14ac:dyDescent="0.25">
      <c r="A591" s="170">
        <v>42895</v>
      </c>
      <c r="B591" s="116">
        <v>156</v>
      </c>
      <c r="C591" s="116">
        <v>150.99</v>
      </c>
      <c r="D591" s="116">
        <v>150.41</v>
      </c>
      <c r="E591" s="116">
        <v>153.4</v>
      </c>
      <c r="F591" s="116">
        <v>754.95</v>
      </c>
      <c r="G591">
        <v>449</v>
      </c>
      <c r="H591" s="116"/>
      <c r="I591" s="116"/>
      <c r="L591" s="170">
        <v>42880</v>
      </c>
      <c r="M591" s="116">
        <v>158.12</v>
      </c>
      <c r="N591" s="116">
        <v>160.03</v>
      </c>
      <c r="O591" s="116">
        <v>153.80000000000001</v>
      </c>
      <c r="P591" s="116">
        <v>157.18</v>
      </c>
      <c r="Q591" s="116">
        <v>790.6</v>
      </c>
      <c r="R591">
        <v>11563</v>
      </c>
    </row>
    <row r="592" spans="1:18" x14ac:dyDescent="0.25">
      <c r="A592" s="170">
        <v>42898</v>
      </c>
      <c r="B592" s="116">
        <v>159.16</v>
      </c>
      <c r="C592" s="116">
        <v>149.26</v>
      </c>
      <c r="D592" s="116">
        <v>147.1</v>
      </c>
      <c r="E592" s="116">
        <v>153.03</v>
      </c>
      <c r="F592" s="116">
        <v>746.3</v>
      </c>
      <c r="G592">
        <v>2338</v>
      </c>
      <c r="H592" s="116"/>
      <c r="I592" s="116"/>
      <c r="L592" s="170">
        <v>42881</v>
      </c>
      <c r="M592" s="116">
        <v>161.74</v>
      </c>
      <c r="N592" s="116">
        <v>164.2</v>
      </c>
      <c r="O592" s="116">
        <v>158.74</v>
      </c>
      <c r="P592" s="116">
        <v>159.80000000000001</v>
      </c>
      <c r="Q592" s="116">
        <v>808.7</v>
      </c>
      <c r="R592">
        <v>18449</v>
      </c>
    </row>
    <row r="593" spans="1:18" x14ac:dyDescent="0.25">
      <c r="A593" s="170">
        <v>42899</v>
      </c>
      <c r="B593" s="116">
        <v>151.80000000000001</v>
      </c>
      <c r="C593" s="116">
        <v>151.25</v>
      </c>
      <c r="D593" s="116">
        <v>149.30000000000001</v>
      </c>
      <c r="E593" s="116">
        <v>150.06</v>
      </c>
      <c r="F593" s="116">
        <v>756.25</v>
      </c>
      <c r="G593">
        <v>330</v>
      </c>
      <c r="H593" s="116"/>
      <c r="I593" s="116"/>
      <c r="L593" s="170">
        <v>42884</v>
      </c>
      <c r="M593" s="116">
        <v>162.32999999999998</v>
      </c>
      <c r="N593" s="116">
        <v>165</v>
      </c>
      <c r="O593" s="116">
        <v>158.22</v>
      </c>
      <c r="P593" s="116">
        <v>158.80000000000001</v>
      </c>
      <c r="Q593" s="116">
        <v>811.65</v>
      </c>
      <c r="R593">
        <v>14833</v>
      </c>
    </row>
    <row r="594" spans="1:18" x14ac:dyDescent="0.25">
      <c r="A594" s="170">
        <v>42900</v>
      </c>
      <c r="B594" s="116">
        <v>157.80000000000001</v>
      </c>
      <c r="C594" s="116">
        <v>150.9</v>
      </c>
      <c r="D594" s="116">
        <v>149.57999999999998</v>
      </c>
      <c r="E594" s="116">
        <v>151.80000000000001</v>
      </c>
      <c r="F594" s="116">
        <v>754.5</v>
      </c>
      <c r="G594">
        <v>2936</v>
      </c>
      <c r="H594" s="116"/>
      <c r="I594" s="116"/>
      <c r="L594" s="170">
        <v>42885</v>
      </c>
      <c r="M594" s="116">
        <v>163.69999999999999</v>
      </c>
      <c r="N594" s="116">
        <v>165.65</v>
      </c>
      <c r="O594" s="116">
        <v>158.53</v>
      </c>
      <c r="P594" s="116">
        <v>158.53</v>
      </c>
      <c r="Q594" s="116">
        <v>818.5</v>
      </c>
      <c r="R594">
        <v>17600</v>
      </c>
    </row>
    <row r="595" spans="1:18" x14ac:dyDescent="0.25">
      <c r="A595" s="170">
        <v>42901</v>
      </c>
      <c r="B595" s="116">
        <v>152</v>
      </c>
      <c r="C595" s="116">
        <v>151.15</v>
      </c>
      <c r="D595" s="116">
        <v>148.51</v>
      </c>
      <c r="E595" s="116">
        <v>151.19999999999999</v>
      </c>
      <c r="F595" s="116">
        <v>755.75</v>
      </c>
      <c r="G595">
        <v>511</v>
      </c>
      <c r="H595" s="116"/>
      <c r="I595" s="116"/>
      <c r="L595" s="170">
        <v>42886</v>
      </c>
      <c r="M595" s="116">
        <v>157.6</v>
      </c>
      <c r="N595" s="116">
        <v>165.8</v>
      </c>
      <c r="O595" s="116">
        <v>156.4</v>
      </c>
      <c r="P595" s="116">
        <v>165.8</v>
      </c>
      <c r="Q595" s="116">
        <v>788</v>
      </c>
      <c r="R595">
        <v>41015</v>
      </c>
    </row>
    <row r="596" spans="1:18" x14ac:dyDescent="0.25">
      <c r="A596" s="170">
        <v>42902</v>
      </c>
      <c r="B596" s="116">
        <v>151.41</v>
      </c>
      <c r="C596" s="116">
        <v>150.24</v>
      </c>
      <c r="D596" s="116">
        <v>149</v>
      </c>
      <c r="E596" s="116">
        <v>151.41</v>
      </c>
      <c r="F596" s="116">
        <v>751.2</v>
      </c>
      <c r="G596">
        <v>111</v>
      </c>
      <c r="H596" s="116"/>
      <c r="I596" s="116"/>
      <c r="L596" s="170">
        <v>42887</v>
      </c>
      <c r="M596" s="116">
        <v>154.79000000000002</v>
      </c>
      <c r="N596" s="116">
        <v>159.4</v>
      </c>
      <c r="O596" s="116">
        <v>153.63</v>
      </c>
      <c r="P596" s="116">
        <v>158.01</v>
      </c>
      <c r="Q596" s="116">
        <v>773.95</v>
      </c>
      <c r="R596">
        <v>9405</v>
      </c>
    </row>
    <row r="597" spans="1:18" x14ac:dyDescent="0.25">
      <c r="A597" s="170">
        <v>42905</v>
      </c>
      <c r="B597" s="116">
        <v>151.18</v>
      </c>
      <c r="C597" s="116">
        <v>149.94999999999999</v>
      </c>
      <c r="D597" s="116">
        <v>149</v>
      </c>
      <c r="E597" s="116">
        <v>150.76</v>
      </c>
      <c r="F597" s="116">
        <v>749.75</v>
      </c>
      <c r="G597">
        <v>759</v>
      </c>
      <c r="H597" s="116"/>
      <c r="I597" s="116"/>
      <c r="L597" s="170">
        <v>42888</v>
      </c>
      <c r="M597" s="116">
        <v>155.6</v>
      </c>
      <c r="N597" s="116">
        <v>157.34</v>
      </c>
      <c r="O597" s="116">
        <v>154.35999999999999</v>
      </c>
      <c r="P597" s="116">
        <v>154.94</v>
      </c>
      <c r="Q597" s="116">
        <v>778</v>
      </c>
      <c r="R597">
        <v>4266</v>
      </c>
    </row>
    <row r="598" spans="1:18" x14ac:dyDescent="0.25">
      <c r="A598" s="170">
        <v>42906</v>
      </c>
      <c r="B598" s="116">
        <v>150</v>
      </c>
      <c r="C598" s="116">
        <v>148.42000000000002</v>
      </c>
      <c r="D598" s="116">
        <v>148.30000000000001</v>
      </c>
      <c r="E598" s="116">
        <v>149.65</v>
      </c>
      <c r="F598" s="116">
        <v>742.1</v>
      </c>
      <c r="G598">
        <v>864</v>
      </c>
      <c r="H598" s="116"/>
      <c r="I598" s="116"/>
      <c r="L598" s="170">
        <v>42891</v>
      </c>
      <c r="M598" s="116">
        <v>154.09</v>
      </c>
      <c r="N598" s="116">
        <v>156.44</v>
      </c>
      <c r="O598" s="116">
        <v>152.30000000000001</v>
      </c>
      <c r="P598" s="116">
        <v>155.81</v>
      </c>
      <c r="Q598" s="116">
        <v>770.45</v>
      </c>
      <c r="R598">
        <v>6536</v>
      </c>
    </row>
    <row r="599" spans="1:18" x14ac:dyDescent="0.25">
      <c r="A599" s="170">
        <v>42907</v>
      </c>
      <c r="B599" s="116">
        <v>149.6</v>
      </c>
      <c r="C599" s="116">
        <v>148.60999999999999</v>
      </c>
      <c r="D599" s="116">
        <v>147.6</v>
      </c>
      <c r="E599" s="116">
        <v>147.97999999999999</v>
      </c>
      <c r="F599" s="116">
        <v>743.05</v>
      </c>
      <c r="G599">
        <v>394</v>
      </c>
      <c r="H599" s="116"/>
      <c r="I599" s="116"/>
      <c r="L599" s="170">
        <v>42892</v>
      </c>
      <c r="M599" s="116">
        <v>152.57999999999998</v>
      </c>
      <c r="N599" s="116">
        <v>156</v>
      </c>
      <c r="O599" s="116">
        <v>152.19999999999999</v>
      </c>
      <c r="P599" s="116">
        <v>155.97</v>
      </c>
      <c r="Q599" s="116">
        <v>762.9</v>
      </c>
      <c r="R599">
        <v>3053</v>
      </c>
    </row>
    <row r="600" spans="1:18" x14ac:dyDescent="0.25">
      <c r="A600" s="170">
        <v>42908</v>
      </c>
      <c r="B600" s="116">
        <v>149.82</v>
      </c>
      <c r="C600" s="116">
        <v>148.59</v>
      </c>
      <c r="D600" s="116">
        <v>148.5</v>
      </c>
      <c r="E600" s="116">
        <v>149.82</v>
      </c>
      <c r="F600" s="116">
        <v>742.95</v>
      </c>
      <c r="G600">
        <v>170</v>
      </c>
      <c r="H600" s="116"/>
      <c r="I600" s="116"/>
      <c r="L600" s="170">
        <v>42893</v>
      </c>
      <c r="M600" s="116">
        <v>151.1</v>
      </c>
      <c r="N600" s="116">
        <v>153.43</v>
      </c>
      <c r="O600" s="116">
        <v>150.80000000000001</v>
      </c>
      <c r="P600" s="116">
        <v>151</v>
      </c>
      <c r="Q600" s="116">
        <v>755.5</v>
      </c>
      <c r="R600">
        <v>3687</v>
      </c>
    </row>
    <row r="601" spans="1:18" x14ac:dyDescent="0.25">
      <c r="A601" s="170">
        <v>42909</v>
      </c>
      <c r="B601" s="116">
        <v>155</v>
      </c>
      <c r="C601" s="116">
        <v>153.47999999999999</v>
      </c>
      <c r="D601" s="116">
        <v>144.09</v>
      </c>
      <c r="E601" s="116">
        <v>149.51</v>
      </c>
      <c r="F601" s="116">
        <v>767.4</v>
      </c>
      <c r="G601">
        <v>1145</v>
      </c>
      <c r="H601" s="116"/>
      <c r="I601" s="116"/>
      <c r="L601" s="170">
        <v>42894</v>
      </c>
      <c r="M601" s="116">
        <v>152.69</v>
      </c>
      <c r="N601" s="116">
        <v>153.99</v>
      </c>
      <c r="O601" s="116">
        <v>150.01</v>
      </c>
      <c r="P601" s="116">
        <v>150.02000000000001</v>
      </c>
      <c r="Q601" s="116">
        <v>763.45</v>
      </c>
      <c r="R601">
        <v>2635</v>
      </c>
    </row>
    <row r="602" spans="1:18" x14ac:dyDescent="0.25">
      <c r="A602" s="170">
        <v>42913</v>
      </c>
      <c r="B602" s="116">
        <v>153.6</v>
      </c>
      <c r="C602" s="116">
        <v>152.32999999999998</v>
      </c>
      <c r="D602" s="116">
        <v>149.22</v>
      </c>
      <c r="E602" s="116">
        <v>153.6</v>
      </c>
      <c r="F602" s="116">
        <v>761.65</v>
      </c>
      <c r="G602">
        <v>511</v>
      </c>
      <c r="H602" s="116"/>
      <c r="I602" s="116"/>
      <c r="L602" s="170">
        <v>42895</v>
      </c>
      <c r="M602" s="116">
        <v>150.75</v>
      </c>
      <c r="N602" s="116">
        <v>154.49</v>
      </c>
      <c r="O602" s="116">
        <v>150.24</v>
      </c>
      <c r="P602" s="116">
        <v>154</v>
      </c>
      <c r="Q602" s="116">
        <v>753.75</v>
      </c>
      <c r="R602">
        <v>4479</v>
      </c>
    </row>
    <row r="603" spans="1:18" x14ac:dyDescent="0.25">
      <c r="A603" s="170">
        <v>42914</v>
      </c>
      <c r="B603" s="116">
        <v>151</v>
      </c>
      <c r="C603" s="116">
        <v>149.15</v>
      </c>
      <c r="D603" s="116">
        <v>149</v>
      </c>
      <c r="E603" s="116">
        <v>151</v>
      </c>
      <c r="F603" s="116">
        <v>745.75</v>
      </c>
      <c r="G603">
        <v>205</v>
      </c>
      <c r="H603" s="116"/>
      <c r="I603" s="116"/>
      <c r="L603" s="170">
        <v>42898</v>
      </c>
      <c r="M603" s="116">
        <v>150.53</v>
      </c>
      <c r="N603" s="116">
        <v>152.97999999999999</v>
      </c>
      <c r="O603" s="116">
        <v>149.78</v>
      </c>
      <c r="P603" s="116">
        <v>151.67000000000002</v>
      </c>
      <c r="Q603" s="116">
        <v>752.65</v>
      </c>
      <c r="R603">
        <v>10013</v>
      </c>
    </row>
    <row r="604" spans="1:18" x14ac:dyDescent="0.25">
      <c r="A604" s="170">
        <v>42915</v>
      </c>
      <c r="B604" s="116">
        <v>151.82999999999998</v>
      </c>
      <c r="C604" s="116">
        <v>150.02000000000001</v>
      </c>
      <c r="D604" s="116">
        <v>148.85</v>
      </c>
      <c r="E604" s="116">
        <v>148.85</v>
      </c>
      <c r="F604" s="116">
        <v>750.1</v>
      </c>
      <c r="G604">
        <v>161</v>
      </c>
      <c r="H604" s="116"/>
      <c r="I604" s="116"/>
      <c r="L604" s="170">
        <v>42899</v>
      </c>
      <c r="M604" s="116">
        <v>150.49</v>
      </c>
      <c r="N604" s="116">
        <v>152.94999999999999</v>
      </c>
      <c r="O604" s="116">
        <v>149.72999999999999</v>
      </c>
      <c r="P604" s="116">
        <v>152.94999999999999</v>
      </c>
      <c r="Q604" s="116">
        <v>752.45</v>
      </c>
      <c r="R604">
        <v>3869</v>
      </c>
    </row>
    <row r="605" spans="1:18" x14ac:dyDescent="0.25">
      <c r="A605" s="170">
        <v>42916</v>
      </c>
      <c r="B605" s="116">
        <v>152.59</v>
      </c>
      <c r="C605" s="116">
        <v>151</v>
      </c>
      <c r="D605" s="116">
        <v>149.4</v>
      </c>
      <c r="E605" s="116">
        <v>149.85</v>
      </c>
      <c r="F605" s="116">
        <v>755</v>
      </c>
      <c r="G605">
        <v>246</v>
      </c>
      <c r="H605" s="116"/>
      <c r="I605" s="116"/>
      <c r="L605" s="170">
        <v>42900</v>
      </c>
      <c r="M605" s="116">
        <v>150.47</v>
      </c>
      <c r="N605" s="116">
        <v>151.4</v>
      </c>
      <c r="O605" s="116">
        <v>149.42000000000002</v>
      </c>
      <c r="P605" s="116">
        <v>150.62</v>
      </c>
      <c r="Q605" s="116">
        <v>752.35</v>
      </c>
      <c r="R605">
        <v>2422</v>
      </c>
    </row>
    <row r="606" spans="1:18" x14ac:dyDescent="0.25">
      <c r="A606" s="170">
        <v>42919</v>
      </c>
      <c r="B606" s="116">
        <v>154.05000000000001</v>
      </c>
      <c r="C606" s="116">
        <v>151.35</v>
      </c>
      <c r="D606" s="116">
        <v>150.04000000000002</v>
      </c>
      <c r="E606" s="116">
        <v>150.15</v>
      </c>
      <c r="F606" s="116">
        <v>756.75</v>
      </c>
      <c r="G606">
        <v>121</v>
      </c>
      <c r="H606" s="116"/>
      <c r="I606" s="116"/>
      <c r="L606" s="170">
        <v>42901</v>
      </c>
      <c r="M606" s="116">
        <v>150.59</v>
      </c>
      <c r="N606" s="116">
        <v>151.80000000000001</v>
      </c>
      <c r="O606" s="116">
        <v>148.64000000000001</v>
      </c>
      <c r="P606" s="116">
        <v>150.85</v>
      </c>
      <c r="Q606" s="116">
        <v>752.95</v>
      </c>
      <c r="R606">
        <v>2608</v>
      </c>
    </row>
    <row r="607" spans="1:18" x14ac:dyDescent="0.25">
      <c r="A607" s="170">
        <v>42920</v>
      </c>
      <c r="B607" s="116">
        <v>154.80000000000001</v>
      </c>
      <c r="C607" s="116">
        <v>151.49</v>
      </c>
      <c r="D607" s="116">
        <v>151.34</v>
      </c>
      <c r="E607" s="116">
        <v>152.05000000000001</v>
      </c>
      <c r="F607" s="116">
        <v>757.45</v>
      </c>
      <c r="G607">
        <v>372</v>
      </c>
      <c r="H607" s="116"/>
      <c r="I607" s="116"/>
      <c r="L607" s="170">
        <v>42902</v>
      </c>
      <c r="M607" s="116">
        <v>150.80000000000001</v>
      </c>
      <c r="N607" s="116">
        <v>151.19999999999999</v>
      </c>
      <c r="O607" s="116">
        <v>149.18</v>
      </c>
      <c r="P607" s="116">
        <v>150.57999999999998</v>
      </c>
      <c r="Q607" s="116">
        <v>754</v>
      </c>
      <c r="R607">
        <v>4969</v>
      </c>
    </row>
    <row r="608" spans="1:18" x14ac:dyDescent="0.25">
      <c r="A608" s="170">
        <v>42921</v>
      </c>
      <c r="B608" s="116">
        <v>153.54000000000002</v>
      </c>
      <c r="C608" s="116">
        <v>150.69</v>
      </c>
      <c r="D608" s="116">
        <v>150.57</v>
      </c>
      <c r="E608" s="116">
        <v>153.54000000000002</v>
      </c>
      <c r="F608" s="116">
        <v>753.45</v>
      </c>
      <c r="G608">
        <v>598</v>
      </c>
      <c r="H608" s="116"/>
      <c r="I608" s="116"/>
      <c r="L608" s="170">
        <v>42905</v>
      </c>
      <c r="M608" s="116">
        <v>148.47999999999999</v>
      </c>
      <c r="N608" s="116">
        <v>150.79000000000002</v>
      </c>
      <c r="O608" s="116">
        <v>147.80000000000001</v>
      </c>
      <c r="P608" s="116">
        <v>150.79000000000002</v>
      </c>
      <c r="Q608" s="116">
        <v>742.4</v>
      </c>
      <c r="R608">
        <v>4887</v>
      </c>
    </row>
    <row r="609" spans="1:18" x14ac:dyDescent="0.25">
      <c r="A609" s="170">
        <v>42922</v>
      </c>
      <c r="B609" s="116">
        <v>153.79000000000002</v>
      </c>
      <c r="C609" s="116">
        <v>152.79000000000002</v>
      </c>
      <c r="D609" s="116">
        <v>150.80000000000001</v>
      </c>
      <c r="E609" s="116">
        <v>150.80000000000001</v>
      </c>
      <c r="F609" s="116">
        <v>763.95</v>
      </c>
      <c r="G609">
        <v>442</v>
      </c>
      <c r="H609" s="116"/>
      <c r="I609" s="116"/>
      <c r="L609" s="170">
        <v>42906</v>
      </c>
      <c r="M609" s="116">
        <v>148.09</v>
      </c>
      <c r="N609" s="116">
        <v>149.35999999999999</v>
      </c>
      <c r="O609" s="116">
        <v>147.6</v>
      </c>
      <c r="P609" s="116">
        <v>149.03</v>
      </c>
      <c r="Q609" s="116">
        <v>740.45</v>
      </c>
      <c r="R609">
        <v>3329</v>
      </c>
    </row>
    <row r="610" spans="1:18" x14ac:dyDescent="0.25">
      <c r="A610" s="170">
        <v>42923</v>
      </c>
      <c r="B610" s="116">
        <v>156.34</v>
      </c>
      <c r="C610" s="116">
        <v>151.01</v>
      </c>
      <c r="D610" s="116">
        <v>150.01</v>
      </c>
      <c r="E610" s="116">
        <v>156.34</v>
      </c>
      <c r="F610" s="116">
        <v>755.05</v>
      </c>
      <c r="G610">
        <v>780</v>
      </c>
      <c r="H610" s="116"/>
      <c r="I610" s="116"/>
      <c r="L610" s="170">
        <v>42907</v>
      </c>
      <c r="M610" s="116">
        <v>150.13</v>
      </c>
      <c r="N610" s="116">
        <v>150.75</v>
      </c>
      <c r="O610" s="116">
        <v>147.4</v>
      </c>
      <c r="P610" s="116">
        <v>149.35</v>
      </c>
      <c r="Q610" s="116">
        <v>750.65</v>
      </c>
      <c r="R610">
        <v>4721</v>
      </c>
    </row>
    <row r="611" spans="1:18" x14ac:dyDescent="0.25">
      <c r="A611" s="170">
        <v>42926</v>
      </c>
      <c r="B611" s="116">
        <v>154.95999999999998</v>
      </c>
      <c r="C611" s="116">
        <v>152.04000000000002</v>
      </c>
      <c r="D611" s="116">
        <v>150</v>
      </c>
      <c r="E611" s="116">
        <v>150.19999999999999</v>
      </c>
      <c r="F611" s="116">
        <v>760.2</v>
      </c>
      <c r="G611">
        <v>702</v>
      </c>
      <c r="H611" s="116"/>
      <c r="I611" s="116"/>
      <c r="L611" s="170">
        <v>42908</v>
      </c>
      <c r="M611" s="116">
        <v>149.42000000000002</v>
      </c>
      <c r="N611" s="116">
        <v>151</v>
      </c>
      <c r="O611" s="116">
        <v>148.4</v>
      </c>
      <c r="P611" s="116">
        <v>150.45999999999998</v>
      </c>
      <c r="Q611" s="116">
        <v>747.1</v>
      </c>
      <c r="R611">
        <v>3698</v>
      </c>
    </row>
    <row r="612" spans="1:18" x14ac:dyDescent="0.25">
      <c r="A612" s="170">
        <v>42927</v>
      </c>
      <c r="B612" s="116">
        <v>153.6</v>
      </c>
      <c r="C612" s="116">
        <v>152.12</v>
      </c>
      <c r="D612" s="116">
        <v>151.57999999999998</v>
      </c>
      <c r="E612" s="116">
        <v>153.19</v>
      </c>
      <c r="F612" s="116">
        <v>760.6</v>
      </c>
      <c r="G612">
        <v>410</v>
      </c>
      <c r="H612" s="116"/>
      <c r="I612" s="116"/>
      <c r="L612" s="170">
        <v>42909</v>
      </c>
      <c r="M612" s="116">
        <v>152.57999999999998</v>
      </c>
      <c r="N612" s="116">
        <v>158.19999999999999</v>
      </c>
      <c r="O612" s="116">
        <v>144.6</v>
      </c>
      <c r="P612" s="116">
        <v>148</v>
      </c>
      <c r="Q612" s="116">
        <v>762.9</v>
      </c>
      <c r="R612">
        <v>11618</v>
      </c>
    </row>
    <row r="613" spans="1:18" x14ac:dyDescent="0.25">
      <c r="A613" s="170">
        <v>42928</v>
      </c>
      <c r="B613" s="116">
        <v>154.79000000000002</v>
      </c>
      <c r="C613" s="116">
        <v>151.94</v>
      </c>
      <c r="D613" s="116">
        <v>151.19999999999999</v>
      </c>
      <c r="E613" s="116">
        <v>153.19999999999999</v>
      </c>
      <c r="F613" s="116">
        <v>759.7</v>
      </c>
      <c r="G613">
        <v>460</v>
      </c>
      <c r="H613" s="116"/>
      <c r="I613" s="116"/>
      <c r="L613" s="170">
        <v>42913</v>
      </c>
      <c r="M613" s="116">
        <v>151.04000000000002</v>
      </c>
      <c r="N613" s="116">
        <v>157</v>
      </c>
      <c r="O613" s="116">
        <v>150.22999999999999</v>
      </c>
      <c r="P613" s="116">
        <v>155.24</v>
      </c>
      <c r="Q613" s="116">
        <v>755.2</v>
      </c>
      <c r="R613">
        <v>4647</v>
      </c>
    </row>
    <row r="614" spans="1:18" x14ac:dyDescent="0.25">
      <c r="A614" s="170">
        <v>42929</v>
      </c>
      <c r="B614" s="116">
        <v>155.22999999999999</v>
      </c>
      <c r="C614" s="116">
        <v>154.75</v>
      </c>
      <c r="D614" s="116">
        <v>154</v>
      </c>
      <c r="E614" s="116">
        <v>154.34</v>
      </c>
      <c r="F614" s="116">
        <v>773.75</v>
      </c>
      <c r="G614">
        <v>388</v>
      </c>
      <c r="H614" s="116"/>
      <c r="I614" s="116"/>
      <c r="L614" s="170">
        <v>42914</v>
      </c>
      <c r="M614" s="116">
        <v>150.01</v>
      </c>
      <c r="N614" s="116">
        <v>151.80000000000001</v>
      </c>
      <c r="O614" s="116">
        <v>149.6</v>
      </c>
      <c r="P614" s="116">
        <v>151.47999999999999</v>
      </c>
      <c r="Q614" s="116">
        <v>750.05</v>
      </c>
      <c r="R614">
        <v>15793</v>
      </c>
    </row>
    <row r="615" spans="1:18" x14ac:dyDescent="0.25">
      <c r="A615" s="170">
        <v>42930</v>
      </c>
      <c r="B615" s="116">
        <v>153.6</v>
      </c>
      <c r="C615" s="116">
        <v>153.6</v>
      </c>
      <c r="D615" s="116">
        <v>152.41</v>
      </c>
      <c r="E615" s="116">
        <v>152.41</v>
      </c>
      <c r="F615" s="116">
        <v>768</v>
      </c>
      <c r="G615">
        <v>166</v>
      </c>
      <c r="H615" s="116"/>
      <c r="I615" s="116"/>
      <c r="L615" s="170">
        <v>42915</v>
      </c>
      <c r="M615" s="116">
        <v>151.41</v>
      </c>
      <c r="N615" s="116">
        <v>152.80000000000001</v>
      </c>
      <c r="O615" s="116">
        <v>148.44999999999999</v>
      </c>
      <c r="P615" s="116">
        <v>148.44999999999999</v>
      </c>
      <c r="Q615" s="116">
        <v>757.05</v>
      </c>
      <c r="R615">
        <v>1725</v>
      </c>
    </row>
    <row r="616" spans="1:18" x14ac:dyDescent="0.25">
      <c r="A616" s="170">
        <v>42933</v>
      </c>
      <c r="B616" s="116">
        <v>155</v>
      </c>
      <c r="C616" s="116">
        <v>153.67000000000002</v>
      </c>
      <c r="D616" s="116">
        <v>152</v>
      </c>
      <c r="E616" s="116">
        <v>153.6</v>
      </c>
      <c r="F616" s="116">
        <v>768.35</v>
      </c>
      <c r="G616">
        <v>787</v>
      </c>
      <c r="H616" s="116"/>
      <c r="I616" s="116"/>
      <c r="L616" s="170">
        <v>42916</v>
      </c>
      <c r="M616" s="116">
        <v>151.22999999999999</v>
      </c>
      <c r="N616" s="116">
        <v>151.78</v>
      </c>
      <c r="O616" s="116">
        <v>150.47</v>
      </c>
      <c r="P616" s="116">
        <v>151.20999999999998</v>
      </c>
      <c r="Q616" s="116">
        <v>756.15</v>
      </c>
      <c r="R616">
        <v>876</v>
      </c>
    </row>
    <row r="617" spans="1:18" x14ac:dyDescent="0.25">
      <c r="A617" s="170">
        <v>42934</v>
      </c>
      <c r="B617" s="116">
        <v>153.5</v>
      </c>
      <c r="C617" s="116">
        <v>152</v>
      </c>
      <c r="D617" s="116">
        <v>151</v>
      </c>
      <c r="E617" s="116">
        <v>151</v>
      </c>
      <c r="F617" s="116">
        <v>760</v>
      </c>
      <c r="G617">
        <v>215</v>
      </c>
      <c r="H617" s="116"/>
      <c r="I617" s="116"/>
      <c r="L617" s="170">
        <v>42919</v>
      </c>
      <c r="M617" s="116">
        <v>150.57999999999998</v>
      </c>
      <c r="N617" s="116">
        <v>153.6</v>
      </c>
      <c r="O617" s="116">
        <v>145.4</v>
      </c>
      <c r="P617" s="116">
        <v>150.47</v>
      </c>
      <c r="Q617" s="116">
        <v>752.9</v>
      </c>
      <c r="R617">
        <v>6911</v>
      </c>
    </row>
    <row r="618" spans="1:18" x14ac:dyDescent="0.25">
      <c r="A618" s="170">
        <v>42935</v>
      </c>
      <c r="B618" s="116">
        <v>153.80000000000001</v>
      </c>
      <c r="C618" s="116">
        <v>152.65</v>
      </c>
      <c r="D618" s="116">
        <v>152.47999999999999</v>
      </c>
      <c r="E618" s="116">
        <v>153.14000000000001</v>
      </c>
      <c r="F618" s="116">
        <v>763.25</v>
      </c>
      <c r="G618">
        <v>151</v>
      </c>
      <c r="H618" s="116"/>
      <c r="I618" s="116"/>
      <c r="L618" s="170">
        <v>42920</v>
      </c>
      <c r="M618" s="116">
        <v>151.66</v>
      </c>
      <c r="N618" s="116">
        <v>154.95999999999998</v>
      </c>
      <c r="O618" s="116">
        <v>151.02000000000001</v>
      </c>
      <c r="P618" s="116">
        <v>151.02000000000001</v>
      </c>
      <c r="Q618" s="116">
        <v>758.3</v>
      </c>
      <c r="R618">
        <v>7792</v>
      </c>
    </row>
    <row r="619" spans="1:18" x14ac:dyDescent="0.25">
      <c r="A619" s="170">
        <v>42936</v>
      </c>
      <c r="B619" s="116">
        <v>155</v>
      </c>
      <c r="C619" s="116">
        <v>153.12</v>
      </c>
      <c r="D619" s="116">
        <v>151</v>
      </c>
      <c r="E619" s="116">
        <v>153.31</v>
      </c>
      <c r="F619" s="116">
        <v>765.6</v>
      </c>
      <c r="G619">
        <v>268</v>
      </c>
      <c r="H619" s="116"/>
      <c r="I619" s="116"/>
      <c r="L619" s="170">
        <v>42921</v>
      </c>
      <c r="M619" s="116">
        <v>150.44999999999999</v>
      </c>
      <c r="N619" s="116">
        <v>152.32999999999998</v>
      </c>
      <c r="O619" s="116">
        <v>150</v>
      </c>
      <c r="P619" s="116">
        <v>151.66</v>
      </c>
      <c r="Q619" s="116">
        <v>752.25</v>
      </c>
      <c r="R619">
        <v>5429</v>
      </c>
    </row>
    <row r="620" spans="1:18" x14ac:dyDescent="0.25">
      <c r="A620" s="170">
        <v>42937</v>
      </c>
      <c r="B620" s="116">
        <v>154.6</v>
      </c>
      <c r="C620" s="116">
        <v>152.18</v>
      </c>
      <c r="D620" s="116">
        <v>152</v>
      </c>
      <c r="E620" s="116">
        <v>154.6</v>
      </c>
      <c r="F620" s="116">
        <v>760.9</v>
      </c>
      <c r="G620">
        <v>618</v>
      </c>
      <c r="H620" s="116"/>
      <c r="I620" s="116"/>
      <c r="L620" s="170">
        <v>42922</v>
      </c>
      <c r="M620" s="116">
        <v>153.81</v>
      </c>
      <c r="N620" s="116">
        <v>154.4</v>
      </c>
      <c r="O620" s="116">
        <v>149.85999999999999</v>
      </c>
      <c r="P620" s="116">
        <v>150.45999999999998</v>
      </c>
      <c r="Q620" s="116">
        <v>769.05</v>
      </c>
      <c r="R620">
        <v>10999</v>
      </c>
    </row>
    <row r="621" spans="1:18" x14ac:dyDescent="0.25">
      <c r="A621" s="170">
        <v>42940</v>
      </c>
      <c r="B621" s="116">
        <v>152.80000000000001</v>
      </c>
      <c r="C621" s="116">
        <v>152.35</v>
      </c>
      <c r="D621" s="116">
        <v>149.42000000000002</v>
      </c>
      <c r="E621" s="116">
        <v>152.01</v>
      </c>
      <c r="F621" s="116">
        <v>761.75</v>
      </c>
      <c r="G621">
        <v>687</v>
      </c>
      <c r="H621" s="116"/>
      <c r="I621" s="116"/>
      <c r="L621" s="170">
        <v>42923</v>
      </c>
      <c r="M621" s="116">
        <v>151.93</v>
      </c>
      <c r="N621" s="116">
        <v>157.19999999999999</v>
      </c>
      <c r="O621" s="116">
        <v>149.97</v>
      </c>
      <c r="P621" s="116">
        <v>157.19999999999999</v>
      </c>
      <c r="Q621" s="116">
        <v>759.65</v>
      </c>
      <c r="R621">
        <v>7995</v>
      </c>
    </row>
    <row r="622" spans="1:18" x14ac:dyDescent="0.25">
      <c r="A622" s="170">
        <v>42941</v>
      </c>
      <c r="B622" s="116">
        <v>150.51</v>
      </c>
      <c r="C622" s="116">
        <v>147.19</v>
      </c>
      <c r="D622" s="116">
        <v>146</v>
      </c>
      <c r="E622" s="116">
        <v>150.51</v>
      </c>
      <c r="F622" s="116">
        <v>735.95</v>
      </c>
      <c r="G622">
        <v>1061</v>
      </c>
      <c r="H622" s="116"/>
      <c r="I622" s="116"/>
      <c r="L622" s="170">
        <v>42926</v>
      </c>
      <c r="M622" s="116">
        <v>153.43</v>
      </c>
      <c r="N622" s="116">
        <v>155.89000000000001</v>
      </c>
      <c r="O622" s="116">
        <v>145.05000000000001</v>
      </c>
      <c r="P622" s="116">
        <v>148.19999999999999</v>
      </c>
      <c r="Q622" s="116">
        <v>767.15</v>
      </c>
      <c r="R622">
        <v>890</v>
      </c>
    </row>
    <row r="623" spans="1:18" x14ac:dyDescent="0.25">
      <c r="A623" s="170">
        <v>42942</v>
      </c>
      <c r="B623" s="116">
        <v>153.94</v>
      </c>
      <c r="C623" s="116">
        <v>148.15</v>
      </c>
      <c r="D623" s="116">
        <v>147.19999999999999</v>
      </c>
      <c r="E623" s="116">
        <v>152.6</v>
      </c>
      <c r="F623" s="116">
        <v>740.75</v>
      </c>
      <c r="G623">
        <v>1397</v>
      </c>
      <c r="H623" s="116"/>
      <c r="I623" s="116"/>
      <c r="L623" s="170">
        <v>42927</v>
      </c>
      <c r="M623" s="116">
        <v>152.79000000000002</v>
      </c>
      <c r="N623" s="116">
        <v>156</v>
      </c>
      <c r="O623" s="116">
        <v>150.01</v>
      </c>
      <c r="P623" s="116">
        <v>155.88</v>
      </c>
      <c r="Q623" s="116">
        <v>763.95</v>
      </c>
      <c r="R623">
        <v>7144</v>
      </c>
    </row>
    <row r="624" spans="1:18" x14ac:dyDescent="0.25">
      <c r="A624" s="170">
        <v>42943</v>
      </c>
      <c r="B624" s="116">
        <v>152.6</v>
      </c>
      <c r="C624" s="116">
        <v>146.04000000000002</v>
      </c>
      <c r="D624" s="116">
        <v>144.51</v>
      </c>
      <c r="E624" s="116">
        <v>152.29000000000002</v>
      </c>
      <c r="F624" s="116">
        <v>730.2</v>
      </c>
      <c r="G624">
        <v>975</v>
      </c>
      <c r="H624" s="116"/>
      <c r="I624" s="116"/>
      <c r="L624" s="170">
        <v>42928</v>
      </c>
      <c r="M624" s="116">
        <v>152.89000000000001</v>
      </c>
      <c r="N624" s="116">
        <v>154.88</v>
      </c>
      <c r="O624" s="116">
        <v>151.06</v>
      </c>
      <c r="P624" s="116">
        <v>154.6</v>
      </c>
      <c r="Q624" s="116">
        <v>764.45</v>
      </c>
      <c r="R624">
        <v>6266</v>
      </c>
    </row>
    <row r="625" spans="1:18" x14ac:dyDescent="0.25">
      <c r="A625" s="170">
        <v>42944</v>
      </c>
      <c r="B625" s="116">
        <v>165.57999999999998</v>
      </c>
      <c r="C625" s="116">
        <v>153.35999999999999</v>
      </c>
      <c r="D625" s="116">
        <v>147.05000000000001</v>
      </c>
      <c r="E625" s="116">
        <v>147.05000000000001</v>
      </c>
      <c r="F625" s="116">
        <v>766.8</v>
      </c>
      <c r="G625">
        <v>17210</v>
      </c>
      <c r="H625" s="116"/>
      <c r="I625" s="116"/>
      <c r="L625" s="170">
        <v>42929</v>
      </c>
      <c r="M625" s="116">
        <v>154.35</v>
      </c>
      <c r="N625" s="116">
        <v>155</v>
      </c>
      <c r="O625" s="116">
        <v>152.99</v>
      </c>
      <c r="P625" s="116">
        <v>152.99</v>
      </c>
      <c r="Q625" s="116">
        <v>771.75</v>
      </c>
      <c r="R625">
        <v>5980</v>
      </c>
    </row>
    <row r="626" spans="1:18" x14ac:dyDescent="0.25">
      <c r="A626" s="170">
        <v>42947</v>
      </c>
      <c r="B626" s="116">
        <v>149.80000000000001</v>
      </c>
      <c r="C626" s="116">
        <v>147.19999999999999</v>
      </c>
      <c r="D626" s="116">
        <v>144.19999999999999</v>
      </c>
      <c r="E626" s="116">
        <v>149</v>
      </c>
      <c r="F626" s="116">
        <v>736</v>
      </c>
      <c r="G626">
        <v>4628</v>
      </c>
      <c r="H626" s="116"/>
      <c r="I626" s="116"/>
      <c r="L626" s="170">
        <v>42930</v>
      </c>
      <c r="M626" s="116">
        <v>153.39000000000001</v>
      </c>
      <c r="N626" s="116">
        <v>154.97999999999999</v>
      </c>
      <c r="O626" s="116">
        <v>150.45999999999998</v>
      </c>
      <c r="P626" s="116">
        <v>153.4</v>
      </c>
      <c r="Q626" s="116">
        <v>766.95</v>
      </c>
      <c r="R626">
        <v>1989</v>
      </c>
    </row>
    <row r="627" spans="1:18" x14ac:dyDescent="0.25">
      <c r="A627" s="170">
        <v>42948</v>
      </c>
      <c r="B627" s="116">
        <v>147.5</v>
      </c>
      <c r="C627" s="116">
        <v>144.94</v>
      </c>
      <c r="D627" s="116">
        <v>144</v>
      </c>
      <c r="E627" s="116">
        <v>146.19999999999999</v>
      </c>
      <c r="F627" s="116">
        <v>724.7</v>
      </c>
      <c r="G627">
        <v>3859</v>
      </c>
      <c r="H627" s="116"/>
      <c r="I627" s="116"/>
      <c r="L627" s="170">
        <v>42933</v>
      </c>
      <c r="M627" s="116">
        <v>154.06</v>
      </c>
      <c r="N627" s="116">
        <v>154.4</v>
      </c>
      <c r="O627" s="116">
        <v>150</v>
      </c>
      <c r="P627" s="116">
        <v>150</v>
      </c>
      <c r="Q627" s="116">
        <v>770.3</v>
      </c>
      <c r="R627">
        <v>4430</v>
      </c>
    </row>
    <row r="628" spans="1:18" x14ac:dyDescent="0.25">
      <c r="A628" s="170">
        <v>42949</v>
      </c>
      <c r="B628" s="116">
        <v>145.5</v>
      </c>
      <c r="C628" s="116">
        <v>143.38</v>
      </c>
      <c r="D628" s="116">
        <v>143.05000000000001</v>
      </c>
      <c r="E628" s="116">
        <v>144</v>
      </c>
      <c r="F628" s="116">
        <v>716.9</v>
      </c>
      <c r="G628">
        <v>538</v>
      </c>
      <c r="H628" s="116"/>
      <c r="I628" s="116"/>
      <c r="L628" s="170">
        <v>42934</v>
      </c>
      <c r="M628" s="116">
        <v>152.1</v>
      </c>
      <c r="N628" s="116">
        <v>152.80000000000001</v>
      </c>
      <c r="O628" s="116">
        <v>151</v>
      </c>
      <c r="P628" s="116">
        <v>151</v>
      </c>
      <c r="Q628" s="116">
        <v>760.5</v>
      </c>
      <c r="R628">
        <v>2300</v>
      </c>
    </row>
    <row r="629" spans="1:18" x14ac:dyDescent="0.25">
      <c r="A629" s="170">
        <v>42950</v>
      </c>
      <c r="B629" s="116">
        <v>144.6</v>
      </c>
      <c r="C629" s="116">
        <v>141.97999999999999</v>
      </c>
      <c r="D629" s="116">
        <v>141.6</v>
      </c>
      <c r="E629" s="116">
        <v>143.6</v>
      </c>
      <c r="F629" s="116">
        <v>709.9</v>
      </c>
      <c r="G629">
        <v>707</v>
      </c>
      <c r="H629" s="116"/>
      <c r="I629" s="116"/>
      <c r="L629" s="170">
        <v>42935</v>
      </c>
      <c r="M629" s="116">
        <v>153.07999999999998</v>
      </c>
      <c r="N629" s="116">
        <v>153.80000000000001</v>
      </c>
      <c r="O629" s="116">
        <v>151.84</v>
      </c>
      <c r="P629" s="116">
        <v>152.79000000000002</v>
      </c>
      <c r="Q629" s="116">
        <v>765.4</v>
      </c>
      <c r="R629">
        <v>2741</v>
      </c>
    </row>
    <row r="630" spans="1:18" x14ac:dyDescent="0.25">
      <c r="A630" s="170">
        <v>42951</v>
      </c>
      <c r="B630" s="116">
        <v>143.32999999999998</v>
      </c>
      <c r="C630" s="116">
        <v>141.16</v>
      </c>
      <c r="D630" s="116">
        <v>140.19999999999999</v>
      </c>
      <c r="E630" s="116">
        <v>143.32999999999998</v>
      </c>
      <c r="F630" s="116">
        <v>705.8</v>
      </c>
      <c r="G630">
        <v>606</v>
      </c>
      <c r="H630" s="116"/>
      <c r="I630" s="116"/>
      <c r="L630" s="170">
        <v>42936</v>
      </c>
      <c r="M630" s="116">
        <v>153.20999999999998</v>
      </c>
      <c r="N630" s="116">
        <v>154.69999999999999</v>
      </c>
      <c r="O630" s="116">
        <v>152.6</v>
      </c>
      <c r="P630" s="116">
        <v>153.45999999999998</v>
      </c>
      <c r="Q630" s="116">
        <v>766.05</v>
      </c>
      <c r="R630">
        <v>7418</v>
      </c>
    </row>
    <row r="631" spans="1:18" x14ac:dyDescent="0.25">
      <c r="A631" s="170">
        <v>42954</v>
      </c>
      <c r="B631" s="116">
        <v>142.47999999999999</v>
      </c>
      <c r="C631" s="116">
        <v>142.41</v>
      </c>
      <c r="D631" s="116">
        <v>140.38</v>
      </c>
      <c r="E631" s="116">
        <v>141.80000000000001</v>
      </c>
      <c r="F631" s="116">
        <v>712.05</v>
      </c>
      <c r="G631">
        <v>231</v>
      </c>
      <c r="H631" s="116"/>
      <c r="I631" s="116"/>
      <c r="L631" s="170">
        <v>42937</v>
      </c>
      <c r="M631" s="116">
        <v>153.16</v>
      </c>
      <c r="N631" s="116">
        <v>159.35999999999999</v>
      </c>
      <c r="O631" s="116">
        <v>152.44999999999999</v>
      </c>
      <c r="P631" s="116">
        <v>156</v>
      </c>
      <c r="Q631" s="116">
        <v>765.8</v>
      </c>
      <c r="R631">
        <v>5476</v>
      </c>
    </row>
    <row r="632" spans="1:18" x14ac:dyDescent="0.25">
      <c r="A632" s="170">
        <v>42955</v>
      </c>
      <c r="B632" s="116">
        <v>143.19999999999999</v>
      </c>
      <c r="C632" s="116">
        <v>139.35999999999999</v>
      </c>
      <c r="D632" s="116">
        <v>138.94999999999999</v>
      </c>
      <c r="E632" s="116">
        <v>143.19999999999999</v>
      </c>
      <c r="F632" s="116">
        <v>696.8</v>
      </c>
      <c r="G632">
        <v>264</v>
      </c>
      <c r="H632" s="116"/>
      <c r="I632" s="116"/>
      <c r="L632" s="170">
        <v>42940</v>
      </c>
      <c r="M632" s="116">
        <v>150.92000000000002</v>
      </c>
      <c r="N632" s="116">
        <v>157.6</v>
      </c>
      <c r="O632" s="116">
        <v>149.34</v>
      </c>
      <c r="P632" s="116">
        <v>157.6</v>
      </c>
      <c r="Q632" s="116">
        <v>754.6</v>
      </c>
      <c r="R632">
        <v>11138</v>
      </c>
    </row>
    <row r="633" spans="1:18" x14ac:dyDescent="0.25">
      <c r="A633" s="170">
        <v>42956</v>
      </c>
      <c r="B633" s="116">
        <v>141</v>
      </c>
      <c r="C633" s="116">
        <v>140.55000000000001</v>
      </c>
      <c r="D633" s="116">
        <v>136</v>
      </c>
      <c r="E633" s="116">
        <v>138</v>
      </c>
      <c r="F633" s="116">
        <v>702.75</v>
      </c>
      <c r="G633">
        <v>673</v>
      </c>
      <c r="H633" s="116"/>
      <c r="I633" s="116"/>
      <c r="L633" s="170">
        <v>42941</v>
      </c>
      <c r="M633" s="116">
        <v>147.82</v>
      </c>
      <c r="N633" s="116">
        <v>152</v>
      </c>
      <c r="O633" s="116">
        <v>144.76</v>
      </c>
      <c r="P633" s="116">
        <v>151.92000000000002</v>
      </c>
      <c r="Q633" s="116">
        <v>739.1</v>
      </c>
      <c r="R633">
        <v>16027</v>
      </c>
    </row>
    <row r="634" spans="1:18" x14ac:dyDescent="0.25">
      <c r="A634" s="170">
        <v>42957</v>
      </c>
      <c r="B634" s="116">
        <v>139.6</v>
      </c>
      <c r="C634" s="116">
        <v>135.39000000000001</v>
      </c>
      <c r="D634" s="116">
        <v>135.19999999999999</v>
      </c>
      <c r="E634" s="116">
        <v>138.04000000000002</v>
      </c>
      <c r="F634" s="116">
        <v>676.95</v>
      </c>
      <c r="G634">
        <v>1258</v>
      </c>
      <c r="H634" s="116"/>
      <c r="I634" s="116"/>
      <c r="L634" s="170">
        <v>42942</v>
      </c>
      <c r="M634" s="116">
        <v>148.1</v>
      </c>
      <c r="N634" s="116">
        <v>152.80000000000001</v>
      </c>
      <c r="O634" s="116">
        <v>147.02000000000001</v>
      </c>
      <c r="P634" s="116">
        <v>150</v>
      </c>
      <c r="Q634" s="116">
        <v>740.5</v>
      </c>
      <c r="R634">
        <v>8667</v>
      </c>
    </row>
    <row r="635" spans="1:18" x14ac:dyDescent="0.25">
      <c r="A635" s="170">
        <v>42958</v>
      </c>
      <c r="B635" s="116">
        <v>137.43</v>
      </c>
      <c r="C635" s="116">
        <v>136.68</v>
      </c>
      <c r="D635" s="116">
        <v>132.25</v>
      </c>
      <c r="E635" s="116">
        <v>132.87</v>
      </c>
      <c r="F635" s="116">
        <v>683.4</v>
      </c>
      <c r="G635">
        <v>610</v>
      </c>
      <c r="H635" s="116"/>
      <c r="I635" s="116"/>
      <c r="L635" s="170">
        <v>42943</v>
      </c>
      <c r="M635" s="116">
        <v>146.32</v>
      </c>
      <c r="N635" s="116">
        <v>150.6</v>
      </c>
      <c r="O635" s="116">
        <v>145.6</v>
      </c>
      <c r="P635" s="116">
        <v>148.19999999999999</v>
      </c>
      <c r="Q635" s="116">
        <v>731.6</v>
      </c>
      <c r="R635">
        <v>6288</v>
      </c>
    </row>
    <row r="636" spans="1:18" x14ac:dyDescent="0.25">
      <c r="A636" s="170">
        <v>42961</v>
      </c>
      <c r="B636" s="116">
        <v>140.97999999999999</v>
      </c>
      <c r="C636" s="116">
        <v>139.72999999999999</v>
      </c>
      <c r="D636" s="116">
        <v>136</v>
      </c>
      <c r="E636" s="116">
        <v>138.80000000000001</v>
      </c>
      <c r="F636" s="116">
        <v>698.65</v>
      </c>
      <c r="G636">
        <v>431</v>
      </c>
      <c r="H636" s="116"/>
      <c r="I636" s="116"/>
      <c r="L636" s="170">
        <v>42944</v>
      </c>
      <c r="M636" s="116">
        <v>153.75</v>
      </c>
      <c r="N636" s="116">
        <v>165.57</v>
      </c>
      <c r="O636" s="116">
        <v>144.51</v>
      </c>
      <c r="P636" s="116">
        <v>146</v>
      </c>
      <c r="Q636" s="116">
        <v>768.75</v>
      </c>
      <c r="R636">
        <v>61589</v>
      </c>
    </row>
    <row r="637" spans="1:18" x14ac:dyDescent="0.25">
      <c r="A637" s="170">
        <v>42963</v>
      </c>
      <c r="B637" s="116">
        <v>141.4</v>
      </c>
      <c r="C637" s="116">
        <v>139.07999999999998</v>
      </c>
      <c r="D637" s="116">
        <v>137.4</v>
      </c>
      <c r="E637" s="116">
        <v>140.02000000000001</v>
      </c>
      <c r="F637" s="116">
        <v>695.4</v>
      </c>
      <c r="G637">
        <v>732</v>
      </c>
      <c r="H637" s="116"/>
      <c r="I637" s="116"/>
      <c r="L637" s="170">
        <v>42947</v>
      </c>
      <c r="M637" s="116">
        <v>147.89000000000001</v>
      </c>
      <c r="N637" s="116">
        <v>148.99</v>
      </c>
      <c r="O637" s="116">
        <v>144.06</v>
      </c>
      <c r="P637" s="116">
        <v>148.04000000000002</v>
      </c>
      <c r="Q637" s="116">
        <v>739.45</v>
      </c>
      <c r="R637">
        <v>32880</v>
      </c>
    </row>
    <row r="638" spans="1:18" x14ac:dyDescent="0.25">
      <c r="A638" s="170">
        <v>42964</v>
      </c>
      <c r="B638" s="116">
        <v>142.6</v>
      </c>
      <c r="C638" s="116">
        <v>140.94</v>
      </c>
      <c r="D638" s="116">
        <v>136.87</v>
      </c>
      <c r="E638" s="116">
        <v>136.87</v>
      </c>
      <c r="F638" s="116">
        <v>704.7</v>
      </c>
      <c r="G638">
        <v>397</v>
      </c>
      <c r="H638" s="116"/>
      <c r="I638" s="116"/>
      <c r="L638" s="170">
        <v>42948</v>
      </c>
      <c r="M638" s="116">
        <v>144.29000000000002</v>
      </c>
      <c r="N638" s="116">
        <v>147.97</v>
      </c>
      <c r="O638" s="116">
        <v>143.19999999999999</v>
      </c>
      <c r="P638" s="116">
        <v>147</v>
      </c>
      <c r="Q638" s="116">
        <v>721.45</v>
      </c>
      <c r="R638">
        <v>11013</v>
      </c>
    </row>
    <row r="639" spans="1:18" x14ac:dyDescent="0.25">
      <c r="A639" s="170">
        <v>42965</v>
      </c>
      <c r="B639" s="116">
        <v>140.54000000000002</v>
      </c>
      <c r="C639" s="116">
        <v>139.57999999999998</v>
      </c>
      <c r="D639" s="116">
        <v>138.27000000000001</v>
      </c>
      <c r="E639" s="116">
        <v>139.26</v>
      </c>
      <c r="F639" s="116">
        <v>697.9</v>
      </c>
      <c r="G639">
        <v>533</v>
      </c>
      <c r="H639" s="116"/>
      <c r="I639" s="116"/>
      <c r="L639" s="170">
        <v>42949</v>
      </c>
      <c r="M639" s="116">
        <v>143.78</v>
      </c>
      <c r="N639" s="116">
        <v>145.80000000000001</v>
      </c>
      <c r="O639" s="116">
        <v>143.44</v>
      </c>
      <c r="P639" s="116">
        <v>144.6</v>
      </c>
      <c r="Q639" s="116">
        <v>718.9</v>
      </c>
      <c r="R639">
        <v>7039</v>
      </c>
    </row>
    <row r="640" spans="1:18" x14ac:dyDescent="0.25">
      <c r="A640" s="170">
        <v>42968</v>
      </c>
      <c r="B640" s="116">
        <v>139.72</v>
      </c>
      <c r="C640" s="116">
        <v>138</v>
      </c>
      <c r="D640" s="116">
        <v>137.6</v>
      </c>
      <c r="E640" s="116">
        <v>139.67000000000002</v>
      </c>
      <c r="F640" s="116">
        <v>690</v>
      </c>
      <c r="G640">
        <v>412</v>
      </c>
      <c r="H640" s="116"/>
      <c r="I640" s="116"/>
      <c r="L640" s="170">
        <v>42950</v>
      </c>
      <c r="M640" s="116">
        <v>141.94</v>
      </c>
      <c r="N640" s="116">
        <v>145.20999999999998</v>
      </c>
      <c r="O640" s="116">
        <v>141</v>
      </c>
      <c r="P640" s="116">
        <v>145.20999999999998</v>
      </c>
      <c r="Q640" s="116">
        <v>709.7</v>
      </c>
      <c r="R640">
        <v>2610</v>
      </c>
    </row>
    <row r="641" spans="1:18" x14ac:dyDescent="0.25">
      <c r="A641" s="170">
        <v>42969</v>
      </c>
      <c r="B641" s="116">
        <v>138.81</v>
      </c>
      <c r="C641" s="116">
        <v>138.6</v>
      </c>
      <c r="D641" s="116">
        <v>137.6</v>
      </c>
      <c r="E641" s="116">
        <v>138</v>
      </c>
      <c r="F641" s="116">
        <v>693</v>
      </c>
      <c r="G641">
        <v>74</v>
      </c>
      <c r="H641" s="116"/>
      <c r="I641" s="116"/>
      <c r="L641" s="170">
        <v>42951</v>
      </c>
      <c r="M641" s="116">
        <v>140.55000000000001</v>
      </c>
      <c r="N641" s="116">
        <v>143</v>
      </c>
      <c r="O641" s="116">
        <v>140.19999999999999</v>
      </c>
      <c r="P641" s="116">
        <v>143</v>
      </c>
      <c r="Q641" s="116">
        <v>702.75</v>
      </c>
      <c r="R641">
        <v>2325</v>
      </c>
    </row>
    <row r="642" spans="1:18" x14ac:dyDescent="0.25">
      <c r="A642" s="170">
        <v>42970</v>
      </c>
      <c r="B642" s="116">
        <v>137.74</v>
      </c>
      <c r="C642" s="116">
        <v>131.95999999999998</v>
      </c>
      <c r="D642" s="116">
        <v>130</v>
      </c>
      <c r="E642" s="116">
        <v>136.1</v>
      </c>
      <c r="F642" s="116">
        <v>659.8</v>
      </c>
      <c r="G642">
        <v>1038</v>
      </c>
      <c r="H642" s="116"/>
      <c r="I642" s="116"/>
      <c r="L642" s="170">
        <v>42954</v>
      </c>
      <c r="M642" s="116">
        <v>142.10999999999999</v>
      </c>
      <c r="N642" s="116">
        <v>148.97999999999999</v>
      </c>
      <c r="O642" s="116">
        <v>139.02000000000001</v>
      </c>
      <c r="P642" s="116">
        <v>144.6</v>
      </c>
      <c r="Q642" s="116">
        <v>710.55</v>
      </c>
      <c r="R642">
        <v>4115</v>
      </c>
    </row>
    <row r="643" spans="1:18" x14ac:dyDescent="0.25">
      <c r="A643" s="170">
        <v>42971</v>
      </c>
      <c r="B643" s="116">
        <v>136</v>
      </c>
      <c r="C643" s="116">
        <v>134.10999999999999</v>
      </c>
      <c r="D643" s="116">
        <v>130.88</v>
      </c>
      <c r="E643" s="116">
        <v>130.88</v>
      </c>
      <c r="F643" s="116">
        <v>670.55</v>
      </c>
      <c r="G643">
        <v>471</v>
      </c>
      <c r="H643" s="116"/>
      <c r="I643" s="116"/>
      <c r="L643" s="170">
        <v>42955</v>
      </c>
      <c r="M643" s="116">
        <v>139.82999999999998</v>
      </c>
      <c r="N643" s="116">
        <v>142</v>
      </c>
      <c r="O643" s="116">
        <v>139.02000000000001</v>
      </c>
      <c r="P643" s="116">
        <v>141</v>
      </c>
      <c r="Q643" s="116">
        <v>699.15</v>
      </c>
      <c r="R643">
        <v>1567</v>
      </c>
    </row>
    <row r="644" spans="1:18" x14ac:dyDescent="0.25">
      <c r="A644" s="170">
        <v>42975</v>
      </c>
      <c r="B644" s="116">
        <v>137</v>
      </c>
      <c r="C644" s="116">
        <v>135.28</v>
      </c>
      <c r="D644" s="116">
        <v>134</v>
      </c>
      <c r="E644" s="116">
        <v>135</v>
      </c>
      <c r="F644" s="116">
        <v>676.4</v>
      </c>
      <c r="G644">
        <v>781</v>
      </c>
      <c r="H644" s="116"/>
      <c r="I644" s="116"/>
      <c r="L644" s="170">
        <v>42956</v>
      </c>
      <c r="M644" s="116">
        <v>138.82</v>
      </c>
      <c r="N644" s="116">
        <v>143.4</v>
      </c>
      <c r="O644" s="116">
        <v>135.17000000000002</v>
      </c>
      <c r="P644" s="116">
        <v>143.4</v>
      </c>
      <c r="Q644" s="116">
        <v>694.1</v>
      </c>
      <c r="R644">
        <v>2952</v>
      </c>
    </row>
    <row r="645" spans="1:18" x14ac:dyDescent="0.25">
      <c r="A645" s="170">
        <v>42976</v>
      </c>
      <c r="B645" s="116">
        <v>138.78</v>
      </c>
      <c r="C645" s="116">
        <v>136.82999999999998</v>
      </c>
      <c r="D645" s="116">
        <v>134</v>
      </c>
      <c r="E645" s="116">
        <v>136.29000000000002</v>
      </c>
      <c r="F645" s="116">
        <v>684.15</v>
      </c>
      <c r="G645">
        <v>1065</v>
      </c>
      <c r="H645" s="116"/>
      <c r="I645" s="116"/>
      <c r="L645" s="170">
        <v>42957</v>
      </c>
      <c r="M645" s="116">
        <v>136.72</v>
      </c>
      <c r="N645" s="116">
        <v>140.22</v>
      </c>
      <c r="O645" s="116">
        <v>135</v>
      </c>
      <c r="P645" s="116">
        <v>138.6</v>
      </c>
      <c r="Q645" s="116">
        <v>683.6</v>
      </c>
      <c r="R645">
        <v>6853</v>
      </c>
    </row>
    <row r="646" spans="1:18" x14ac:dyDescent="0.25">
      <c r="A646" s="170">
        <v>42977</v>
      </c>
      <c r="B646" s="116">
        <v>139.6</v>
      </c>
      <c r="C646" s="116">
        <v>139.59</v>
      </c>
      <c r="D646" s="116">
        <v>137.80000000000001</v>
      </c>
      <c r="E646" s="116">
        <v>138.79000000000002</v>
      </c>
      <c r="F646" s="116">
        <v>697.95</v>
      </c>
      <c r="G646">
        <v>206</v>
      </c>
      <c r="H646" s="116"/>
      <c r="I646" s="116"/>
      <c r="L646" s="170">
        <v>42958</v>
      </c>
      <c r="M646" s="116">
        <v>137.89000000000001</v>
      </c>
      <c r="N646" s="116">
        <v>138.80000000000001</v>
      </c>
      <c r="O646" s="116">
        <v>128.44999999999999</v>
      </c>
      <c r="P646" s="116">
        <v>128.44999999999999</v>
      </c>
      <c r="Q646" s="116">
        <v>689.45</v>
      </c>
      <c r="R646">
        <v>4928</v>
      </c>
    </row>
    <row r="647" spans="1:18" x14ac:dyDescent="0.25">
      <c r="A647" s="170">
        <v>42978</v>
      </c>
      <c r="B647" s="116">
        <v>139.78</v>
      </c>
      <c r="C647" s="116">
        <v>137.6</v>
      </c>
      <c r="D647" s="116">
        <v>137.4</v>
      </c>
      <c r="E647" s="116">
        <v>139</v>
      </c>
      <c r="F647" s="116">
        <v>688</v>
      </c>
      <c r="G647">
        <v>360</v>
      </c>
      <c r="H647" s="116"/>
      <c r="I647" s="116"/>
      <c r="L647" s="170">
        <v>42961</v>
      </c>
      <c r="M647" s="116">
        <v>140.60999999999999</v>
      </c>
      <c r="N647" s="116">
        <v>144.6</v>
      </c>
      <c r="O647" s="116">
        <v>135.80000000000001</v>
      </c>
      <c r="P647" s="116">
        <v>144.6</v>
      </c>
      <c r="Q647" s="116">
        <v>703.05</v>
      </c>
      <c r="R647">
        <v>2897</v>
      </c>
    </row>
    <row r="648" spans="1:18" x14ac:dyDescent="0.25">
      <c r="A648" s="170">
        <v>42979</v>
      </c>
      <c r="B648" s="116">
        <v>141</v>
      </c>
      <c r="C648" s="116">
        <v>140.95999999999998</v>
      </c>
      <c r="D648" s="116">
        <v>140.4</v>
      </c>
      <c r="E648" s="116">
        <v>140.4</v>
      </c>
      <c r="F648" s="116">
        <v>704.8</v>
      </c>
      <c r="G648">
        <v>28</v>
      </c>
      <c r="H648" s="116"/>
      <c r="I648" s="116"/>
      <c r="L648" s="170">
        <v>42963</v>
      </c>
      <c r="M648" s="116">
        <v>140.12</v>
      </c>
      <c r="N648" s="116">
        <v>141.94999999999999</v>
      </c>
      <c r="O648" s="116">
        <v>139</v>
      </c>
      <c r="P648" s="116">
        <v>140.88</v>
      </c>
      <c r="Q648" s="116">
        <v>700.6</v>
      </c>
      <c r="R648">
        <v>1773</v>
      </c>
    </row>
    <row r="649" spans="1:18" x14ac:dyDescent="0.25">
      <c r="A649" s="170">
        <v>42982</v>
      </c>
      <c r="B649" s="116">
        <v>141</v>
      </c>
      <c r="C649" s="116">
        <v>140.05000000000001</v>
      </c>
      <c r="D649" s="116">
        <v>140.05000000000001</v>
      </c>
      <c r="E649" s="116">
        <v>141</v>
      </c>
      <c r="F649" s="116">
        <v>700.25</v>
      </c>
      <c r="G649">
        <v>550</v>
      </c>
      <c r="H649" s="116"/>
      <c r="I649" s="116"/>
      <c r="L649" s="170">
        <v>42964</v>
      </c>
      <c r="M649" s="116">
        <v>140.87</v>
      </c>
      <c r="N649" s="116">
        <v>142.78</v>
      </c>
      <c r="O649" s="116">
        <v>138.6</v>
      </c>
      <c r="P649" s="116">
        <v>138.6</v>
      </c>
      <c r="Q649" s="116">
        <v>704.35</v>
      </c>
      <c r="R649">
        <v>1907</v>
      </c>
    </row>
    <row r="650" spans="1:18" x14ac:dyDescent="0.25">
      <c r="A650" s="170">
        <v>42983</v>
      </c>
      <c r="B650" s="116">
        <v>143.28</v>
      </c>
      <c r="C650" s="116">
        <v>142.84</v>
      </c>
      <c r="D650" s="116">
        <v>138.55000000000001</v>
      </c>
      <c r="E650" s="116">
        <v>138.55000000000001</v>
      </c>
      <c r="F650" s="116">
        <v>714.2</v>
      </c>
      <c r="G650">
        <v>1401</v>
      </c>
      <c r="H650" s="116"/>
      <c r="I650" s="116"/>
      <c r="L650" s="170">
        <v>42965</v>
      </c>
      <c r="M650" s="116">
        <v>138.54000000000002</v>
      </c>
      <c r="N650" s="116">
        <v>140.80000000000001</v>
      </c>
      <c r="O650" s="116">
        <v>138</v>
      </c>
      <c r="P650" s="116">
        <v>138.19999999999999</v>
      </c>
      <c r="Q650" s="116">
        <v>692.7</v>
      </c>
      <c r="R650">
        <v>1909</v>
      </c>
    </row>
    <row r="651" spans="1:18" x14ac:dyDescent="0.25">
      <c r="A651" s="170">
        <v>42984</v>
      </c>
      <c r="B651" s="116">
        <v>142.4</v>
      </c>
      <c r="C651" s="116">
        <v>140.4</v>
      </c>
      <c r="D651" s="116">
        <v>140.4</v>
      </c>
      <c r="E651" s="116">
        <v>142.34</v>
      </c>
      <c r="F651" s="116">
        <v>702</v>
      </c>
      <c r="G651">
        <v>54</v>
      </c>
      <c r="H651" s="116"/>
      <c r="I651" s="116"/>
      <c r="L651" s="170">
        <v>42968</v>
      </c>
      <c r="M651" s="116">
        <v>137.69999999999999</v>
      </c>
      <c r="N651" s="116">
        <v>139.79000000000002</v>
      </c>
      <c r="O651" s="116">
        <v>137</v>
      </c>
      <c r="P651" s="116">
        <v>138.25</v>
      </c>
      <c r="Q651" s="116">
        <v>688.5</v>
      </c>
      <c r="R651">
        <v>3027</v>
      </c>
    </row>
    <row r="652" spans="1:18" x14ac:dyDescent="0.25">
      <c r="A652" s="170">
        <v>42985</v>
      </c>
      <c r="B652" s="116">
        <v>144.87</v>
      </c>
      <c r="C652" s="116">
        <v>140.81</v>
      </c>
      <c r="D652" s="116">
        <v>140.47999999999999</v>
      </c>
      <c r="E652" s="116">
        <v>141</v>
      </c>
      <c r="F652" s="116">
        <v>704.05</v>
      </c>
      <c r="G652">
        <v>181</v>
      </c>
      <c r="H652" s="116"/>
      <c r="I652" s="116"/>
      <c r="L652" s="170">
        <v>42969</v>
      </c>
      <c r="M652" s="116">
        <v>136.1</v>
      </c>
      <c r="N652" s="116">
        <v>138.4</v>
      </c>
      <c r="O652" s="116">
        <v>136</v>
      </c>
      <c r="P652" s="116">
        <v>138</v>
      </c>
      <c r="Q652" s="116">
        <v>680.5</v>
      </c>
      <c r="R652">
        <v>1167</v>
      </c>
    </row>
    <row r="653" spans="1:18" x14ac:dyDescent="0.25">
      <c r="A653" s="170">
        <v>42986</v>
      </c>
      <c r="B653" s="116">
        <v>144.6</v>
      </c>
      <c r="C653" s="116">
        <v>144.45999999999998</v>
      </c>
      <c r="D653" s="116">
        <v>139.6</v>
      </c>
      <c r="E653" s="116">
        <v>139.6</v>
      </c>
      <c r="F653" s="116">
        <v>722.3</v>
      </c>
      <c r="G653">
        <v>574</v>
      </c>
      <c r="H653" s="116"/>
      <c r="I653" s="116"/>
      <c r="L653" s="170">
        <v>42970</v>
      </c>
      <c r="M653" s="116">
        <v>131.13</v>
      </c>
      <c r="N653" s="116">
        <v>137.6</v>
      </c>
      <c r="O653" s="116">
        <v>130.19999999999999</v>
      </c>
      <c r="P653" s="116">
        <v>137.59</v>
      </c>
      <c r="Q653" s="116">
        <v>655.65</v>
      </c>
      <c r="R653">
        <v>13908</v>
      </c>
    </row>
    <row r="654" spans="1:18" x14ac:dyDescent="0.25">
      <c r="A654" s="170">
        <v>42989</v>
      </c>
      <c r="B654" s="116">
        <v>144</v>
      </c>
      <c r="C654" s="116">
        <v>143.82</v>
      </c>
      <c r="D654" s="116">
        <v>142</v>
      </c>
      <c r="E654" s="116">
        <v>144</v>
      </c>
      <c r="F654" s="116">
        <v>719.1</v>
      </c>
      <c r="G654">
        <v>46</v>
      </c>
      <c r="H654" s="116"/>
      <c r="I654" s="116"/>
      <c r="L654" s="170">
        <v>42971</v>
      </c>
      <c r="M654" s="116">
        <v>136.18</v>
      </c>
      <c r="N654" s="116">
        <v>137.57999999999998</v>
      </c>
      <c r="O654" s="116">
        <v>129.85</v>
      </c>
      <c r="P654" s="116">
        <v>132.02000000000001</v>
      </c>
      <c r="Q654" s="116">
        <v>680.9</v>
      </c>
      <c r="R654">
        <v>2385</v>
      </c>
    </row>
    <row r="655" spans="1:18" x14ac:dyDescent="0.25">
      <c r="A655" s="170">
        <v>42990</v>
      </c>
      <c r="B655" s="116">
        <v>147.80000000000001</v>
      </c>
      <c r="C655" s="116">
        <v>147.01</v>
      </c>
      <c r="D655" s="116">
        <v>143.44999999999999</v>
      </c>
      <c r="E655" s="116">
        <v>143.94</v>
      </c>
      <c r="F655" s="116">
        <v>735.05</v>
      </c>
      <c r="G655">
        <v>790</v>
      </c>
      <c r="H655" s="116"/>
      <c r="I655" s="116"/>
      <c r="L655" s="170">
        <v>42975</v>
      </c>
      <c r="M655" s="116">
        <v>138.37</v>
      </c>
      <c r="N655" s="116">
        <v>141.80000000000001</v>
      </c>
      <c r="O655" s="116">
        <v>134.45999999999998</v>
      </c>
      <c r="P655" s="116">
        <v>135.4</v>
      </c>
      <c r="Q655" s="116">
        <v>691.85</v>
      </c>
      <c r="R655">
        <v>1139</v>
      </c>
    </row>
    <row r="656" spans="1:18" x14ac:dyDescent="0.25">
      <c r="A656" s="170">
        <v>42991</v>
      </c>
      <c r="B656" s="116">
        <v>147.4</v>
      </c>
      <c r="C656" s="116">
        <v>142.19999999999999</v>
      </c>
      <c r="D656" s="116">
        <v>142.19999999999999</v>
      </c>
      <c r="E656" s="116">
        <v>147</v>
      </c>
      <c r="F656" s="116">
        <v>711</v>
      </c>
      <c r="G656">
        <v>205</v>
      </c>
      <c r="H656" s="116"/>
      <c r="I656" s="116"/>
      <c r="L656" s="170">
        <v>42976</v>
      </c>
      <c r="M656" s="116">
        <v>136.82</v>
      </c>
      <c r="N656" s="116">
        <v>138.1</v>
      </c>
      <c r="O656" s="116">
        <v>135</v>
      </c>
      <c r="P656" s="116">
        <v>136.78</v>
      </c>
      <c r="Q656" s="116">
        <v>684.1</v>
      </c>
      <c r="R656">
        <v>889</v>
      </c>
    </row>
    <row r="657" spans="1:18" x14ac:dyDescent="0.25">
      <c r="A657" s="170">
        <v>42992</v>
      </c>
      <c r="B657" s="116">
        <v>148.99</v>
      </c>
      <c r="C657" s="116">
        <v>148.99</v>
      </c>
      <c r="D657" s="116">
        <v>146.19999999999999</v>
      </c>
      <c r="E657" s="116">
        <v>147.35</v>
      </c>
      <c r="F657" s="116">
        <v>744.95</v>
      </c>
      <c r="G657">
        <v>1326</v>
      </c>
      <c r="H657" s="116"/>
      <c r="I657" s="116"/>
      <c r="L657" s="170">
        <v>42977</v>
      </c>
      <c r="M657" s="116">
        <v>140.06</v>
      </c>
      <c r="N657" s="116">
        <v>141.4</v>
      </c>
      <c r="O657" s="116">
        <v>136.80000000000001</v>
      </c>
      <c r="P657" s="116">
        <v>136.80000000000001</v>
      </c>
      <c r="Q657" s="116">
        <v>700.3</v>
      </c>
      <c r="R657">
        <v>1250</v>
      </c>
    </row>
    <row r="658" spans="1:18" x14ac:dyDescent="0.25">
      <c r="A658" s="170">
        <v>42993</v>
      </c>
      <c r="B658" s="116">
        <v>145.6</v>
      </c>
      <c r="C658" s="116">
        <v>145.22</v>
      </c>
      <c r="D658" s="116">
        <v>145.19999999999999</v>
      </c>
      <c r="E658" s="116">
        <v>145.6</v>
      </c>
      <c r="F658" s="116">
        <v>726.1</v>
      </c>
      <c r="G658">
        <v>88</v>
      </c>
      <c r="H658" s="116"/>
      <c r="I658" s="116"/>
      <c r="L658" s="170">
        <v>42978</v>
      </c>
      <c r="M658" s="116">
        <v>139.22</v>
      </c>
      <c r="N658" s="116">
        <v>141.80000000000001</v>
      </c>
      <c r="O658" s="116">
        <v>137</v>
      </c>
      <c r="P658" s="116">
        <v>137</v>
      </c>
      <c r="Q658" s="116">
        <v>696.1</v>
      </c>
      <c r="R658">
        <v>914</v>
      </c>
    </row>
    <row r="659" spans="1:18" x14ac:dyDescent="0.25">
      <c r="A659" s="170">
        <v>42996</v>
      </c>
      <c r="B659" s="116">
        <v>150.80000000000001</v>
      </c>
      <c r="C659" s="116">
        <v>150.19999999999999</v>
      </c>
      <c r="D659" s="116">
        <v>145.41</v>
      </c>
      <c r="E659" s="116">
        <v>146</v>
      </c>
      <c r="F659" s="116">
        <v>751</v>
      </c>
      <c r="G659">
        <v>1190</v>
      </c>
      <c r="H659" s="116"/>
      <c r="I659" s="116"/>
      <c r="L659" s="170">
        <v>42979</v>
      </c>
      <c r="M659" s="116">
        <v>141.10999999999999</v>
      </c>
      <c r="N659" s="116">
        <v>141.81</v>
      </c>
      <c r="O659" s="116">
        <v>139.05000000000001</v>
      </c>
      <c r="P659" s="116">
        <v>139.99</v>
      </c>
      <c r="Q659" s="116">
        <v>705.55</v>
      </c>
      <c r="R659">
        <v>1900</v>
      </c>
    </row>
    <row r="660" spans="1:18" x14ac:dyDescent="0.25">
      <c r="A660" s="170">
        <v>42997</v>
      </c>
      <c r="B660" s="116">
        <v>151.69999999999999</v>
      </c>
      <c r="C660" s="116">
        <v>148.09</v>
      </c>
      <c r="D660" s="116">
        <v>147.80000000000001</v>
      </c>
      <c r="E660" s="116">
        <v>151.69999999999999</v>
      </c>
      <c r="F660" s="116">
        <v>740.45</v>
      </c>
      <c r="G660">
        <v>233</v>
      </c>
      <c r="H660" s="116"/>
      <c r="I660" s="116"/>
      <c r="L660" s="170">
        <v>42982</v>
      </c>
      <c r="M660" s="116">
        <v>139.93</v>
      </c>
      <c r="N660" s="116">
        <v>141.4</v>
      </c>
      <c r="O660" s="116">
        <v>139.19999999999999</v>
      </c>
      <c r="P660" s="116">
        <v>140.31</v>
      </c>
      <c r="Q660" s="116">
        <v>699.65</v>
      </c>
      <c r="R660">
        <v>2776</v>
      </c>
    </row>
    <row r="661" spans="1:18" x14ac:dyDescent="0.25">
      <c r="A661" s="170">
        <v>42998</v>
      </c>
      <c r="B661" s="116">
        <v>150</v>
      </c>
      <c r="C661" s="116">
        <v>149.99</v>
      </c>
      <c r="D661" s="116">
        <v>149</v>
      </c>
      <c r="E661" s="116">
        <v>150</v>
      </c>
      <c r="F661" s="116">
        <v>749.95</v>
      </c>
      <c r="G661">
        <v>283</v>
      </c>
      <c r="H661" s="116"/>
      <c r="I661" s="116"/>
      <c r="L661" s="170">
        <v>42983</v>
      </c>
      <c r="M661" s="116">
        <v>141.35</v>
      </c>
      <c r="N661" s="116">
        <v>143.6</v>
      </c>
      <c r="O661" s="116">
        <v>136.65</v>
      </c>
      <c r="P661" s="116">
        <v>136.65</v>
      </c>
      <c r="Q661" s="116">
        <v>706.75</v>
      </c>
      <c r="R661">
        <v>1605</v>
      </c>
    </row>
    <row r="662" spans="1:18" x14ac:dyDescent="0.25">
      <c r="A662" s="170">
        <v>42999</v>
      </c>
      <c r="B662" s="116">
        <v>149</v>
      </c>
      <c r="C662" s="116">
        <v>147.06</v>
      </c>
      <c r="D662" s="116">
        <v>146.05000000000001</v>
      </c>
      <c r="E662" s="116">
        <v>149</v>
      </c>
      <c r="F662" s="116">
        <v>735.3</v>
      </c>
      <c r="G662">
        <v>591</v>
      </c>
      <c r="H662" s="116"/>
      <c r="I662" s="116"/>
      <c r="L662" s="170">
        <v>42984</v>
      </c>
      <c r="M662" s="116">
        <v>142.59</v>
      </c>
      <c r="N662" s="116">
        <v>142.97999999999999</v>
      </c>
      <c r="O662" s="116">
        <v>138.85</v>
      </c>
      <c r="P662" s="116">
        <v>138.85999999999999</v>
      </c>
      <c r="Q662" s="116">
        <v>712.95</v>
      </c>
      <c r="R662">
        <v>1731</v>
      </c>
    </row>
    <row r="663" spans="1:18" x14ac:dyDescent="0.25">
      <c r="A663" s="170">
        <v>43000</v>
      </c>
      <c r="B663" s="116">
        <v>147.99</v>
      </c>
      <c r="C663" s="116">
        <v>144.32999999999998</v>
      </c>
      <c r="D663" s="116">
        <v>144.12</v>
      </c>
      <c r="E663" s="116">
        <v>144.92000000000002</v>
      </c>
      <c r="F663" s="116">
        <v>721.65</v>
      </c>
      <c r="G663">
        <v>206</v>
      </c>
      <c r="H663" s="116"/>
      <c r="I663" s="116"/>
      <c r="L663" s="170">
        <v>42985</v>
      </c>
      <c r="M663" s="116">
        <v>141.97999999999999</v>
      </c>
      <c r="N663" s="116">
        <v>142.80000000000001</v>
      </c>
      <c r="O663" s="116">
        <v>141.80000000000001</v>
      </c>
      <c r="P663" s="116">
        <v>142.19</v>
      </c>
      <c r="Q663" s="116">
        <v>709.9</v>
      </c>
      <c r="R663">
        <v>1129</v>
      </c>
    </row>
    <row r="664" spans="1:18" x14ac:dyDescent="0.25">
      <c r="A664" s="170">
        <v>43003</v>
      </c>
      <c r="B664" s="116">
        <v>145.6</v>
      </c>
      <c r="C664" s="116">
        <v>145.59</v>
      </c>
      <c r="D664" s="116">
        <v>142.1</v>
      </c>
      <c r="E664" s="116">
        <v>145.6</v>
      </c>
      <c r="F664" s="116">
        <v>727.95</v>
      </c>
      <c r="G664">
        <v>5009</v>
      </c>
      <c r="H664" s="116"/>
      <c r="I664" s="116"/>
      <c r="L664" s="170">
        <v>42986</v>
      </c>
      <c r="M664" s="116">
        <v>142.44999999999999</v>
      </c>
      <c r="N664" s="116">
        <v>145</v>
      </c>
      <c r="O664" s="116">
        <v>138.62</v>
      </c>
      <c r="P664" s="116">
        <v>138.62</v>
      </c>
      <c r="Q664" s="116">
        <v>712.25</v>
      </c>
      <c r="R664">
        <v>1252</v>
      </c>
    </row>
    <row r="665" spans="1:18" x14ac:dyDescent="0.25">
      <c r="A665" s="170">
        <v>43004</v>
      </c>
      <c r="B665" s="116">
        <v>149</v>
      </c>
      <c r="C665" s="116">
        <v>147.42000000000002</v>
      </c>
      <c r="D665" s="116">
        <v>145.42000000000002</v>
      </c>
      <c r="E665" s="116">
        <v>148.1</v>
      </c>
      <c r="F665" s="116">
        <v>737.1</v>
      </c>
      <c r="G665">
        <v>1038</v>
      </c>
      <c r="H665" s="116"/>
      <c r="I665" s="116"/>
      <c r="L665" s="170">
        <v>42989</v>
      </c>
      <c r="M665" s="116">
        <v>142.55000000000001</v>
      </c>
      <c r="N665" s="116">
        <v>144.47999999999999</v>
      </c>
      <c r="O665" s="116">
        <v>141.44999999999999</v>
      </c>
      <c r="P665" s="116">
        <v>142.22</v>
      </c>
      <c r="Q665" s="116">
        <v>712.75</v>
      </c>
      <c r="R665">
        <v>2557</v>
      </c>
    </row>
    <row r="666" spans="1:18" x14ac:dyDescent="0.25">
      <c r="A666" s="170">
        <v>43005</v>
      </c>
      <c r="B666" s="116">
        <v>147</v>
      </c>
      <c r="C666" s="116">
        <v>146.05000000000001</v>
      </c>
      <c r="D666" s="116">
        <v>146.05000000000001</v>
      </c>
      <c r="E666" s="116">
        <v>147</v>
      </c>
      <c r="F666" s="116">
        <v>730.25</v>
      </c>
      <c r="G666">
        <v>175</v>
      </c>
      <c r="H666" s="116"/>
      <c r="I666" s="116"/>
      <c r="L666" s="170">
        <v>42990</v>
      </c>
      <c r="M666" s="116">
        <v>145.97</v>
      </c>
      <c r="N666" s="116">
        <v>149</v>
      </c>
      <c r="O666" s="116">
        <v>142.1</v>
      </c>
      <c r="P666" s="116">
        <v>144</v>
      </c>
      <c r="Q666" s="116">
        <v>729.85</v>
      </c>
      <c r="R666">
        <v>9041</v>
      </c>
    </row>
    <row r="667" spans="1:18" x14ac:dyDescent="0.25">
      <c r="A667" s="170">
        <v>43006</v>
      </c>
      <c r="B667" s="116">
        <v>147.52000000000001</v>
      </c>
      <c r="C667" s="116">
        <v>147.52000000000001</v>
      </c>
      <c r="D667" s="116">
        <v>145.25</v>
      </c>
      <c r="E667" s="116">
        <v>146</v>
      </c>
      <c r="F667" s="116">
        <v>737.6</v>
      </c>
      <c r="G667">
        <v>17</v>
      </c>
      <c r="H667" s="116"/>
      <c r="I667" s="116"/>
      <c r="L667" s="170">
        <v>42991</v>
      </c>
      <c r="M667" s="116">
        <v>144.85999999999999</v>
      </c>
      <c r="N667" s="116">
        <v>148.59</v>
      </c>
      <c r="O667" s="116">
        <v>143.05000000000001</v>
      </c>
      <c r="P667" s="116">
        <v>145</v>
      </c>
      <c r="Q667" s="116">
        <v>724.3</v>
      </c>
      <c r="R667">
        <v>2051</v>
      </c>
    </row>
    <row r="668" spans="1:18" x14ac:dyDescent="0.25">
      <c r="A668" s="170">
        <v>43007</v>
      </c>
      <c r="B668" s="116">
        <v>148.79000000000002</v>
      </c>
      <c r="C668" s="116">
        <v>146.03</v>
      </c>
      <c r="D668" s="116">
        <v>146</v>
      </c>
      <c r="E668" s="116">
        <v>148.79000000000002</v>
      </c>
      <c r="F668" s="116">
        <v>730.15</v>
      </c>
      <c r="G668">
        <v>97</v>
      </c>
      <c r="H668" s="116"/>
      <c r="I668" s="116"/>
      <c r="L668" s="170">
        <v>42992</v>
      </c>
      <c r="M668" s="116">
        <v>147.56</v>
      </c>
      <c r="N668" s="116">
        <v>148.80000000000001</v>
      </c>
      <c r="O668" s="116">
        <v>144.5</v>
      </c>
      <c r="P668" s="116">
        <v>147.6</v>
      </c>
      <c r="Q668" s="116">
        <v>737.8</v>
      </c>
      <c r="R668">
        <v>4239</v>
      </c>
    </row>
    <row r="669" spans="1:18" x14ac:dyDescent="0.25">
      <c r="A669" s="170">
        <v>43011</v>
      </c>
      <c r="B669" s="116">
        <v>147.97999999999999</v>
      </c>
      <c r="C669" s="116">
        <v>144.42000000000002</v>
      </c>
      <c r="D669" s="116">
        <v>144.24</v>
      </c>
      <c r="E669" s="116">
        <v>146.6</v>
      </c>
      <c r="F669" s="116">
        <v>722.1</v>
      </c>
      <c r="G669">
        <v>1359</v>
      </c>
      <c r="H669" s="116"/>
      <c r="I669" s="116"/>
      <c r="L669" s="170">
        <v>42993</v>
      </c>
      <c r="M669" s="116">
        <v>146</v>
      </c>
      <c r="N669" s="116">
        <v>149</v>
      </c>
      <c r="O669" s="116">
        <v>145.44999999999999</v>
      </c>
      <c r="P669" s="116">
        <v>147.52000000000001</v>
      </c>
      <c r="Q669" s="116">
        <v>730</v>
      </c>
      <c r="R669">
        <v>494</v>
      </c>
    </row>
    <row r="670" spans="1:18" x14ac:dyDescent="0.25">
      <c r="A670" s="170">
        <v>43012</v>
      </c>
      <c r="B670" s="116">
        <v>147.9</v>
      </c>
      <c r="C670" s="116">
        <v>147.9</v>
      </c>
      <c r="D670" s="116">
        <v>145.19999999999999</v>
      </c>
      <c r="E670" s="116">
        <v>145.19999999999999</v>
      </c>
      <c r="F670" s="116">
        <v>739.5</v>
      </c>
      <c r="G670">
        <v>284</v>
      </c>
      <c r="H670" s="116"/>
      <c r="I670" s="116"/>
      <c r="L670" s="170">
        <v>42996</v>
      </c>
      <c r="M670" s="116">
        <v>149.72</v>
      </c>
      <c r="N670" s="116">
        <v>150.4</v>
      </c>
      <c r="O670" s="116">
        <v>144.41</v>
      </c>
      <c r="P670" s="116">
        <v>146</v>
      </c>
      <c r="Q670" s="116">
        <v>748.6</v>
      </c>
      <c r="R670">
        <v>5641</v>
      </c>
    </row>
    <row r="671" spans="1:18" x14ac:dyDescent="0.25">
      <c r="A671" s="170">
        <v>43013</v>
      </c>
      <c r="B671" s="116">
        <v>149.80000000000001</v>
      </c>
      <c r="C671" s="116">
        <v>146.60999999999999</v>
      </c>
      <c r="D671" s="116">
        <v>145.80000000000001</v>
      </c>
      <c r="E671" s="116">
        <v>148.4</v>
      </c>
      <c r="F671" s="116">
        <v>733.05</v>
      </c>
      <c r="G671">
        <v>591</v>
      </c>
      <c r="H671" s="116"/>
      <c r="I671" s="116"/>
      <c r="L671" s="170">
        <v>42997</v>
      </c>
      <c r="M671" s="116">
        <v>149.64000000000001</v>
      </c>
      <c r="N671" s="116">
        <v>151.74</v>
      </c>
      <c r="O671" s="116">
        <v>148.02000000000001</v>
      </c>
      <c r="P671" s="116">
        <v>148.02000000000001</v>
      </c>
      <c r="Q671" s="116">
        <v>748.2</v>
      </c>
      <c r="R671">
        <v>4084</v>
      </c>
    </row>
    <row r="672" spans="1:18" x14ac:dyDescent="0.25">
      <c r="A672" s="170">
        <v>43014</v>
      </c>
      <c r="B672" s="116">
        <v>148</v>
      </c>
      <c r="C672" s="116">
        <v>147.95999999999998</v>
      </c>
      <c r="D672" s="116">
        <v>146.54000000000002</v>
      </c>
      <c r="E672" s="116">
        <v>148</v>
      </c>
      <c r="F672" s="116">
        <v>739.8</v>
      </c>
      <c r="G672">
        <v>101</v>
      </c>
      <c r="H672" s="116"/>
      <c r="I672" s="116"/>
      <c r="L672" s="170">
        <v>42998</v>
      </c>
      <c r="M672" s="116">
        <v>149.34</v>
      </c>
      <c r="N672" s="116">
        <v>150.80000000000001</v>
      </c>
      <c r="O672" s="116">
        <v>146.4</v>
      </c>
      <c r="P672" s="116">
        <v>150</v>
      </c>
      <c r="Q672" s="116">
        <v>746.7</v>
      </c>
      <c r="R672">
        <v>2529</v>
      </c>
    </row>
    <row r="673" spans="1:18" x14ac:dyDescent="0.25">
      <c r="A673" s="170">
        <v>43017</v>
      </c>
      <c r="B673" s="116">
        <v>151</v>
      </c>
      <c r="C673" s="116">
        <v>147.02000000000001</v>
      </c>
      <c r="D673" s="116">
        <v>144.4</v>
      </c>
      <c r="E673" s="116">
        <v>151</v>
      </c>
      <c r="F673" s="116">
        <v>735.1</v>
      </c>
      <c r="G673">
        <v>478</v>
      </c>
      <c r="H673" s="116"/>
      <c r="I673" s="116"/>
      <c r="L673" s="170">
        <v>42999</v>
      </c>
      <c r="M673" s="116">
        <v>147.59</v>
      </c>
      <c r="N673" s="116">
        <v>150.80000000000001</v>
      </c>
      <c r="O673" s="116">
        <v>146.6</v>
      </c>
      <c r="P673" s="116">
        <v>150.80000000000001</v>
      </c>
      <c r="Q673" s="116">
        <v>737.95</v>
      </c>
      <c r="R673">
        <v>2365</v>
      </c>
    </row>
    <row r="674" spans="1:18" x14ac:dyDescent="0.25">
      <c r="A674" s="170">
        <v>43018</v>
      </c>
      <c r="B674" s="116">
        <v>149</v>
      </c>
      <c r="C674" s="116">
        <v>148.19999999999999</v>
      </c>
      <c r="D674" s="116">
        <v>146.26</v>
      </c>
      <c r="E674" s="116">
        <v>147.24</v>
      </c>
      <c r="F674" s="116">
        <v>741</v>
      </c>
      <c r="G674">
        <v>492</v>
      </c>
      <c r="H674" s="116"/>
      <c r="I674" s="116"/>
      <c r="L674" s="170">
        <v>43000</v>
      </c>
      <c r="M674" s="116">
        <v>146</v>
      </c>
      <c r="N674" s="116">
        <v>147.78</v>
      </c>
      <c r="O674" s="116">
        <v>145.69</v>
      </c>
      <c r="P674" s="116">
        <v>146.66</v>
      </c>
      <c r="Q674" s="116">
        <v>730</v>
      </c>
      <c r="R674">
        <v>3665</v>
      </c>
    </row>
    <row r="675" spans="1:18" x14ac:dyDescent="0.25">
      <c r="A675" s="170">
        <v>43019</v>
      </c>
      <c r="B675" s="116">
        <v>148.56</v>
      </c>
      <c r="C675" s="116">
        <v>147.42000000000002</v>
      </c>
      <c r="D675" s="116">
        <v>139.35</v>
      </c>
      <c r="E675" s="116">
        <v>145.22</v>
      </c>
      <c r="F675" s="116">
        <v>737.1</v>
      </c>
      <c r="G675">
        <v>2174</v>
      </c>
      <c r="H675" s="116"/>
      <c r="I675" s="116"/>
      <c r="L675" s="170">
        <v>43003</v>
      </c>
      <c r="M675" s="116">
        <v>144.97999999999999</v>
      </c>
      <c r="N675" s="116">
        <v>145.38</v>
      </c>
      <c r="O675" s="116">
        <v>138.84</v>
      </c>
      <c r="P675" s="116">
        <v>144.19999999999999</v>
      </c>
      <c r="Q675" s="116">
        <v>724.9</v>
      </c>
      <c r="R675">
        <v>4425</v>
      </c>
    </row>
    <row r="676" spans="1:18" x14ac:dyDescent="0.25">
      <c r="A676" s="170">
        <v>43021</v>
      </c>
      <c r="B676" s="116">
        <v>150.49</v>
      </c>
      <c r="C676" s="116">
        <v>149.97</v>
      </c>
      <c r="D676" s="116">
        <v>147.5</v>
      </c>
      <c r="E676" s="116">
        <v>149</v>
      </c>
      <c r="F676" s="116">
        <v>749.85</v>
      </c>
      <c r="G676">
        <v>183</v>
      </c>
      <c r="H676" s="116"/>
      <c r="I676" s="116"/>
      <c r="L676" s="170">
        <v>43004</v>
      </c>
      <c r="M676" s="116">
        <v>148.4</v>
      </c>
      <c r="N676" s="116">
        <v>149.80000000000001</v>
      </c>
      <c r="O676" s="116">
        <v>146.10999999999999</v>
      </c>
      <c r="P676" s="116">
        <v>148</v>
      </c>
      <c r="Q676" s="116">
        <v>742</v>
      </c>
      <c r="R676">
        <v>2070</v>
      </c>
    </row>
    <row r="677" spans="1:18" x14ac:dyDescent="0.25">
      <c r="A677" s="170">
        <v>43024</v>
      </c>
      <c r="B677" s="116">
        <v>151.78</v>
      </c>
      <c r="C677" s="116">
        <v>149.17000000000002</v>
      </c>
      <c r="D677" s="116">
        <v>148.12</v>
      </c>
      <c r="E677" s="116">
        <v>151.4</v>
      </c>
      <c r="F677" s="116">
        <v>745.85</v>
      </c>
      <c r="G677">
        <v>1344</v>
      </c>
      <c r="H677" s="116"/>
      <c r="I677" s="116"/>
      <c r="L677" s="170">
        <v>43005</v>
      </c>
      <c r="M677" s="116">
        <v>146.30000000000001</v>
      </c>
      <c r="N677" s="116">
        <v>149.4</v>
      </c>
      <c r="O677" s="116">
        <v>145</v>
      </c>
      <c r="P677" s="116">
        <v>148.4</v>
      </c>
      <c r="Q677" s="116">
        <v>731.5</v>
      </c>
      <c r="R677">
        <v>1518</v>
      </c>
    </row>
    <row r="678" spans="1:18" x14ac:dyDescent="0.25">
      <c r="A678" s="170">
        <v>43025</v>
      </c>
      <c r="B678" s="116">
        <v>151.80000000000001</v>
      </c>
      <c r="C678" s="116">
        <v>151.22999999999999</v>
      </c>
      <c r="D678" s="116">
        <v>150</v>
      </c>
      <c r="E678" s="116">
        <v>151</v>
      </c>
      <c r="F678" s="116">
        <v>756.15</v>
      </c>
      <c r="G678">
        <v>845</v>
      </c>
      <c r="H678" s="116"/>
      <c r="I678" s="116"/>
      <c r="L678" s="170">
        <v>43006</v>
      </c>
      <c r="M678" s="116">
        <v>145.55000000000001</v>
      </c>
      <c r="N678" s="116">
        <v>147.82999999999998</v>
      </c>
      <c r="O678" s="116">
        <v>143.51</v>
      </c>
      <c r="P678" s="116">
        <v>143.51</v>
      </c>
      <c r="Q678" s="116">
        <v>727.75</v>
      </c>
      <c r="R678">
        <v>1130</v>
      </c>
    </row>
    <row r="679" spans="1:18" x14ac:dyDescent="0.25">
      <c r="A679" s="170">
        <v>43026</v>
      </c>
      <c r="B679" s="116">
        <v>153</v>
      </c>
      <c r="C679" s="116">
        <v>152</v>
      </c>
      <c r="D679" s="116">
        <v>148.6</v>
      </c>
      <c r="E679" s="116">
        <v>151.80000000000001</v>
      </c>
      <c r="F679" s="116">
        <v>760</v>
      </c>
      <c r="G679">
        <v>439</v>
      </c>
      <c r="H679" s="116"/>
      <c r="I679" s="116"/>
      <c r="L679" s="170">
        <v>43007</v>
      </c>
      <c r="M679" s="116">
        <v>147.04000000000002</v>
      </c>
      <c r="N679" s="116">
        <v>152</v>
      </c>
      <c r="O679" s="116">
        <v>146.12</v>
      </c>
      <c r="P679" s="116">
        <v>149</v>
      </c>
      <c r="Q679" s="116">
        <v>735.2</v>
      </c>
      <c r="R679">
        <v>2358</v>
      </c>
    </row>
    <row r="680" spans="1:18" x14ac:dyDescent="0.25">
      <c r="A680" s="170">
        <v>43027</v>
      </c>
      <c r="B680" s="116">
        <v>157.69999999999999</v>
      </c>
      <c r="C680" s="116">
        <v>153.29000000000002</v>
      </c>
      <c r="D680" s="116">
        <v>152</v>
      </c>
      <c r="E680" s="116">
        <v>154.88</v>
      </c>
      <c r="F680" s="116">
        <v>766.45</v>
      </c>
      <c r="G680">
        <v>274</v>
      </c>
      <c r="H680" s="116"/>
      <c r="I680" s="116"/>
      <c r="L680" s="170">
        <v>43011</v>
      </c>
      <c r="M680" s="116">
        <v>145.5</v>
      </c>
      <c r="N680" s="116">
        <v>148</v>
      </c>
      <c r="O680" s="116">
        <v>144.01</v>
      </c>
      <c r="P680" s="116">
        <v>147.04000000000002</v>
      </c>
      <c r="Q680" s="116">
        <v>727.5</v>
      </c>
      <c r="R680">
        <v>2919</v>
      </c>
    </row>
    <row r="681" spans="1:18" x14ac:dyDescent="0.25">
      <c r="A681" s="170">
        <v>43031</v>
      </c>
      <c r="B681" s="116">
        <v>156</v>
      </c>
      <c r="C681" s="116">
        <v>154</v>
      </c>
      <c r="D681" s="116">
        <v>154</v>
      </c>
      <c r="E681" s="116">
        <v>155</v>
      </c>
      <c r="F681" s="116">
        <v>770</v>
      </c>
      <c r="G681">
        <v>549</v>
      </c>
      <c r="H681" s="116"/>
      <c r="I681" s="116"/>
      <c r="L681" s="170">
        <v>43012</v>
      </c>
      <c r="M681" s="116">
        <v>147.85999999999999</v>
      </c>
      <c r="N681" s="116">
        <v>148.80000000000001</v>
      </c>
      <c r="O681" s="116">
        <v>144.9</v>
      </c>
      <c r="P681" s="116">
        <v>147.97999999999999</v>
      </c>
      <c r="Q681" s="116">
        <v>739.3</v>
      </c>
      <c r="R681">
        <v>3222</v>
      </c>
    </row>
    <row r="682" spans="1:18" x14ac:dyDescent="0.25">
      <c r="A682" s="170">
        <v>43032</v>
      </c>
      <c r="B682" s="116">
        <v>163.4</v>
      </c>
      <c r="C682" s="116">
        <v>161.92000000000002</v>
      </c>
      <c r="D682" s="116">
        <v>154.1</v>
      </c>
      <c r="E682" s="116">
        <v>154.10999999999999</v>
      </c>
      <c r="F682" s="116">
        <v>809.6</v>
      </c>
      <c r="G682">
        <v>4674</v>
      </c>
      <c r="H682" s="116"/>
      <c r="I682" s="116"/>
      <c r="L682" s="170">
        <v>43013</v>
      </c>
      <c r="M682" s="116">
        <v>147.97999999999999</v>
      </c>
      <c r="N682" s="116">
        <v>150.57999999999998</v>
      </c>
      <c r="O682" s="116">
        <v>146.10999999999999</v>
      </c>
      <c r="P682" s="116">
        <v>146.4</v>
      </c>
      <c r="Q682" s="116">
        <v>739.9</v>
      </c>
      <c r="R682">
        <v>2435</v>
      </c>
    </row>
    <row r="683" spans="1:18" x14ac:dyDescent="0.25">
      <c r="A683" s="170">
        <v>43033</v>
      </c>
      <c r="B683" s="116">
        <v>167.74</v>
      </c>
      <c r="C683" s="116">
        <v>161.31</v>
      </c>
      <c r="D683" s="116">
        <v>160</v>
      </c>
      <c r="E683" s="116">
        <v>167.74</v>
      </c>
      <c r="F683" s="116">
        <v>806.55</v>
      </c>
      <c r="G683">
        <v>459</v>
      </c>
      <c r="H683" s="116"/>
      <c r="I683" s="116"/>
      <c r="L683" s="170">
        <v>43014</v>
      </c>
      <c r="M683" s="116">
        <v>147.12</v>
      </c>
      <c r="N683" s="116">
        <v>148.99</v>
      </c>
      <c r="O683" s="116">
        <v>146.4</v>
      </c>
      <c r="P683" s="116">
        <v>146.6</v>
      </c>
      <c r="Q683" s="116">
        <v>735.6</v>
      </c>
      <c r="R683">
        <v>1460</v>
      </c>
    </row>
    <row r="684" spans="1:18" x14ac:dyDescent="0.25">
      <c r="A684" s="170">
        <v>43034</v>
      </c>
      <c r="B684" s="116">
        <v>162.17000000000002</v>
      </c>
      <c r="C684" s="116">
        <v>159.95999999999998</v>
      </c>
      <c r="D684" s="116">
        <v>159.81</v>
      </c>
      <c r="E684" s="116">
        <v>161.31</v>
      </c>
      <c r="F684" s="116">
        <v>799.8</v>
      </c>
      <c r="G684">
        <v>204</v>
      </c>
      <c r="H684" s="116"/>
      <c r="I684" s="116"/>
      <c r="L684" s="170">
        <v>43017</v>
      </c>
      <c r="M684" s="116">
        <v>147</v>
      </c>
      <c r="N684" s="116">
        <v>149.99</v>
      </c>
      <c r="O684" s="116">
        <v>145.43</v>
      </c>
      <c r="P684" s="116">
        <v>146</v>
      </c>
      <c r="Q684" s="116">
        <v>735</v>
      </c>
      <c r="R684">
        <v>5294</v>
      </c>
    </row>
    <row r="685" spans="1:18" x14ac:dyDescent="0.25">
      <c r="A685" s="170">
        <v>43035</v>
      </c>
      <c r="B685" s="116">
        <v>161.82</v>
      </c>
      <c r="C685" s="116">
        <v>160.64000000000001</v>
      </c>
      <c r="D685" s="116">
        <v>159.94999999999999</v>
      </c>
      <c r="E685" s="116">
        <v>161.80000000000001</v>
      </c>
      <c r="F685" s="116">
        <v>803.2</v>
      </c>
      <c r="G685">
        <v>654</v>
      </c>
      <c r="H685" s="116"/>
      <c r="I685" s="116"/>
      <c r="L685" s="170">
        <v>43018</v>
      </c>
      <c r="M685" s="116">
        <v>146.82</v>
      </c>
      <c r="N685" s="116">
        <v>149.4</v>
      </c>
      <c r="O685" s="116">
        <v>145.6</v>
      </c>
      <c r="P685" s="116">
        <v>145.6</v>
      </c>
      <c r="Q685" s="116">
        <v>734.1</v>
      </c>
      <c r="R685">
        <v>2963</v>
      </c>
    </row>
    <row r="686" spans="1:18" x14ac:dyDescent="0.25">
      <c r="A686" s="170">
        <v>43038</v>
      </c>
      <c r="B686" s="116">
        <v>161.1</v>
      </c>
      <c r="C686" s="116">
        <v>156.59</v>
      </c>
      <c r="D686" s="116">
        <v>156.04000000000002</v>
      </c>
      <c r="E686" s="116">
        <v>160</v>
      </c>
      <c r="F686" s="116">
        <v>782.95</v>
      </c>
      <c r="G686">
        <v>1373</v>
      </c>
      <c r="H686" s="116"/>
      <c r="I686" s="116"/>
      <c r="L686" s="170">
        <v>43019</v>
      </c>
      <c r="M686" s="116">
        <v>147.88</v>
      </c>
      <c r="N686" s="116">
        <v>149.82</v>
      </c>
      <c r="O686" s="116">
        <v>146.02000000000001</v>
      </c>
      <c r="P686" s="116">
        <v>146.81</v>
      </c>
      <c r="Q686" s="116">
        <v>739.4</v>
      </c>
      <c r="R686">
        <v>4848</v>
      </c>
    </row>
    <row r="687" spans="1:18" x14ac:dyDescent="0.25">
      <c r="A687" s="170">
        <v>43039</v>
      </c>
      <c r="B687" s="116">
        <v>160</v>
      </c>
      <c r="C687" s="116">
        <v>154.97999999999999</v>
      </c>
      <c r="D687" s="116">
        <v>154.1</v>
      </c>
      <c r="E687" s="116">
        <v>160</v>
      </c>
      <c r="F687" s="116">
        <v>774.9</v>
      </c>
      <c r="G687">
        <v>91</v>
      </c>
      <c r="H687" s="116"/>
      <c r="I687" s="116"/>
      <c r="L687" s="170">
        <v>43020</v>
      </c>
      <c r="M687" s="116">
        <v>147.77000000000001</v>
      </c>
      <c r="N687" s="116">
        <v>148.99</v>
      </c>
      <c r="O687" s="116">
        <v>147.34</v>
      </c>
      <c r="P687" s="116">
        <v>147.4</v>
      </c>
      <c r="Q687" s="116">
        <v>738.85</v>
      </c>
      <c r="R687">
        <v>370</v>
      </c>
    </row>
    <row r="688" spans="1:18" x14ac:dyDescent="0.25">
      <c r="A688" s="170">
        <v>43040</v>
      </c>
      <c r="B688" s="116">
        <v>158.38</v>
      </c>
      <c r="C688" s="116">
        <v>155.55000000000001</v>
      </c>
      <c r="D688" s="116">
        <v>152.44</v>
      </c>
      <c r="E688" s="116">
        <v>155.4</v>
      </c>
      <c r="F688" s="116">
        <v>777.75</v>
      </c>
      <c r="G688">
        <v>1439</v>
      </c>
      <c r="H688" s="116"/>
      <c r="I688" s="116"/>
      <c r="L688" s="170">
        <v>43021</v>
      </c>
      <c r="M688" s="116">
        <v>149.12</v>
      </c>
      <c r="N688" s="116">
        <v>150.57999999999998</v>
      </c>
      <c r="O688" s="116">
        <v>146.02000000000001</v>
      </c>
      <c r="P688" s="116">
        <v>150.57999999999998</v>
      </c>
      <c r="Q688" s="116">
        <v>745.6</v>
      </c>
      <c r="R688">
        <v>5026</v>
      </c>
    </row>
    <row r="689" spans="1:18" x14ac:dyDescent="0.25">
      <c r="A689" s="170">
        <v>43041</v>
      </c>
      <c r="B689" s="116">
        <v>160.6</v>
      </c>
      <c r="C689" s="116">
        <v>158.81</v>
      </c>
      <c r="D689" s="116">
        <v>156.19999999999999</v>
      </c>
      <c r="E689" s="116">
        <v>157</v>
      </c>
      <c r="F689" s="116">
        <v>794.05</v>
      </c>
      <c r="G689">
        <v>2531</v>
      </c>
      <c r="H689" s="116"/>
      <c r="I689" s="116"/>
      <c r="L689" s="170">
        <v>43024</v>
      </c>
      <c r="M689" s="116">
        <v>149.19</v>
      </c>
      <c r="N689" s="116">
        <v>151</v>
      </c>
      <c r="O689" s="116">
        <v>147.10999999999999</v>
      </c>
      <c r="P689" s="116">
        <v>149.03</v>
      </c>
      <c r="Q689" s="116">
        <v>745.95</v>
      </c>
      <c r="R689">
        <v>2081</v>
      </c>
    </row>
    <row r="690" spans="1:18" x14ac:dyDescent="0.25">
      <c r="A690" s="170">
        <v>43042</v>
      </c>
      <c r="B690" s="116">
        <v>160.19999999999999</v>
      </c>
      <c r="C690" s="116">
        <v>158.81</v>
      </c>
      <c r="D690" s="116">
        <v>157</v>
      </c>
      <c r="E690" s="116">
        <v>159.6</v>
      </c>
      <c r="F690" s="116">
        <v>794.05</v>
      </c>
      <c r="G690">
        <v>1086</v>
      </c>
      <c r="H690" s="116"/>
      <c r="I690" s="116"/>
      <c r="L690" s="170">
        <v>43025</v>
      </c>
      <c r="M690" s="116">
        <v>150.92000000000002</v>
      </c>
      <c r="N690" s="116">
        <v>152</v>
      </c>
      <c r="O690" s="116">
        <v>149.19</v>
      </c>
      <c r="P690" s="116">
        <v>149.19</v>
      </c>
      <c r="Q690" s="116">
        <v>754.6</v>
      </c>
      <c r="R690">
        <v>8970</v>
      </c>
    </row>
    <row r="691" spans="1:18" x14ac:dyDescent="0.25">
      <c r="A691" s="170">
        <v>43045</v>
      </c>
      <c r="B691" s="116">
        <v>161.80000000000001</v>
      </c>
      <c r="C691" s="116">
        <v>161.37</v>
      </c>
      <c r="D691" s="116">
        <v>158</v>
      </c>
      <c r="E691" s="116">
        <v>160</v>
      </c>
      <c r="F691" s="116">
        <v>806.85</v>
      </c>
      <c r="G691">
        <v>1016</v>
      </c>
      <c r="H691" s="116"/>
      <c r="I691" s="116"/>
      <c r="L691" s="170">
        <v>43026</v>
      </c>
      <c r="M691" s="116">
        <v>151.91</v>
      </c>
      <c r="N691" s="116">
        <v>155.6</v>
      </c>
      <c r="O691" s="116">
        <v>148.24</v>
      </c>
      <c r="P691" s="116">
        <v>153</v>
      </c>
      <c r="Q691" s="116">
        <v>759.55</v>
      </c>
      <c r="R691">
        <v>6804</v>
      </c>
    </row>
    <row r="692" spans="1:18" x14ac:dyDescent="0.25">
      <c r="A692" s="170">
        <v>43046</v>
      </c>
      <c r="B692" s="116">
        <v>160.07999999999998</v>
      </c>
      <c r="C692" s="116">
        <v>158.07</v>
      </c>
      <c r="D692" s="116">
        <v>157.4</v>
      </c>
      <c r="E692" s="116">
        <v>159.6</v>
      </c>
      <c r="F692" s="116">
        <v>790.35</v>
      </c>
      <c r="G692">
        <v>672</v>
      </c>
      <c r="H692" s="116"/>
      <c r="I692" s="116"/>
      <c r="L692" s="170">
        <v>43027</v>
      </c>
      <c r="M692" s="116">
        <v>152.24</v>
      </c>
      <c r="N692" s="116">
        <v>155</v>
      </c>
      <c r="O692" s="116">
        <v>151</v>
      </c>
      <c r="P692" s="116">
        <v>152</v>
      </c>
      <c r="Q692" s="116">
        <v>761.2</v>
      </c>
      <c r="R692">
        <v>4400</v>
      </c>
    </row>
    <row r="693" spans="1:18" x14ac:dyDescent="0.25">
      <c r="A693" s="170">
        <v>43047</v>
      </c>
      <c r="B693" s="116">
        <v>159.6</v>
      </c>
      <c r="C693" s="116">
        <v>157</v>
      </c>
      <c r="D693" s="116">
        <v>154.53</v>
      </c>
      <c r="E693" s="116">
        <v>158.57</v>
      </c>
      <c r="F693" s="116">
        <v>785</v>
      </c>
      <c r="G693">
        <v>232</v>
      </c>
      <c r="H693" s="116"/>
      <c r="I693" s="116"/>
      <c r="L693" s="170">
        <v>43031</v>
      </c>
      <c r="M693" s="116">
        <v>154.88</v>
      </c>
      <c r="N693" s="116">
        <v>157</v>
      </c>
      <c r="O693" s="116">
        <v>152.69999999999999</v>
      </c>
      <c r="P693" s="116">
        <v>152.69999999999999</v>
      </c>
      <c r="Q693" s="116">
        <v>774.4</v>
      </c>
      <c r="R693">
        <v>11374</v>
      </c>
    </row>
    <row r="694" spans="1:18" x14ac:dyDescent="0.25">
      <c r="A694" s="170">
        <v>43048</v>
      </c>
      <c r="B694" s="116">
        <v>156.32</v>
      </c>
      <c r="C694" s="116">
        <v>155.51</v>
      </c>
      <c r="D694" s="116">
        <v>152.25</v>
      </c>
      <c r="E694" s="116">
        <v>156.32</v>
      </c>
      <c r="F694" s="116">
        <v>777.55</v>
      </c>
      <c r="G694">
        <v>146</v>
      </c>
      <c r="H694" s="116"/>
      <c r="I694" s="116"/>
      <c r="L694" s="170">
        <v>43032</v>
      </c>
      <c r="M694" s="116">
        <v>161.70999999999998</v>
      </c>
      <c r="N694" s="116">
        <v>164.09</v>
      </c>
      <c r="O694" s="116">
        <v>154.22</v>
      </c>
      <c r="P694" s="116">
        <v>154.4</v>
      </c>
      <c r="Q694" s="116">
        <v>808.55</v>
      </c>
      <c r="R694">
        <v>22606</v>
      </c>
    </row>
    <row r="695" spans="1:18" x14ac:dyDescent="0.25">
      <c r="A695" s="170">
        <v>43049</v>
      </c>
      <c r="B695" s="116">
        <v>153.05000000000001</v>
      </c>
      <c r="C695" s="116">
        <v>150.84</v>
      </c>
      <c r="D695" s="116">
        <v>148</v>
      </c>
      <c r="E695" s="116">
        <v>153.05000000000001</v>
      </c>
      <c r="F695" s="116">
        <v>754.2</v>
      </c>
      <c r="G695">
        <v>442</v>
      </c>
      <c r="H695" s="116"/>
      <c r="I695" s="116"/>
      <c r="L695" s="170">
        <v>43033</v>
      </c>
      <c r="M695" s="116">
        <v>161.14000000000001</v>
      </c>
      <c r="N695" s="116">
        <v>166.98</v>
      </c>
      <c r="O695" s="116">
        <v>159.6</v>
      </c>
      <c r="P695" s="116">
        <v>166.98</v>
      </c>
      <c r="Q695" s="116">
        <v>805.7</v>
      </c>
      <c r="R695">
        <v>7988</v>
      </c>
    </row>
    <row r="696" spans="1:18" x14ac:dyDescent="0.25">
      <c r="A696" s="170">
        <v>43052</v>
      </c>
      <c r="B696" s="116">
        <v>151.38</v>
      </c>
      <c r="C696" s="116">
        <v>148.35999999999999</v>
      </c>
      <c r="D696" s="116">
        <v>147.92000000000002</v>
      </c>
      <c r="E696" s="116">
        <v>150</v>
      </c>
      <c r="F696" s="116">
        <v>741.8</v>
      </c>
      <c r="G696">
        <v>133</v>
      </c>
      <c r="H696" s="116"/>
      <c r="I696" s="116"/>
      <c r="L696" s="170">
        <v>43034</v>
      </c>
      <c r="M696" s="116">
        <v>161.02000000000001</v>
      </c>
      <c r="N696" s="116">
        <v>162.79000000000002</v>
      </c>
      <c r="O696" s="116">
        <v>159.6</v>
      </c>
      <c r="P696" s="116">
        <v>159.6</v>
      </c>
      <c r="Q696" s="116">
        <v>805.1</v>
      </c>
      <c r="R696">
        <v>6315</v>
      </c>
    </row>
    <row r="697" spans="1:18" x14ac:dyDescent="0.25">
      <c r="A697" s="170">
        <v>43053</v>
      </c>
      <c r="B697" s="116">
        <v>148.19999999999999</v>
      </c>
      <c r="C697" s="116">
        <v>146.88</v>
      </c>
      <c r="D697" s="116">
        <v>146.80000000000001</v>
      </c>
      <c r="E697" s="116">
        <v>148.19999999999999</v>
      </c>
      <c r="F697" s="116">
        <v>734.4</v>
      </c>
      <c r="G697">
        <v>213</v>
      </c>
      <c r="H697" s="116"/>
      <c r="I697" s="116"/>
      <c r="L697" s="170">
        <v>43035</v>
      </c>
      <c r="M697" s="116">
        <v>161.19999999999999</v>
      </c>
      <c r="N697" s="116">
        <v>163.4</v>
      </c>
      <c r="O697" s="116">
        <v>159.4</v>
      </c>
      <c r="P697" s="116">
        <v>159.4</v>
      </c>
      <c r="Q697" s="116">
        <v>806</v>
      </c>
      <c r="R697">
        <v>5685</v>
      </c>
    </row>
    <row r="698" spans="1:18" x14ac:dyDescent="0.25">
      <c r="A698" s="170">
        <v>43054</v>
      </c>
      <c r="B698" s="116">
        <v>151.4</v>
      </c>
      <c r="C698" s="116">
        <v>147.14000000000001</v>
      </c>
      <c r="D698" s="116">
        <v>146</v>
      </c>
      <c r="E698" s="116">
        <v>147.4</v>
      </c>
      <c r="F698" s="116">
        <v>735.7</v>
      </c>
      <c r="G698">
        <v>77</v>
      </c>
      <c r="H698" s="116"/>
      <c r="I698" s="116"/>
      <c r="L698" s="170">
        <v>43038</v>
      </c>
      <c r="M698" s="116">
        <v>157.79000000000002</v>
      </c>
      <c r="N698" s="116">
        <v>164.72</v>
      </c>
      <c r="O698" s="116">
        <v>157.4</v>
      </c>
      <c r="P698" s="116">
        <v>160.03</v>
      </c>
      <c r="Q698" s="116">
        <v>788.95</v>
      </c>
      <c r="R698">
        <v>18699</v>
      </c>
    </row>
    <row r="699" spans="1:18" x14ac:dyDescent="0.25">
      <c r="A699" s="170">
        <v>43055</v>
      </c>
      <c r="B699" s="116">
        <v>149</v>
      </c>
      <c r="C699" s="116">
        <v>146.63</v>
      </c>
      <c r="D699" s="116">
        <v>145.49</v>
      </c>
      <c r="E699" s="116">
        <v>145.49</v>
      </c>
      <c r="F699" s="116">
        <v>733.15</v>
      </c>
      <c r="G699">
        <v>221</v>
      </c>
      <c r="H699" s="116"/>
      <c r="I699" s="116"/>
      <c r="L699" s="170">
        <v>43039</v>
      </c>
      <c r="M699" s="116">
        <v>156.02000000000001</v>
      </c>
      <c r="N699" s="116">
        <v>160.99</v>
      </c>
      <c r="O699" s="116">
        <v>155.4</v>
      </c>
      <c r="P699" s="116">
        <v>160.99</v>
      </c>
      <c r="Q699" s="116">
        <v>780.1</v>
      </c>
      <c r="R699">
        <v>4992</v>
      </c>
    </row>
    <row r="700" spans="1:18" x14ac:dyDescent="0.25">
      <c r="A700" s="170">
        <v>43056</v>
      </c>
      <c r="B700" s="116">
        <v>151</v>
      </c>
      <c r="C700" s="116">
        <v>150</v>
      </c>
      <c r="D700" s="116">
        <v>150</v>
      </c>
      <c r="E700" s="116">
        <v>151</v>
      </c>
      <c r="F700" s="116">
        <v>750</v>
      </c>
      <c r="G700">
        <v>200</v>
      </c>
      <c r="H700" s="116"/>
      <c r="I700" s="116"/>
      <c r="L700" s="170">
        <v>43040</v>
      </c>
      <c r="M700" s="116">
        <v>156.44999999999999</v>
      </c>
      <c r="N700" s="116">
        <v>159</v>
      </c>
      <c r="O700" s="116">
        <v>149.10999999999999</v>
      </c>
      <c r="P700" s="116">
        <v>149.10999999999999</v>
      </c>
      <c r="Q700" s="116">
        <v>782.25</v>
      </c>
      <c r="R700">
        <v>9486</v>
      </c>
    </row>
    <row r="701" spans="1:18" x14ac:dyDescent="0.25">
      <c r="A701" s="170">
        <v>43059</v>
      </c>
      <c r="B701" s="116">
        <v>153</v>
      </c>
      <c r="C701" s="116">
        <v>151.9</v>
      </c>
      <c r="D701" s="116">
        <v>150.4</v>
      </c>
      <c r="E701" s="116">
        <v>151.64000000000001</v>
      </c>
      <c r="F701" s="116">
        <v>759.5</v>
      </c>
      <c r="G701">
        <v>983</v>
      </c>
      <c r="H701" s="116"/>
      <c r="I701" s="116"/>
      <c r="L701" s="170">
        <v>43041</v>
      </c>
      <c r="M701" s="116">
        <v>158.63</v>
      </c>
      <c r="N701" s="116">
        <v>159.4</v>
      </c>
      <c r="O701" s="116">
        <v>153.62</v>
      </c>
      <c r="P701" s="116">
        <v>159.4</v>
      </c>
      <c r="Q701" s="116">
        <v>793.15</v>
      </c>
      <c r="R701">
        <v>7127</v>
      </c>
    </row>
    <row r="702" spans="1:18" x14ac:dyDescent="0.25">
      <c r="A702" s="170">
        <v>43060</v>
      </c>
      <c r="B702" s="116">
        <v>152</v>
      </c>
      <c r="C702" s="116">
        <v>152</v>
      </c>
      <c r="D702" s="116">
        <v>149</v>
      </c>
      <c r="E702" s="116">
        <v>149.03</v>
      </c>
      <c r="F702" s="116">
        <v>760</v>
      </c>
      <c r="G702">
        <v>550</v>
      </c>
      <c r="H702" s="116"/>
      <c r="I702" s="116"/>
      <c r="L702" s="170">
        <v>43042</v>
      </c>
      <c r="M702" s="116">
        <v>158.47</v>
      </c>
      <c r="N702" s="116">
        <v>160</v>
      </c>
      <c r="O702" s="116">
        <v>153.54000000000002</v>
      </c>
      <c r="P702" s="116">
        <v>158.55000000000001</v>
      </c>
      <c r="Q702" s="116">
        <v>792.35</v>
      </c>
      <c r="R702">
        <v>6668</v>
      </c>
    </row>
    <row r="703" spans="1:18" x14ac:dyDescent="0.25">
      <c r="A703" s="170">
        <v>43061</v>
      </c>
      <c r="B703" s="116">
        <v>152</v>
      </c>
      <c r="C703" s="116">
        <v>150.04000000000002</v>
      </c>
      <c r="D703" s="116">
        <v>148</v>
      </c>
      <c r="E703" s="116">
        <v>151.95999999999998</v>
      </c>
      <c r="F703" s="116">
        <v>750.2</v>
      </c>
      <c r="G703">
        <v>197</v>
      </c>
      <c r="H703" s="116"/>
      <c r="I703" s="116"/>
      <c r="L703" s="170">
        <v>43045</v>
      </c>
      <c r="M703" s="116">
        <v>161.04000000000002</v>
      </c>
      <c r="N703" s="116">
        <v>162</v>
      </c>
      <c r="O703" s="116">
        <v>157.4</v>
      </c>
      <c r="P703" s="116">
        <v>159.4</v>
      </c>
      <c r="Q703" s="116">
        <v>805.2</v>
      </c>
      <c r="R703">
        <v>16964</v>
      </c>
    </row>
    <row r="704" spans="1:18" x14ac:dyDescent="0.25">
      <c r="A704" s="170">
        <v>43062</v>
      </c>
      <c r="B704" s="116">
        <v>154</v>
      </c>
      <c r="C704" s="116">
        <v>154</v>
      </c>
      <c r="D704" s="116">
        <v>154</v>
      </c>
      <c r="E704" s="116">
        <v>154</v>
      </c>
      <c r="F704" s="116">
        <v>770</v>
      </c>
      <c r="G704">
        <v>2</v>
      </c>
      <c r="H704" s="116"/>
      <c r="I704" s="116"/>
      <c r="L704" s="170">
        <v>43046</v>
      </c>
      <c r="M704" s="116">
        <v>158.37</v>
      </c>
      <c r="N704" s="116">
        <v>162.79000000000002</v>
      </c>
      <c r="O704" s="116">
        <v>157.19999999999999</v>
      </c>
      <c r="P704" s="116">
        <v>162</v>
      </c>
      <c r="Q704" s="116">
        <v>791.85</v>
      </c>
      <c r="R704">
        <v>3942</v>
      </c>
    </row>
    <row r="705" spans="1:18" x14ac:dyDescent="0.25">
      <c r="A705" s="170">
        <v>43063</v>
      </c>
      <c r="B705" s="116">
        <v>155.57999999999998</v>
      </c>
      <c r="C705" s="116">
        <v>154.44</v>
      </c>
      <c r="D705" s="116">
        <v>151.41</v>
      </c>
      <c r="E705" s="116">
        <v>154</v>
      </c>
      <c r="F705" s="116">
        <v>772.2</v>
      </c>
      <c r="G705">
        <v>513</v>
      </c>
      <c r="H705" s="116"/>
      <c r="I705" s="116"/>
      <c r="L705" s="170">
        <v>43047</v>
      </c>
      <c r="M705" s="116">
        <v>156.37</v>
      </c>
      <c r="N705" s="116">
        <v>159.89000000000001</v>
      </c>
      <c r="O705" s="116">
        <v>154.42000000000002</v>
      </c>
      <c r="P705" s="116">
        <v>158.85999999999999</v>
      </c>
      <c r="Q705" s="116">
        <v>781.85</v>
      </c>
      <c r="R705">
        <v>3978</v>
      </c>
    </row>
    <row r="706" spans="1:18" x14ac:dyDescent="0.25">
      <c r="A706" s="170">
        <v>43066</v>
      </c>
      <c r="B706" s="116">
        <v>174.76</v>
      </c>
      <c r="C706" s="116">
        <v>166.57999999999998</v>
      </c>
      <c r="D706" s="116">
        <v>160.19999999999999</v>
      </c>
      <c r="E706" s="116">
        <v>160.19999999999999</v>
      </c>
      <c r="F706" s="116">
        <v>832.9</v>
      </c>
      <c r="G706">
        <v>6609</v>
      </c>
      <c r="H706" s="116"/>
      <c r="I706" s="116"/>
      <c r="L706" s="170">
        <v>43048</v>
      </c>
      <c r="M706" s="116">
        <v>152.26</v>
      </c>
      <c r="N706" s="116">
        <v>158</v>
      </c>
      <c r="O706" s="116">
        <v>150.6</v>
      </c>
      <c r="P706" s="116">
        <v>156.76</v>
      </c>
      <c r="Q706" s="116">
        <v>761.3</v>
      </c>
      <c r="R706">
        <v>3527</v>
      </c>
    </row>
    <row r="707" spans="1:18" x14ac:dyDescent="0.25">
      <c r="A707" s="170">
        <v>43067</v>
      </c>
      <c r="B707" s="116">
        <v>172.95999999999998</v>
      </c>
      <c r="C707" s="116">
        <v>164.54000000000002</v>
      </c>
      <c r="D707" s="116">
        <v>162.22</v>
      </c>
      <c r="E707" s="116">
        <v>172.57999999999998</v>
      </c>
      <c r="F707" s="116">
        <v>822.7</v>
      </c>
      <c r="G707">
        <v>763</v>
      </c>
      <c r="H707" s="116"/>
      <c r="I707" s="116"/>
      <c r="L707" s="170">
        <v>43049</v>
      </c>
      <c r="M707" s="116">
        <v>151.79000000000002</v>
      </c>
      <c r="N707" s="116">
        <v>152.4</v>
      </c>
      <c r="O707" s="116">
        <v>148.30000000000001</v>
      </c>
      <c r="P707" s="116">
        <v>152.4</v>
      </c>
      <c r="Q707" s="116">
        <v>758.95</v>
      </c>
      <c r="R707">
        <v>3850</v>
      </c>
    </row>
    <row r="708" spans="1:18" x14ac:dyDescent="0.25">
      <c r="A708" s="170">
        <v>43068</v>
      </c>
      <c r="B708" s="116">
        <v>168.79000000000002</v>
      </c>
      <c r="C708" s="116">
        <v>166.67000000000002</v>
      </c>
      <c r="D708" s="116">
        <v>161.44999999999999</v>
      </c>
      <c r="E708" s="116">
        <v>168.79000000000002</v>
      </c>
      <c r="F708" s="116">
        <v>833.35</v>
      </c>
      <c r="G708">
        <v>254</v>
      </c>
      <c r="H708" s="116"/>
      <c r="I708" s="116"/>
      <c r="L708" s="170">
        <v>43052</v>
      </c>
      <c r="M708" s="116">
        <v>149.05000000000001</v>
      </c>
      <c r="N708" s="116">
        <v>151.80000000000001</v>
      </c>
      <c r="O708" s="116">
        <v>149</v>
      </c>
      <c r="P708" s="116">
        <v>151.80000000000001</v>
      </c>
      <c r="Q708" s="116">
        <v>745.25</v>
      </c>
      <c r="R708">
        <v>977</v>
      </c>
    </row>
    <row r="709" spans="1:18" x14ac:dyDescent="0.25">
      <c r="A709" s="170">
        <v>43069</v>
      </c>
      <c r="B709" s="116">
        <v>166.95</v>
      </c>
      <c r="C709" s="116">
        <v>166.44</v>
      </c>
      <c r="D709" s="116">
        <v>159</v>
      </c>
      <c r="E709" s="116">
        <v>159</v>
      </c>
      <c r="F709" s="116">
        <v>832.2</v>
      </c>
      <c r="G709">
        <v>278</v>
      </c>
      <c r="H709" s="116"/>
      <c r="I709" s="116"/>
      <c r="L709" s="170">
        <v>43053</v>
      </c>
      <c r="M709" s="116">
        <v>149.27000000000001</v>
      </c>
      <c r="N709" s="116">
        <v>149.57999999999998</v>
      </c>
      <c r="O709" s="116">
        <v>147</v>
      </c>
      <c r="P709" s="116">
        <v>148</v>
      </c>
      <c r="Q709" s="116">
        <v>746.35</v>
      </c>
      <c r="R709">
        <v>6478</v>
      </c>
    </row>
    <row r="710" spans="1:18" x14ac:dyDescent="0.25">
      <c r="A710" s="170">
        <v>43070</v>
      </c>
      <c r="B710" s="116">
        <v>164.22</v>
      </c>
      <c r="C710" s="116">
        <v>162.54000000000002</v>
      </c>
      <c r="D710" s="116">
        <v>162.4</v>
      </c>
      <c r="E710" s="116">
        <v>163.64000000000001</v>
      </c>
      <c r="F710" s="116">
        <v>812.7</v>
      </c>
      <c r="G710">
        <v>151</v>
      </c>
      <c r="H710" s="116"/>
      <c r="I710" s="116"/>
      <c r="L710" s="170">
        <v>43054</v>
      </c>
      <c r="M710" s="116">
        <v>146.59</v>
      </c>
      <c r="N710" s="116">
        <v>148.99</v>
      </c>
      <c r="O710" s="116">
        <v>146.02000000000001</v>
      </c>
      <c r="P710" s="116">
        <v>147.01</v>
      </c>
      <c r="Q710" s="116">
        <v>732.95</v>
      </c>
      <c r="R710">
        <v>1044</v>
      </c>
    </row>
    <row r="711" spans="1:18" x14ac:dyDescent="0.25">
      <c r="A711" s="170">
        <v>43073</v>
      </c>
      <c r="B711" s="116">
        <v>162</v>
      </c>
      <c r="C711" s="116">
        <v>159.10999999999999</v>
      </c>
      <c r="D711" s="116">
        <v>157.4</v>
      </c>
      <c r="E711" s="116">
        <v>161.72</v>
      </c>
      <c r="F711" s="116">
        <v>795.55</v>
      </c>
      <c r="G711">
        <v>866</v>
      </c>
      <c r="H711" s="116"/>
      <c r="I711" s="116"/>
      <c r="L711" s="170">
        <v>43055</v>
      </c>
      <c r="M711" s="116">
        <v>147.97999999999999</v>
      </c>
      <c r="N711" s="116">
        <v>149</v>
      </c>
      <c r="O711" s="116">
        <v>146</v>
      </c>
      <c r="P711" s="116">
        <v>146.84</v>
      </c>
      <c r="Q711" s="116">
        <v>739.9</v>
      </c>
      <c r="R711">
        <v>2334</v>
      </c>
    </row>
    <row r="712" spans="1:18" x14ac:dyDescent="0.25">
      <c r="A712" s="170">
        <v>43074</v>
      </c>
      <c r="B712" s="116">
        <v>159</v>
      </c>
      <c r="C712" s="116">
        <v>159</v>
      </c>
      <c r="D712" s="116">
        <v>157.4</v>
      </c>
      <c r="E712" s="116">
        <v>157.4</v>
      </c>
      <c r="F712" s="116">
        <v>795</v>
      </c>
      <c r="G712">
        <v>60</v>
      </c>
      <c r="H712" s="116"/>
      <c r="I712" s="116"/>
      <c r="L712" s="170">
        <v>43056</v>
      </c>
      <c r="M712" s="116">
        <v>149.84</v>
      </c>
      <c r="N712" s="116">
        <v>150</v>
      </c>
      <c r="O712" s="116">
        <v>148.80000000000001</v>
      </c>
      <c r="P712" s="116">
        <v>148.80000000000001</v>
      </c>
      <c r="Q712" s="116">
        <v>749.2</v>
      </c>
      <c r="R712">
        <v>837</v>
      </c>
    </row>
    <row r="713" spans="1:18" x14ac:dyDescent="0.25">
      <c r="A713" s="170">
        <v>43075</v>
      </c>
      <c r="B713" s="116">
        <v>159</v>
      </c>
      <c r="C713" s="116">
        <v>157.97999999999999</v>
      </c>
      <c r="D713" s="116">
        <v>157</v>
      </c>
      <c r="E713" s="116">
        <v>157.4</v>
      </c>
      <c r="F713" s="116">
        <v>789.9</v>
      </c>
      <c r="G713">
        <v>58</v>
      </c>
      <c r="H713" s="116"/>
      <c r="I713" s="116"/>
      <c r="L713" s="170">
        <v>43059</v>
      </c>
      <c r="M713" s="116">
        <v>151.18</v>
      </c>
      <c r="N713" s="116">
        <v>152</v>
      </c>
      <c r="O713" s="116">
        <v>150.32</v>
      </c>
      <c r="P713" s="116">
        <v>151.99</v>
      </c>
      <c r="Q713" s="116">
        <v>755.9</v>
      </c>
      <c r="R713">
        <v>2921</v>
      </c>
    </row>
    <row r="714" spans="1:18" x14ac:dyDescent="0.25">
      <c r="A714" s="170">
        <v>43076</v>
      </c>
      <c r="B714" s="116">
        <v>159</v>
      </c>
      <c r="C714" s="116">
        <v>158.85999999999999</v>
      </c>
      <c r="D714" s="116">
        <v>157</v>
      </c>
      <c r="E714" s="116">
        <v>158</v>
      </c>
      <c r="F714" s="116">
        <v>794.3</v>
      </c>
      <c r="G714">
        <v>242</v>
      </c>
      <c r="H714" s="116"/>
      <c r="I714" s="116"/>
      <c r="L714" s="170">
        <v>43060</v>
      </c>
      <c r="M714" s="116">
        <v>151.15</v>
      </c>
      <c r="N714" s="116">
        <v>151.79000000000002</v>
      </c>
      <c r="O714" s="116">
        <v>147.76</v>
      </c>
      <c r="P714" s="116">
        <v>150.4</v>
      </c>
      <c r="Q714" s="116">
        <v>755.75</v>
      </c>
      <c r="R714">
        <v>3241</v>
      </c>
    </row>
    <row r="715" spans="1:18" x14ac:dyDescent="0.25">
      <c r="A715" s="170">
        <v>43077</v>
      </c>
      <c r="B715" s="116">
        <v>172.6</v>
      </c>
      <c r="C715" s="116">
        <v>167.95999999999998</v>
      </c>
      <c r="D715" s="116">
        <v>159.19999999999999</v>
      </c>
      <c r="E715" s="116">
        <v>159.19999999999999</v>
      </c>
      <c r="F715" s="116">
        <v>839.8</v>
      </c>
      <c r="G715">
        <v>3154</v>
      </c>
      <c r="H715" s="116"/>
      <c r="I715" s="116"/>
      <c r="L715" s="170">
        <v>43061</v>
      </c>
      <c r="M715" s="116">
        <v>151</v>
      </c>
      <c r="N715" s="116">
        <v>151.97999999999999</v>
      </c>
      <c r="O715" s="116">
        <v>150</v>
      </c>
      <c r="P715" s="116">
        <v>151.15</v>
      </c>
      <c r="Q715" s="116">
        <v>755</v>
      </c>
      <c r="R715">
        <v>1003</v>
      </c>
    </row>
    <row r="716" spans="1:18" x14ac:dyDescent="0.25">
      <c r="A716" s="170">
        <v>43080</v>
      </c>
      <c r="B716" s="116">
        <v>189.7</v>
      </c>
      <c r="C716" s="116">
        <v>179.62</v>
      </c>
      <c r="D716" s="116">
        <v>170</v>
      </c>
      <c r="E716" s="116">
        <v>173.82999999999998</v>
      </c>
      <c r="F716" s="116">
        <v>898.1</v>
      </c>
      <c r="G716">
        <v>12878</v>
      </c>
      <c r="H716" s="116"/>
      <c r="I716" s="116"/>
      <c r="L716" s="170">
        <v>43062</v>
      </c>
      <c r="M716" s="116">
        <v>152.91</v>
      </c>
      <c r="N716" s="116">
        <v>153.80000000000001</v>
      </c>
      <c r="O716" s="116">
        <v>150.4</v>
      </c>
      <c r="P716" s="116">
        <v>150.4</v>
      </c>
      <c r="Q716" s="116">
        <v>764.55</v>
      </c>
      <c r="R716">
        <v>1603</v>
      </c>
    </row>
    <row r="717" spans="1:18" x14ac:dyDescent="0.25">
      <c r="A717" s="170">
        <v>43081</v>
      </c>
      <c r="B717" s="116">
        <v>180</v>
      </c>
      <c r="C717" s="116">
        <v>175.2</v>
      </c>
      <c r="D717" s="116">
        <v>174.23</v>
      </c>
      <c r="E717" s="116">
        <v>179.8</v>
      </c>
      <c r="F717" s="116">
        <v>876</v>
      </c>
      <c r="G717">
        <v>1286</v>
      </c>
      <c r="H717" s="116"/>
      <c r="I717" s="116"/>
      <c r="L717" s="170">
        <v>43063</v>
      </c>
      <c r="M717" s="116">
        <v>154.07999999999998</v>
      </c>
      <c r="N717" s="116">
        <v>155</v>
      </c>
      <c r="O717" s="116">
        <v>152.39000000000001</v>
      </c>
      <c r="P717" s="116">
        <v>153.97999999999999</v>
      </c>
      <c r="Q717" s="116">
        <v>770.4</v>
      </c>
      <c r="R717">
        <v>907</v>
      </c>
    </row>
    <row r="718" spans="1:18" x14ac:dyDescent="0.25">
      <c r="A718" s="170">
        <v>43082</v>
      </c>
      <c r="B718" s="116">
        <v>186.99</v>
      </c>
      <c r="C718" s="116">
        <v>175.88</v>
      </c>
      <c r="D718" s="116">
        <v>174.99</v>
      </c>
      <c r="E718" s="116">
        <v>177.6</v>
      </c>
      <c r="F718" s="116">
        <v>879.4</v>
      </c>
      <c r="G718">
        <v>2484</v>
      </c>
      <c r="H718" s="116"/>
      <c r="I718" s="116"/>
      <c r="L718" s="170">
        <v>43066</v>
      </c>
      <c r="M718" s="116">
        <v>167.14000000000001</v>
      </c>
      <c r="N718" s="116">
        <v>179.98</v>
      </c>
      <c r="O718" s="116">
        <v>160</v>
      </c>
      <c r="P718" s="116">
        <v>166.2</v>
      </c>
      <c r="Q718" s="116">
        <v>835.7</v>
      </c>
      <c r="R718">
        <v>51281</v>
      </c>
    </row>
    <row r="719" spans="1:18" x14ac:dyDescent="0.25">
      <c r="A719" s="170">
        <v>43083</v>
      </c>
      <c r="B719" s="116">
        <v>179.8</v>
      </c>
      <c r="C719" s="116">
        <v>174.91</v>
      </c>
      <c r="D719" s="116">
        <v>171.70999999999998</v>
      </c>
      <c r="E719" s="116">
        <v>176.81</v>
      </c>
      <c r="F719" s="116">
        <v>874.55</v>
      </c>
      <c r="G719">
        <v>1001</v>
      </c>
      <c r="H719" s="116"/>
      <c r="I719" s="116"/>
      <c r="L719" s="170">
        <v>43067</v>
      </c>
      <c r="M719" s="116">
        <v>166.25</v>
      </c>
      <c r="N719" s="116">
        <v>172.6</v>
      </c>
      <c r="O719" s="116">
        <v>165.51</v>
      </c>
      <c r="P719" s="116">
        <v>168.8</v>
      </c>
      <c r="Q719" s="116">
        <v>831.25</v>
      </c>
      <c r="R719">
        <v>11545</v>
      </c>
    </row>
    <row r="720" spans="1:18" x14ac:dyDescent="0.25">
      <c r="A720" s="170">
        <v>43084</v>
      </c>
      <c r="B720" s="116">
        <v>177.8</v>
      </c>
      <c r="C720" s="116">
        <v>174.31</v>
      </c>
      <c r="D720" s="116">
        <v>174</v>
      </c>
      <c r="E720" s="116">
        <v>177.8</v>
      </c>
      <c r="F720" s="116">
        <v>871.55</v>
      </c>
      <c r="G720">
        <v>444</v>
      </c>
      <c r="H720" s="116"/>
      <c r="I720" s="116"/>
      <c r="L720" s="170">
        <v>43068</v>
      </c>
      <c r="M720" s="116">
        <v>166.5</v>
      </c>
      <c r="N720" s="116">
        <v>168.35999999999999</v>
      </c>
      <c r="O720" s="116">
        <v>162.20999999999998</v>
      </c>
      <c r="P720" s="116">
        <v>164.26</v>
      </c>
      <c r="Q720" s="116">
        <v>832.5</v>
      </c>
      <c r="R720">
        <v>3460</v>
      </c>
    </row>
    <row r="721" spans="1:18" x14ac:dyDescent="0.25">
      <c r="A721" s="170">
        <v>43087</v>
      </c>
      <c r="B721" s="116">
        <v>174.4</v>
      </c>
      <c r="C721" s="116">
        <v>173.16</v>
      </c>
      <c r="D721" s="116">
        <v>168.2</v>
      </c>
      <c r="E721" s="116">
        <v>170</v>
      </c>
      <c r="F721" s="116">
        <v>865.8</v>
      </c>
      <c r="G721">
        <v>1609</v>
      </c>
      <c r="H721" s="116"/>
      <c r="I721" s="116"/>
      <c r="L721" s="170">
        <v>43069</v>
      </c>
      <c r="M721" s="116">
        <v>165.20999999999998</v>
      </c>
      <c r="N721" s="116">
        <v>167.98</v>
      </c>
      <c r="O721" s="116">
        <v>162.20999999999998</v>
      </c>
      <c r="P721" s="116">
        <v>166.5</v>
      </c>
      <c r="Q721" s="116">
        <v>826.05</v>
      </c>
      <c r="R721">
        <v>3476</v>
      </c>
    </row>
    <row r="722" spans="1:18" x14ac:dyDescent="0.25">
      <c r="A722" s="170">
        <v>43088</v>
      </c>
      <c r="B722" s="116">
        <v>181</v>
      </c>
      <c r="C722" s="116">
        <v>178.20999999999998</v>
      </c>
      <c r="D722" s="116">
        <v>172</v>
      </c>
      <c r="E722" s="116">
        <v>172.74</v>
      </c>
      <c r="F722" s="116">
        <v>891.05</v>
      </c>
      <c r="G722">
        <v>2967</v>
      </c>
      <c r="H722" s="116"/>
      <c r="I722" s="116"/>
      <c r="L722" s="170">
        <v>43070</v>
      </c>
      <c r="M722" s="116">
        <v>162.39000000000001</v>
      </c>
      <c r="N722" s="116">
        <v>167.6</v>
      </c>
      <c r="O722" s="116">
        <v>160.25</v>
      </c>
      <c r="P722" s="116">
        <v>165.99</v>
      </c>
      <c r="Q722" s="116">
        <v>811.95</v>
      </c>
      <c r="R722">
        <v>8871</v>
      </c>
    </row>
    <row r="723" spans="1:18" x14ac:dyDescent="0.25">
      <c r="A723" s="170">
        <v>43089</v>
      </c>
      <c r="B723" s="116">
        <v>190</v>
      </c>
      <c r="C723" s="116">
        <v>176.10999999999999</v>
      </c>
      <c r="D723" s="116">
        <v>175</v>
      </c>
      <c r="E723" s="116">
        <v>190</v>
      </c>
      <c r="F723" s="116">
        <v>880.55</v>
      </c>
      <c r="G723">
        <v>1961</v>
      </c>
      <c r="H723" s="116"/>
      <c r="I723" s="116"/>
      <c r="L723" s="170">
        <v>43073</v>
      </c>
      <c r="M723" s="116">
        <v>159</v>
      </c>
      <c r="N723" s="116">
        <v>163.93</v>
      </c>
      <c r="O723" s="116">
        <v>157.02000000000001</v>
      </c>
      <c r="P723" s="116">
        <v>160.97999999999999</v>
      </c>
      <c r="Q723" s="116">
        <v>795</v>
      </c>
      <c r="R723">
        <v>7158</v>
      </c>
    </row>
    <row r="724" spans="1:18" x14ac:dyDescent="0.25">
      <c r="A724" s="170">
        <v>43090</v>
      </c>
      <c r="B724" s="116">
        <v>184.8</v>
      </c>
      <c r="C724" s="116">
        <v>176.56</v>
      </c>
      <c r="D724" s="116">
        <v>175.6</v>
      </c>
      <c r="E724" s="116">
        <v>177.44</v>
      </c>
      <c r="F724" s="116">
        <v>882.8</v>
      </c>
      <c r="G724">
        <v>3606</v>
      </c>
      <c r="H724" s="116"/>
      <c r="I724" s="116"/>
      <c r="L724" s="170">
        <v>43074</v>
      </c>
      <c r="M724" s="116">
        <v>158.32999999999998</v>
      </c>
      <c r="N724" s="116">
        <v>163</v>
      </c>
      <c r="O724" s="116">
        <v>158</v>
      </c>
      <c r="P724" s="116">
        <v>163</v>
      </c>
      <c r="Q724" s="116">
        <v>791.65</v>
      </c>
      <c r="R724">
        <v>1574</v>
      </c>
    </row>
    <row r="725" spans="1:18" x14ac:dyDescent="0.25">
      <c r="A725" s="170">
        <v>43091</v>
      </c>
      <c r="B725" s="116">
        <v>190</v>
      </c>
      <c r="C725" s="116">
        <v>184.23</v>
      </c>
      <c r="D725" s="116">
        <v>183</v>
      </c>
      <c r="E725" s="116">
        <v>185</v>
      </c>
      <c r="F725" s="116">
        <v>921.15</v>
      </c>
      <c r="G725">
        <v>2768</v>
      </c>
      <c r="H725" s="116"/>
      <c r="I725" s="116"/>
      <c r="L725" s="170">
        <v>43075</v>
      </c>
      <c r="M725" s="116">
        <v>157.32</v>
      </c>
      <c r="N725" s="116">
        <v>162.4</v>
      </c>
      <c r="O725" s="116">
        <v>155.19999999999999</v>
      </c>
      <c r="P725" s="116">
        <v>162.4</v>
      </c>
      <c r="Q725" s="116">
        <v>786.6</v>
      </c>
      <c r="R725">
        <v>4108</v>
      </c>
    </row>
    <row r="726" spans="1:18" x14ac:dyDescent="0.25">
      <c r="A726" s="170">
        <v>43095</v>
      </c>
      <c r="B726" s="116">
        <v>186</v>
      </c>
      <c r="C726" s="116">
        <v>179.57</v>
      </c>
      <c r="D726" s="116">
        <v>177.69</v>
      </c>
      <c r="E726" s="116">
        <v>186</v>
      </c>
      <c r="F726" s="116">
        <v>897.85</v>
      </c>
      <c r="G726">
        <v>2560</v>
      </c>
      <c r="H726" s="116"/>
      <c r="I726" s="116"/>
      <c r="L726" s="170">
        <v>43076</v>
      </c>
      <c r="M726" s="116">
        <v>159.75</v>
      </c>
      <c r="N726" s="116">
        <v>160</v>
      </c>
      <c r="O726" s="116">
        <v>156.19999999999999</v>
      </c>
      <c r="P726" s="116">
        <v>157.72</v>
      </c>
      <c r="Q726" s="116">
        <v>798.75</v>
      </c>
      <c r="R726">
        <v>5392</v>
      </c>
    </row>
    <row r="727" spans="1:18" x14ac:dyDescent="0.25">
      <c r="A727" s="170">
        <v>43096</v>
      </c>
      <c r="B727" s="116">
        <v>179.2</v>
      </c>
      <c r="C727" s="116">
        <v>176.4</v>
      </c>
      <c r="D727" s="116">
        <v>175.6</v>
      </c>
      <c r="E727" s="116">
        <v>178</v>
      </c>
      <c r="F727" s="116">
        <v>882</v>
      </c>
      <c r="G727">
        <v>2580</v>
      </c>
      <c r="H727" s="116"/>
      <c r="I727" s="116"/>
      <c r="L727" s="170">
        <v>43077</v>
      </c>
      <c r="M727" s="116">
        <v>167.31</v>
      </c>
      <c r="N727" s="116">
        <v>173</v>
      </c>
      <c r="O727" s="116">
        <v>158.22999999999999</v>
      </c>
      <c r="P727" s="116">
        <v>160</v>
      </c>
      <c r="Q727" s="116">
        <v>836.55</v>
      </c>
      <c r="R727">
        <v>42860</v>
      </c>
    </row>
    <row r="728" spans="1:18" x14ac:dyDescent="0.25">
      <c r="A728" s="170">
        <v>43097</v>
      </c>
      <c r="B728" s="116">
        <v>183.6</v>
      </c>
      <c r="C728" s="116">
        <v>176.99</v>
      </c>
      <c r="D728" s="116">
        <v>172.8</v>
      </c>
      <c r="E728" s="116">
        <v>183.6</v>
      </c>
      <c r="F728" s="116">
        <v>884.95</v>
      </c>
      <c r="G728">
        <v>1938</v>
      </c>
      <c r="H728" s="116"/>
      <c r="I728" s="116"/>
      <c r="L728" s="170">
        <v>43080</v>
      </c>
      <c r="M728" s="116">
        <v>179.31</v>
      </c>
      <c r="N728" s="116">
        <v>189.85999999999999</v>
      </c>
      <c r="O728" s="116">
        <v>168</v>
      </c>
      <c r="P728" s="116">
        <v>169.34</v>
      </c>
      <c r="Q728" s="116">
        <v>896.55</v>
      </c>
      <c r="R728">
        <v>126048</v>
      </c>
    </row>
    <row r="729" spans="1:18" x14ac:dyDescent="0.25">
      <c r="A729" s="170">
        <v>43098</v>
      </c>
      <c r="B729" s="116">
        <v>181</v>
      </c>
      <c r="C729" s="116">
        <v>179.22</v>
      </c>
      <c r="D729" s="116">
        <v>176.44</v>
      </c>
      <c r="E729" s="116">
        <v>179.57</v>
      </c>
      <c r="F729" s="116">
        <v>896.1</v>
      </c>
      <c r="G729">
        <v>420</v>
      </c>
      <c r="H729" s="116"/>
      <c r="I729" s="116"/>
      <c r="L729" s="170">
        <v>43081</v>
      </c>
      <c r="M729" s="116">
        <v>174.75</v>
      </c>
      <c r="N729" s="116">
        <v>180.6</v>
      </c>
      <c r="O729" s="116">
        <v>173.6</v>
      </c>
      <c r="P729" s="116">
        <v>180</v>
      </c>
      <c r="Q729" s="116">
        <v>873.75</v>
      </c>
      <c r="R729">
        <v>16927</v>
      </c>
    </row>
    <row r="730" spans="1:18" x14ac:dyDescent="0.25">
      <c r="A730" s="170">
        <v>43101</v>
      </c>
      <c r="B730" s="116">
        <v>183.7</v>
      </c>
      <c r="C730" s="116">
        <v>178.42000000000002</v>
      </c>
      <c r="D730" s="116">
        <v>177.81</v>
      </c>
      <c r="E730" s="116">
        <v>178.25</v>
      </c>
      <c r="F730" s="116">
        <v>892.1</v>
      </c>
      <c r="G730">
        <v>757</v>
      </c>
      <c r="H730" s="116"/>
      <c r="I730" s="116"/>
      <c r="L730" s="170">
        <v>43082</v>
      </c>
      <c r="M730" s="116">
        <v>176.13</v>
      </c>
      <c r="N730" s="116">
        <v>186.8</v>
      </c>
      <c r="O730" s="116">
        <v>172</v>
      </c>
      <c r="P730" s="116">
        <v>176.8</v>
      </c>
      <c r="Q730" s="116">
        <v>880.65</v>
      </c>
      <c r="R730">
        <v>32227</v>
      </c>
    </row>
    <row r="731" spans="1:18" x14ac:dyDescent="0.25">
      <c r="A731" s="170">
        <v>43102</v>
      </c>
      <c r="B731" s="116">
        <v>178.95</v>
      </c>
      <c r="C731" s="116">
        <v>177.16</v>
      </c>
      <c r="D731" s="116">
        <v>175</v>
      </c>
      <c r="E731" s="116">
        <v>175</v>
      </c>
      <c r="F731" s="116">
        <v>885.8</v>
      </c>
      <c r="G731">
        <v>461</v>
      </c>
      <c r="H731" s="116"/>
      <c r="I731" s="116"/>
      <c r="L731" s="170">
        <v>43083</v>
      </c>
      <c r="M731" s="116">
        <v>173.2</v>
      </c>
      <c r="N731" s="116">
        <v>179.94</v>
      </c>
      <c r="O731" s="116">
        <v>170.88</v>
      </c>
      <c r="P731" s="116">
        <v>178.97</v>
      </c>
      <c r="Q731" s="116">
        <v>866</v>
      </c>
      <c r="R731">
        <v>4897</v>
      </c>
    </row>
    <row r="732" spans="1:18" x14ac:dyDescent="0.25">
      <c r="A732" s="170">
        <v>43103</v>
      </c>
      <c r="B732" s="116">
        <v>183.01</v>
      </c>
      <c r="C732" s="116">
        <v>181.49</v>
      </c>
      <c r="D732" s="116">
        <v>177.8</v>
      </c>
      <c r="E732" s="116">
        <v>178.2</v>
      </c>
      <c r="F732" s="116">
        <v>907.45</v>
      </c>
      <c r="G732">
        <v>465</v>
      </c>
      <c r="H732" s="116"/>
      <c r="I732" s="116"/>
      <c r="L732" s="170">
        <v>43084</v>
      </c>
      <c r="M732" s="116">
        <v>173.26</v>
      </c>
      <c r="N732" s="116">
        <v>179.79000000000002</v>
      </c>
      <c r="O732" s="116">
        <v>171.41</v>
      </c>
      <c r="P732" s="116">
        <v>174</v>
      </c>
      <c r="Q732" s="116">
        <v>866.3</v>
      </c>
      <c r="R732">
        <v>7247</v>
      </c>
    </row>
    <row r="733" spans="1:18" x14ac:dyDescent="0.25">
      <c r="A733" s="170">
        <v>43104</v>
      </c>
      <c r="B733" s="116">
        <v>192.6</v>
      </c>
      <c r="C733" s="116">
        <v>185.76</v>
      </c>
      <c r="D733" s="116">
        <v>181.6</v>
      </c>
      <c r="E733" s="116">
        <v>182</v>
      </c>
      <c r="F733" s="116">
        <v>928.8</v>
      </c>
      <c r="G733">
        <v>2538</v>
      </c>
      <c r="H733" s="116"/>
      <c r="I733" s="116"/>
      <c r="L733" s="170">
        <v>43087</v>
      </c>
      <c r="M733" s="116">
        <v>170.02</v>
      </c>
      <c r="N733" s="116">
        <v>173.4</v>
      </c>
      <c r="O733" s="116">
        <v>165</v>
      </c>
      <c r="P733" s="116">
        <v>173.26</v>
      </c>
      <c r="Q733" s="116">
        <v>850.1</v>
      </c>
      <c r="R733">
        <v>12415</v>
      </c>
    </row>
    <row r="734" spans="1:18" x14ac:dyDescent="0.25">
      <c r="A734" s="170">
        <v>43105</v>
      </c>
      <c r="B734" s="116">
        <v>189</v>
      </c>
      <c r="C734" s="116">
        <v>187.68</v>
      </c>
      <c r="D734" s="116">
        <v>186</v>
      </c>
      <c r="E734" s="116">
        <v>189</v>
      </c>
      <c r="F734" s="116">
        <v>938.4</v>
      </c>
      <c r="G734">
        <v>446</v>
      </c>
      <c r="H734" s="116"/>
      <c r="I734" s="116"/>
      <c r="L734" s="170">
        <v>43088</v>
      </c>
      <c r="M734" s="116">
        <v>178.31</v>
      </c>
      <c r="N734" s="116">
        <v>180.88</v>
      </c>
      <c r="O734" s="116">
        <v>170.6</v>
      </c>
      <c r="P734" s="116">
        <v>172</v>
      </c>
      <c r="Q734" s="116">
        <v>891.55</v>
      </c>
      <c r="R734">
        <v>29519</v>
      </c>
    </row>
    <row r="735" spans="1:18" x14ac:dyDescent="0.25">
      <c r="A735" s="170">
        <v>43108</v>
      </c>
      <c r="B735" s="116">
        <v>195</v>
      </c>
      <c r="C735" s="116">
        <v>192.84</v>
      </c>
      <c r="D735" s="116">
        <v>186.22</v>
      </c>
      <c r="E735" s="116">
        <v>188</v>
      </c>
      <c r="F735" s="116">
        <v>964.2</v>
      </c>
      <c r="G735">
        <v>1197</v>
      </c>
      <c r="H735" s="116"/>
      <c r="I735" s="116"/>
      <c r="L735" s="170">
        <v>43089</v>
      </c>
      <c r="M735" s="116">
        <v>176.82</v>
      </c>
      <c r="N735" s="116">
        <v>181.8</v>
      </c>
      <c r="O735" s="116">
        <v>175.85</v>
      </c>
      <c r="P735" s="116">
        <v>181.18</v>
      </c>
      <c r="Q735" s="116">
        <v>884.1</v>
      </c>
      <c r="R735">
        <v>10965</v>
      </c>
    </row>
    <row r="736" spans="1:18" x14ac:dyDescent="0.25">
      <c r="A736" s="170">
        <v>43109</v>
      </c>
      <c r="B736" s="116">
        <v>209.3</v>
      </c>
      <c r="C736" s="116">
        <v>202.54000000000002</v>
      </c>
      <c r="D736" s="116">
        <v>190</v>
      </c>
      <c r="E736" s="116">
        <v>191.02</v>
      </c>
      <c r="F736" s="116">
        <v>1012.7</v>
      </c>
      <c r="G736">
        <v>5462</v>
      </c>
      <c r="H736" s="116"/>
      <c r="I736" s="116"/>
      <c r="L736" s="170">
        <v>43090</v>
      </c>
      <c r="M736" s="116">
        <v>176.2</v>
      </c>
      <c r="N736" s="116">
        <v>185.8</v>
      </c>
      <c r="O736" s="116">
        <v>174.82</v>
      </c>
      <c r="P736" s="116">
        <v>180</v>
      </c>
      <c r="Q736" s="116">
        <v>881</v>
      </c>
      <c r="R736">
        <v>26594</v>
      </c>
    </row>
    <row r="737" spans="1:18" x14ac:dyDescent="0.25">
      <c r="A737" s="170">
        <v>43110</v>
      </c>
      <c r="B737" s="116">
        <v>203</v>
      </c>
      <c r="C737" s="116">
        <v>195.15</v>
      </c>
      <c r="D737" s="116">
        <v>194.9</v>
      </c>
      <c r="E737" s="116">
        <v>201.55</v>
      </c>
      <c r="F737" s="116">
        <v>975.75</v>
      </c>
      <c r="G737">
        <v>1408</v>
      </c>
      <c r="H737" s="116"/>
      <c r="I737" s="116"/>
      <c r="L737" s="170">
        <v>43091</v>
      </c>
      <c r="M737" s="116">
        <v>183.68</v>
      </c>
      <c r="N737" s="116">
        <v>189.4</v>
      </c>
      <c r="O737" s="116">
        <v>182.51</v>
      </c>
      <c r="P737" s="116">
        <v>189.4</v>
      </c>
      <c r="Q737" s="116">
        <v>918.4</v>
      </c>
      <c r="R737">
        <v>28427</v>
      </c>
    </row>
    <row r="738" spans="1:18" x14ac:dyDescent="0.25">
      <c r="A738" s="170">
        <v>43111</v>
      </c>
      <c r="B738" s="116">
        <v>199.2</v>
      </c>
      <c r="C738" s="116">
        <v>195.78</v>
      </c>
      <c r="D738" s="116">
        <v>193</v>
      </c>
      <c r="E738" s="116">
        <v>195.99</v>
      </c>
      <c r="F738" s="116">
        <v>978.9</v>
      </c>
      <c r="G738">
        <v>1439</v>
      </c>
      <c r="H738" s="116"/>
      <c r="I738" s="116"/>
      <c r="L738" s="170">
        <v>43095</v>
      </c>
      <c r="M738" s="116">
        <v>178.34</v>
      </c>
      <c r="N738" s="116">
        <v>185.6</v>
      </c>
      <c r="O738" s="116">
        <v>177</v>
      </c>
      <c r="P738" s="116">
        <v>185.2</v>
      </c>
      <c r="Q738" s="116">
        <v>891.7</v>
      </c>
      <c r="R738">
        <v>16711</v>
      </c>
    </row>
    <row r="739" spans="1:18" x14ac:dyDescent="0.25">
      <c r="A739" s="170">
        <v>43112</v>
      </c>
      <c r="B739" s="116">
        <v>218</v>
      </c>
      <c r="C739" s="116">
        <v>212.70999999999998</v>
      </c>
      <c r="D739" s="116">
        <v>202</v>
      </c>
      <c r="E739" s="116">
        <v>202</v>
      </c>
      <c r="F739" s="116">
        <v>1063.55</v>
      </c>
      <c r="G739">
        <v>10568</v>
      </c>
      <c r="H739" s="116"/>
      <c r="I739" s="116"/>
      <c r="L739" s="170">
        <v>43096</v>
      </c>
      <c r="M739" s="116">
        <v>176.41</v>
      </c>
      <c r="N739" s="116">
        <v>180.73</v>
      </c>
      <c r="O739" s="116">
        <v>175.24</v>
      </c>
      <c r="P739" s="116">
        <v>180.73</v>
      </c>
      <c r="Q739" s="116">
        <v>882.05</v>
      </c>
      <c r="R739">
        <v>10001</v>
      </c>
    </row>
    <row r="740" spans="1:18" x14ac:dyDescent="0.25">
      <c r="A740" s="170">
        <v>43115</v>
      </c>
      <c r="B740" s="116">
        <v>245</v>
      </c>
      <c r="C740" s="116">
        <v>232.45999999999998</v>
      </c>
      <c r="D740" s="116">
        <v>216.42</v>
      </c>
      <c r="E740" s="116">
        <v>216.42</v>
      </c>
      <c r="F740" s="116">
        <v>1162.3</v>
      </c>
      <c r="G740">
        <v>21836</v>
      </c>
      <c r="H740" s="116"/>
      <c r="I740" s="116"/>
      <c r="L740" s="170">
        <v>43097</v>
      </c>
      <c r="M740" s="116">
        <v>178.60999999999999</v>
      </c>
      <c r="N740" s="116">
        <v>180</v>
      </c>
      <c r="O740" s="116">
        <v>170.31</v>
      </c>
      <c r="P740" s="116">
        <v>178.54000000000002</v>
      </c>
      <c r="Q740" s="116">
        <v>893.05</v>
      </c>
      <c r="R740">
        <v>15782</v>
      </c>
    </row>
    <row r="741" spans="1:18" x14ac:dyDescent="0.25">
      <c r="A741" s="170">
        <v>43116</v>
      </c>
      <c r="B741" s="116">
        <v>236</v>
      </c>
      <c r="C741" s="116">
        <v>225.9</v>
      </c>
      <c r="D741" s="116">
        <v>215.36999999999998</v>
      </c>
      <c r="E741" s="116">
        <v>232</v>
      </c>
      <c r="F741" s="116">
        <v>1129.5</v>
      </c>
      <c r="G741">
        <v>8062</v>
      </c>
      <c r="H741" s="116"/>
      <c r="I741" s="116"/>
      <c r="L741" s="170">
        <v>43098</v>
      </c>
      <c r="M741" s="116">
        <v>178.79000000000002</v>
      </c>
      <c r="N741" s="116">
        <v>184.59</v>
      </c>
      <c r="O741" s="116">
        <v>177.2</v>
      </c>
      <c r="P741" s="116">
        <v>181.99</v>
      </c>
      <c r="Q741" s="116">
        <v>893.95</v>
      </c>
      <c r="R741">
        <v>6011</v>
      </c>
    </row>
    <row r="742" spans="1:18" x14ac:dyDescent="0.25">
      <c r="A742" s="170">
        <v>43117</v>
      </c>
      <c r="B742" s="116">
        <v>239.34</v>
      </c>
      <c r="C742" s="116">
        <v>236.11999999999998</v>
      </c>
      <c r="D742" s="116">
        <v>217</v>
      </c>
      <c r="E742" s="116">
        <v>218.05</v>
      </c>
      <c r="F742" s="116">
        <v>1180.5999999999999</v>
      </c>
      <c r="G742">
        <v>6198</v>
      </c>
      <c r="H742" s="116"/>
      <c r="I742" s="116"/>
      <c r="L742" s="170">
        <v>43101</v>
      </c>
      <c r="M742" s="116">
        <v>178.65</v>
      </c>
      <c r="N742" s="116">
        <v>183</v>
      </c>
      <c r="O742" s="116">
        <v>177.22</v>
      </c>
      <c r="P742" s="116">
        <v>181.99</v>
      </c>
      <c r="Q742" s="116">
        <v>893.25</v>
      </c>
      <c r="R742">
        <v>5726</v>
      </c>
    </row>
    <row r="743" spans="1:18" x14ac:dyDescent="0.25">
      <c r="A743" s="170">
        <v>43118</v>
      </c>
      <c r="B743" s="116">
        <v>239.99</v>
      </c>
      <c r="C743" s="116">
        <v>221.85999999999999</v>
      </c>
      <c r="D743" s="116">
        <v>219.84</v>
      </c>
      <c r="E743" s="116">
        <v>239.78000000000003</v>
      </c>
      <c r="F743" s="116">
        <v>1109.3</v>
      </c>
      <c r="G743">
        <v>2905</v>
      </c>
      <c r="H743" s="116"/>
      <c r="I743" s="116"/>
      <c r="L743" s="170">
        <v>43102</v>
      </c>
      <c r="M743" s="116">
        <v>177.6</v>
      </c>
      <c r="N743" s="116">
        <v>180.6</v>
      </c>
      <c r="O743" s="116">
        <v>174.45</v>
      </c>
      <c r="P743" s="116">
        <v>180.47</v>
      </c>
      <c r="Q743" s="116">
        <v>888</v>
      </c>
      <c r="R743">
        <v>10730</v>
      </c>
    </row>
    <row r="744" spans="1:18" x14ac:dyDescent="0.25">
      <c r="A744" s="170">
        <v>43119</v>
      </c>
      <c r="B744" s="116">
        <v>235</v>
      </c>
      <c r="C744" s="116">
        <v>224.15</v>
      </c>
      <c r="D744" s="116">
        <v>223.01</v>
      </c>
      <c r="E744" s="116">
        <v>235</v>
      </c>
      <c r="F744" s="116">
        <v>1120.75</v>
      </c>
      <c r="G744">
        <v>3871</v>
      </c>
      <c r="H744" s="116"/>
      <c r="I744" s="116"/>
      <c r="L744" s="170">
        <v>43103</v>
      </c>
      <c r="M744" s="116">
        <v>182.20999999999998</v>
      </c>
      <c r="N744" s="116">
        <v>184</v>
      </c>
      <c r="O744" s="116">
        <v>177.8</v>
      </c>
      <c r="P744" s="116">
        <v>179.20999999999998</v>
      </c>
      <c r="Q744" s="116">
        <v>911.05</v>
      </c>
      <c r="R744">
        <v>9636</v>
      </c>
    </row>
    <row r="745" spans="1:18" x14ac:dyDescent="0.25">
      <c r="A745" s="170">
        <v>43122</v>
      </c>
      <c r="B745" s="116">
        <v>233.5</v>
      </c>
      <c r="C745" s="116">
        <v>224.7</v>
      </c>
      <c r="D745" s="116">
        <v>224</v>
      </c>
      <c r="E745" s="116">
        <v>224.8</v>
      </c>
      <c r="F745" s="116">
        <v>1123.5</v>
      </c>
      <c r="G745">
        <v>1739</v>
      </c>
      <c r="H745" s="116"/>
      <c r="I745" s="116"/>
      <c r="L745" s="170">
        <v>43104</v>
      </c>
      <c r="M745" s="116">
        <v>185.85999999999999</v>
      </c>
      <c r="N745" s="116">
        <v>192.45</v>
      </c>
      <c r="O745" s="116">
        <v>180.44</v>
      </c>
      <c r="P745" s="116">
        <v>180.44</v>
      </c>
      <c r="Q745" s="116">
        <v>929.3</v>
      </c>
      <c r="R745">
        <v>38483</v>
      </c>
    </row>
    <row r="746" spans="1:18" x14ac:dyDescent="0.25">
      <c r="A746" s="170">
        <v>43123</v>
      </c>
      <c r="B746" s="116">
        <v>230.94</v>
      </c>
      <c r="C746" s="116">
        <v>221.61999999999998</v>
      </c>
      <c r="D746" s="116">
        <v>219.2</v>
      </c>
      <c r="E746" s="116">
        <v>228</v>
      </c>
      <c r="F746" s="116">
        <v>1108.0999999999999</v>
      </c>
      <c r="G746">
        <v>685</v>
      </c>
      <c r="H746" s="116"/>
      <c r="I746" s="116"/>
      <c r="L746" s="170">
        <v>43105</v>
      </c>
      <c r="M746" s="116">
        <v>187.44</v>
      </c>
      <c r="N746" s="116">
        <v>189.88</v>
      </c>
      <c r="O746" s="116">
        <v>186</v>
      </c>
      <c r="P746" s="116">
        <v>186.47</v>
      </c>
      <c r="Q746" s="116">
        <v>937.2</v>
      </c>
      <c r="R746">
        <v>9817</v>
      </c>
    </row>
    <row r="747" spans="1:18" x14ac:dyDescent="0.25">
      <c r="A747" s="170">
        <v>43124</v>
      </c>
      <c r="B747" s="116">
        <v>224.10999999999999</v>
      </c>
      <c r="C747" s="116">
        <v>218.55</v>
      </c>
      <c r="D747" s="116">
        <v>216.66</v>
      </c>
      <c r="E747" s="116">
        <v>222.86999999999998</v>
      </c>
      <c r="F747" s="116">
        <v>1092.75</v>
      </c>
      <c r="G747">
        <v>1233</v>
      </c>
      <c r="H747" s="116"/>
      <c r="I747" s="116"/>
      <c r="L747" s="170">
        <v>43108</v>
      </c>
      <c r="M747" s="116">
        <v>193.09</v>
      </c>
      <c r="N747" s="116">
        <v>194.4</v>
      </c>
      <c r="O747" s="116">
        <v>185.45</v>
      </c>
      <c r="P747" s="116">
        <v>186.25</v>
      </c>
      <c r="Q747" s="116">
        <v>965.45</v>
      </c>
      <c r="R747">
        <v>21885</v>
      </c>
    </row>
    <row r="748" spans="1:18" x14ac:dyDescent="0.25">
      <c r="A748" s="170">
        <v>43125</v>
      </c>
      <c r="B748" s="116">
        <v>227.59</v>
      </c>
      <c r="C748" s="116">
        <v>219.26999999999998</v>
      </c>
      <c r="D748" s="116">
        <v>218</v>
      </c>
      <c r="E748" s="116">
        <v>224</v>
      </c>
      <c r="F748" s="116">
        <v>1096.3499999999999</v>
      </c>
      <c r="G748">
        <v>1331</v>
      </c>
      <c r="H748" s="116"/>
      <c r="I748" s="116"/>
      <c r="L748" s="170">
        <v>43109</v>
      </c>
      <c r="M748" s="116">
        <v>201.28</v>
      </c>
      <c r="N748" s="116">
        <v>209.6</v>
      </c>
      <c r="O748" s="116">
        <v>190.57</v>
      </c>
      <c r="P748" s="116">
        <v>194.4</v>
      </c>
      <c r="Q748" s="116">
        <v>1006.4</v>
      </c>
      <c r="R748">
        <v>57629</v>
      </c>
    </row>
    <row r="749" spans="1:18" x14ac:dyDescent="0.25">
      <c r="A749" s="170">
        <v>43129</v>
      </c>
      <c r="B749" s="116">
        <v>223.49</v>
      </c>
      <c r="C749" s="116">
        <v>215.82</v>
      </c>
      <c r="D749" s="116">
        <v>211</v>
      </c>
      <c r="E749" s="116">
        <v>221.89000000000001</v>
      </c>
      <c r="F749" s="116">
        <v>1079.0999999999999</v>
      </c>
      <c r="G749">
        <v>557</v>
      </c>
      <c r="H749" s="116"/>
      <c r="I749" s="116"/>
      <c r="L749" s="170">
        <v>43110</v>
      </c>
      <c r="M749" s="116">
        <v>195.22</v>
      </c>
      <c r="N749" s="116">
        <v>203.95999999999998</v>
      </c>
      <c r="O749" s="116">
        <v>194.22</v>
      </c>
      <c r="P749" s="116">
        <v>199.59</v>
      </c>
      <c r="Q749" s="116">
        <v>976.1</v>
      </c>
      <c r="R749">
        <v>14252</v>
      </c>
    </row>
    <row r="750" spans="1:18" x14ac:dyDescent="0.25">
      <c r="A750" s="170">
        <v>43130</v>
      </c>
      <c r="B750" s="116">
        <v>216.91</v>
      </c>
      <c r="C750" s="116">
        <v>205.9</v>
      </c>
      <c r="D750" s="116">
        <v>200.2</v>
      </c>
      <c r="E750" s="116">
        <v>200.2</v>
      </c>
      <c r="F750" s="116">
        <v>1029.5</v>
      </c>
      <c r="G750">
        <v>1547</v>
      </c>
      <c r="H750" s="116"/>
      <c r="I750" s="116"/>
      <c r="L750" s="170">
        <v>43111</v>
      </c>
      <c r="M750" s="116">
        <v>195.84</v>
      </c>
      <c r="N750" s="116">
        <v>199.67000000000002</v>
      </c>
      <c r="O750" s="116">
        <v>193.8</v>
      </c>
      <c r="P750" s="116">
        <v>194.24</v>
      </c>
      <c r="Q750" s="116">
        <v>979.2</v>
      </c>
      <c r="R750">
        <v>7219</v>
      </c>
    </row>
    <row r="751" spans="1:18" x14ac:dyDescent="0.25">
      <c r="A751" s="170">
        <v>43131</v>
      </c>
      <c r="B751" s="116">
        <v>207.69</v>
      </c>
      <c r="C751" s="116">
        <v>200.31</v>
      </c>
      <c r="D751" s="116">
        <v>199.20999999999998</v>
      </c>
      <c r="E751" s="116">
        <v>206.09</v>
      </c>
      <c r="F751" s="116">
        <v>1001.55</v>
      </c>
      <c r="G751">
        <v>1000</v>
      </c>
      <c r="H751" s="116"/>
      <c r="I751" s="116"/>
      <c r="L751" s="170">
        <v>43112</v>
      </c>
      <c r="M751" s="116">
        <v>212.1</v>
      </c>
      <c r="N751" s="116">
        <v>231.74</v>
      </c>
      <c r="O751" s="116">
        <v>199.2</v>
      </c>
      <c r="P751" s="116">
        <v>199.2</v>
      </c>
      <c r="Q751" s="116">
        <v>1060.5</v>
      </c>
      <c r="R751">
        <v>56279</v>
      </c>
    </row>
    <row r="752" spans="1:18" x14ac:dyDescent="0.25">
      <c r="A752" s="170">
        <v>43132</v>
      </c>
      <c r="B752" s="116">
        <v>203.35999999999999</v>
      </c>
      <c r="C752" s="116">
        <v>199.24</v>
      </c>
      <c r="D752" s="116">
        <v>190.2</v>
      </c>
      <c r="E752" s="116">
        <v>200.56</v>
      </c>
      <c r="F752" s="116">
        <v>996.2</v>
      </c>
      <c r="G752">
        <v>2828</v>
      </c>
      <c r="H752" s="116"/>
      <c r="I752" s="116"/>
      <c r="L752" s="170">
        <v>43115</v>
      </c>
      <c r="M752" s="116">
        <v>231.78000000000003</v>
      </c>
      <c r="N752" s="116">
        <v>245</v>
      </c>
      <c r="O752" s="116">
        <v>218</v>
      </c>
      <c r="P752" s="116">
        <v>218</v>
      </c>
      <c r="Q752" s="116">
        <v>1158.9000000000001</v>
      </c>
      <c r="R752">
        <v>127751</v>
      </c>
    </row>
    <row r="753" spans="1:18" x14ac:dyDescent="0.25">
      <c r="A753" s="170">
        <v>43133</v>
      </c>
      <c r="B753" s="116">
        <v>200</v>
      </c>
      <c r="C753" s="116">
        <v>195.56</v>
      </c>
      <c r="D753" s="116">
        <v>186.42000000000002</v>
      </c>
      <c r="E753" s="116">
        <v>189.2</v>
      </c>
      <c r="F753" s="116">
        <v>977.8</v>
      </c>
      <c r="G753">
        <v>3640</v>
      </c>
      <c r="H753" s="116"/>
      <c r="I753" s="116"/>
      <c r="L753" s="170">
        <v>43116</v>
      </c>
      <c r="M753" s="116">
        <v>227.11999999999998</v>
      </c>
      <c r="N753" s="116">
        <v>236.26</v>
      </c>
      <c r="O753" s="116">
        <v>215.65</v>
      </c>
      <c r="P753" s="116">
        <v>233.6</v>
      </c>
      <c r="Q753" s="116">
        <v>1135.5999999999999</v>
      </c>
      <c r="R753">
        <v>36840</v>
      </c>
    </row>
    <row r="754" spans="1:18" x14ac:dyDescent="0.25">
      <c r="A754" s="170">
        <v>43136</v>
      </c>
      <c r="B754" s="116">
        <v>184.19</v>
      </c>
      <c r="C754" s="116">
        <v>179.63</v>
      </c>
      <c r="D754" s="116">
        <v>177.6</v>
      </c>
      <c r="E754" s="116">
        <v>181.2</v>
      </c>
      <c r="F754" s="116">
        <v>898.15</v>
      </c>
      <c r="G754">
        <v>3755</v>
      </c>
      <c r="H754" s="116"/>
      <c r="I754" s="116"/>
      <c r="L754" s="170">
        <v>43117</v>
      </c>
      <c r="M754" s="116">
        <v>237.04000000000002</v>
      </c>
      <c r="N754" s="116">
        <v>239.6</v>
      </c>
      <c r="O754" s="116">
        <v>217</v>
      </c>
      <c r="P754" s="116">
        <v>225.96999999999997</v>
      </c>
      <c r="Q754" s="116">
        <v>1185.2</v>
      </c>
      <c r="R754">
        <v>35068</v>
      </c>
    </row>
    <row r="755" spans="1:18" x14ac:dyDescent="0.25">
      <c r="A755" s="170">
        <v>43137</v>
      </c>
      <c r="B755" s="116">
        <v>184</v>
      </c>
      <c r="C755" s="116">
        <v>172.93</v>
      </c>
      <c r="D755" s="116">
        <v>168</v>
      </c>
      <c r="E755" s="116">
        <v>184</v>
      </c>
      <c r="F755" s="116">
        <v>864.65</v>
      </c>
      <c r="G755">
        <v>1678</v>
      </c>
      <c r="H755" s="116"/>
      <c r="I755" s="116"/>
      <c r="L755" s="170">
        <v>43118</v>
      </c>
      <c r="M755" s="116">
        <v>221.63000000000002</v>
      </c>
      <c r="N755" s="116">
        <v>239.88000000000002</v>
      </c>
      <c r="O755" s="116">
        <v>218.20999999999998</v>
      </c>
      <c r="P755" s="116">
        <v>237</v>
      </c>
      <c r="Q755" s="116">
        <v>1108.1500000000001</v>
      </c>
      <c r="R755">
        <v>15152</v>
      </c>
    </row>
    <row r="756" spans="1:18" x14ac:dyDescent="0.25">
      <c r="A756" s="170">
        <v>43138</v>
      </c>
      <c r="B756" s="116">
        <v>179.9</v>
      </c>
      <c r="C756" s="116">
        <v>177.64000000000001</v>
      </c>
      <c r="D756" s="116">
        <v>176.4</v>
      </c>
      <c r="E756" s="116">
        <v>178</v>
      </c>
      <c r="F756" s="116">
        <v>888.2</v>
      </c>
      <c r="G756">
        <v>456</v>
      </c>
      <c r="H756" s="116"/>
      <c r="I756" s="116"/>
      <c r="L756" s="170">
        <v>43119</v>
      </c>
      <c r="M756" s="116">
        <v>223.83</v>
      </c>
      <c r="N756" s="116">
        <v>234</v>
      </c>
      <c r="O756" s="116">
        <v>222.4</v>
      </c>
      <c r="P756" s="116">
        <v>233.6</v>
      </c>
      <c r="Q756" s="116">
        <v>1119.1500000000001</v>
      </c>
      <c r="R756">
        <v>19070</v>
      </c>
    </row>
    <row r="757" spans="1:18" x14ac:dyDescent="0.25">
      <c r="A757" s="170">
        <v>43139</v>
      </c>
      <c r="B757" s="116">
        <v>185.32</v>
      </c>
      <c r="C757" s="116">
        <v>184.05</v>
      </c>
      <c r="D757" s="116">
        <v>172.01</v>
      </c>
      <c r="E757" s="116">
        <v>177.68</v>
      </c>
      <c r="F757" s="116">
        <v>920.25</v>
      </c>
      <c r="G757">
        <v>1223</v>
      </c>
      <c r="H757" s="116"/>
      <c r="I757" s="116"/>
      <c r="L757" s="170">
        <v>43122</v>
      </c>
      <c r="M757" s="116">
        <v>227.33</v>
      </c>
      <c r="N757" s="116">
        <v>234</v>
      </c>
      <c r="O757" s="116">
        <v>224.6</v>
      </c>
      <c r="P757" s="116">
        <v>226</v>
      </c>
      <c r="Q757" s="116">
        <v>1136.6500000000001</v>
      </c>
      <c r="R757">
        <v>15537</v>
      </c>
    </row>
    <row r="758" spans="1:18" x14ac:dyDescent="0.25">
      <c r="A758" s="170">
        <v>43140</v>
      </c>
      <c r="B758" s="116">
        <v>185.82</v>
      </c>
      <c r="C758" s="116">
        <v>184.76</v>
      </c>
      <c r="D758" s="116">
        <v>179.99</v>
      </c>
      <c r="E758" s="116">
        <v>179.99</v>
      </c>
      <c r="F758" s="116">
        <v>923.8</v>
      </c>
      <c r="G758">
        <v>615</v>
      </c>
      <c r="H758" s="116"/>
      <c r="I758" s="116"/>
      <c r="L758" s="170">
        <v>43123</v>
      </c>
      <c r="M758" s="116">
        <v>222.15</v>
      </c>
      <c r="N758" s="116">
        <v>229</v>
      </c>
      <c r="O758" s="116">
        <v>221</v>
      </c>
      <c r="P758" s="116">
        <v>228.92</v>
      </c>
      <c r="Q758" s="116">
        <v>1110.75</v>
      </c>
      <c r="R758">
        <v>6715</v>
      </c>
    </row>
    <row r="759" spans="1:18" x14ac:dyDescent="0.25">
      <c r="A759" s="170">
        <v>43143</v>
      </c>
      <c r="B759" s="116">
        <v>189.43</v>
      </c>
      <c r="C759" s="116">
        <v>186.26</v>
      </c>
      <c r="D759" s="116">
        <v>184.70999999999998</v>
      </c>
      <c r="E759" s="116">
        <v>185.89000000000001</v>
      </c>
      <c r="F759" s="116">
        <v>931.3</v>
      </c>
      <c r="G759">
        <v>682</v>
      </c>
      <c r="H759" s="116"/>
      <c r="I759" s="116"/>
      <c r="L759" s="170">
        <v>43124</v>
      </c>
      <c r="M759" s="116">
        <v>218.11999999999998</v>
      </c>
      <c r="N759" s="116">
        <v>223.58</v>
      </c>
      <c r="O759" s="116">
        <v>216.41</v>
      </c>
      <c r="P759" s="116">
        <v>220.4</v>
      </c>
      <c r="Q759" s="116">
        <v>1090.5999999999999</v>
      </c>
      <c r="R759">
        <v>8441</v>
      </c>
    </row>
    <row r="760" spans="1:18" x14ac:dyDescent="0.25">
      <c r="A760" s="170">
        <v>43145</v>
      </c>
      <c r="B760" s="116">
        <v>190.94</v>
      </c>
      <c r="C760" s="116">
        <v>184.67000000000002</v>
      </c>
      <c r="D760" s="116">
        <v>184</v>
      </c>
      <c r="E760" s="116">
        <v>190.94</v>
      </c>
      <c r="F760" s="116">
        <v>923.35</v>
      </c>
      <c r="G760">
        <v>349</v>
      </c>
      <c r="H760" s="116"/>
      <c r="I760" s="116"/>
      <c r="L760" s="170">
        <v>43125</v>
      </c>
      <c r="M760" s="116">
        <v>219.89000000000001</v>
      </c>
      <c r="N760" s="116">
        <v>224</v>
      </c>
      <c r="O760" s="116">
        <v>218.2</v>
      </c>
      <c r="P760" s="116">
        <v>222</v>
      </c>
      <c r="Q760" s="116">
        <v>1099.45</v>
      </c>
      <c r="R760">
        <v>8281</v>
      </c>
    </row>
    <row r="761" spans="1:18" x14ac:dyDescent="0.25">
      <c r="A761" s="170">
        <v>43146</v>
      </c>
      <c r="B761" s="116">
        <v>187.2</v>
      </c>
      <c r="C761" s="116">
        <v>179.03</v>
      </c>
      <c r="D761" s="116">
        <v>178</v>
      </c>
      <c r="E761" s="116">
        <v>185</v>
      </c>
      <c r="F761" s="116">
        <v>895.15</v>
      </c>
      <c r="G761">
        <v>497</v>
      </c>
      <c r="H761" s="116"/>
      <c r="I761" s="116"/>
      <c r="L761" s="170">
        <v>43129</v>
      </c>
      <c r="M761" s="116">
        <v>217.05</v>
      </c>
      <c r="N761" s="116">
        <v>224</v>
      </c>
      <c r="O761" s="116">
        <v>216.01</v>
      </c>
      <c r="P761" s="116">
        <v>224</v>
      </c>
      <c r="Q761" s="116">
        <v>1085.25</v>
      </c>
      <c r="R761">
        <v>3801</v>
      </c>
    </row>
    <row r="762" spans="1:18" x14ac:dyDescent="0.25">
      <c r="A762" s="170">
        <v>43147</v>
      </c>
      <c r="B762" s="116">
        <v>181.68</v>
      </c>
      <c r="C762" s="116">
        <v>176.07999999999998</v>
      </c>
      <c r="D762" s="116">
        <v>175</v>
      </c>
      <c r="E762" s="116">
        <v>181.68</v>
      </c>
      <c r="F762" s="116">
        <v>880.4</v>
      </c>
      <c r="G762">
        <v>385</v>
      </c>
      <c r="H762" s="116"/>
      <c r="I762" s="116"/>
      <c r="L762" s="170">
        <v>43130</v>
      </c>
      <c r="M762" s="116">
        <v>205.7</v>
      </c>
      <c r="N762" s="116">
        <v>217.19</v>
      </c>
      <c r="O762" s="116">
        <v>204.53</v>
      </c>
      <c r="P762" s="116">
        <v>215</v>
      </c>
      <c r="Q762" s="116">
        <v>1028.5</v>
      </c>
      <c r="R762">
        <v>8415</v>
      </c>
    </row>
    <row r="763" spans="1:18" x14ac:dyDescent="0.25">
      <c r="A763" s="170">
        <v>43150</v>
      </c>
      <c r="B763" s="116">
        <v>174.59</v>
      </c>
      <c r="C763" s="116">
        <v>172.72</v>
      </c>
      <c r="D763" s="116">
        <v>171.6</v>
      </c>
      <c r="E763" s="116">
        <v>174.24</v>
      </c>
      <c r="F763" s="116">
        <v>863.6</v>
      </c>
      <c r="G763">
        <v>1128</v>
      </c>
      <c r="H763" s="116"/>
      <c r="I763" s="116"/>
      <c r="L763" s="170">
        <v>43131</v>
      </c>
      <c r="M763" s="116">
        <v>200.57</v>
      </c>
      <c r="N763" s="116">
        <v>210</v>
      </c>
      <c r="O763" s="116">
        <v>196.22</v>
      </c>
      <c r="P763" s="116">
        <v>210</v>
      </c>
      <c r="Q763" s="116">
        <v>1002.85</v>
      </c>
      <c r="R763">
        <v>5001</v>
      </c>
    </row>
    <row r="764" spans="1:18" x14ac:dyDescent="0.25">
      <c r="A764" s="170">
        <v>43151</v>
      </c>
      <c r="B764" s="116">
        <v>177.4</v>
      </c>
      <c r="C764" s="116">
        <v>176.62</v>
      </c>
      <c r="D764" s="116">
        <v>172</v>
      </c>
      <c r="E764" s="116">
        <v>172.12</v>
      </c>
      <c r="F764" s="116">
        <v>883.1</v>
      </c>
      <c r="G764">
        <v>997</v>
      </c>
      <c r="H764" s="116"/>
      <c r="I764" s="116"/>
      <c r="L764" s="170">
        <v>43132</v>
      </c>
      <c r="M764" s="116">
        <v>197.5</v>
      </c>
      <c r="N764" s="116">
        <v>203</v>
      </c>
      <c r="O764" s="116">
        <v>190.09</v>
      </c>
      <c r="P764" s="116">
        <v>198.02</v>
      </c>
      <c r="Q764" s="116">
        <v>987.5</v>
      </c>
      <c r="R764">
        <v>12358</v>
      </c>
    </row>
    <row r="765" spans="1:18" x14ac:dyDescent="0.25">
      <c r="A765" s="170">
        <v>43152</v>
      </c>
      <c r="B765" s="116">
        <v>177.82</v>
      </c>
      <c r="C765" s="116">
        <v>171.9</v>
      </c>
      <c r="D765" s="116">
        <v>171.8</v>
      </c>
      <c r="E765" s="116">
        <v>177.82</v>
      </c>
      <c r="F765" s="116">
        <v>859.5</v>
      </c>
      <c r="G765">
        <v>551</v>
      </c>
      <c r="H765" s="116"/>
      <c r="I765" s="116"/>
      <c r="L765" s="170">
        <v>43133</v>
      </c>
      <c r="M765" s="116">
        <v>188.32</v>
      </c>
      <c r="N765" s="116">
        <v>197.59</v>
      </c>
      <c r="O765" s="116">
        <v>186.4</v>
      </c>
      <c r="P765" s="116">
        <v>197.59</v>
      </c>
      <c r="Q765" s="116">
        <v>941.6</v>
      </c>
      <c r="R765">
        <v>11312</v>
      </c>
    </row>
    <row r="766" spans="1:18" x14ac:dyDescent="0.25">
      <c r="A766" s="170">
        <v>43153</v>
      </c>
      <c r="B766" s="116">
        <v>173</v>
      </c>
      <c r="C766" s="116">
        <v>171.35</v>
      </c>
      <c r="D766" s="116">
        <v>170.4</v>
      </c>
      <c r="E766" s="116">
        <v>171</v>
      </c>
      <c r="F766" s="116">
        <v>856.75</v>
      </c>
      <c r="G766">
        <v>295</v>
      </c>
      <c r="H766" s="116"/>
      <c r="I766" s="116"/>
      <c r="L766" s="170">
        <v>43136</v>
      </c>
      <c r="M766" s="116">
        <v>179.01</v>
      </c>
      <c r="N766" s="116">
        <v>187</v>
      </c>
      <c r="O766" s="116">
        <v>172.32999999999998</v>
      </c>
      <c r="P766" s="116">
        <v>187</v>
      </c>
      <c r="Q766" s="116">
        <v>895.05</v>
      </c>
      <c r="R766">
        <v>12888</v>
      </c>
    </row>
    <row r="767" spans="1:18" x14ac:dyDescent="0.25">
      <c r="A767" s="170">
        <v>43154</v>
      </c>
      <c r="B767" s="116">
        <v>176.87</v>
      </c>
      <c r="C767" s="116">
        <v>175</v>
      </c>
      <c r="D767" s="116">
        <v>169.48</v>
      </c>
      <c r="E767" s="116">
        <v>169.48</v>
      </c>
      <c r="F767" s="116">
        <v>875</v>
      </c>
      <c r="G767">
        <v>557</v>
      </c>
      <c r="H767" s="116"/>
      <c r="I767" s="116"/>
      <c r="L767" s="170">
        <v>43137</v>
      </c>
      <c r="M767" s="116">
        <v>172.57</v>
      </c>
      <c r="N767" s="116">
        <v>177.2</v>
      </c>
      <c r="O767" s="116">
        <v>167.41</v>
      </c>
      <c r="P767" s="116">
        <v>174.1</v>
      </c>
      <c r="Q767" s="116">
        <v>862.85</v>
      </c>
      <c r="R767">
        <v>7527</v>
      </c>
    </row>
    <row r="768" spans="1:18" x14ac:dyDescent="0.25">
      <c r="A768" s="170">
        <v>43157</v>
      </c>
      <c r="B768" s="116">
        <v>179.32</v>
      </c>
      <c r="C768" s="116">
        <v>175.72</v>
      </c>
      <c r="D768" s="116">
        <v>174.24</v>
      </c>
      <c r="E768" s="116">
        <v>174.8</v>
      </c>
      <c r="F768" s="116">
        <v>878.6</v>
      </c>
      <c r="G768">
        <v>2051</v>
      </c>
      <c r="H768" s="116"/>
      <c r="I768" s="116"/>
      <c r="L768" s="170">
        <v>43138</v>
      </c>
      <c r="M768" s="116">
        <v>176.51</v>
      </c>
      <c r="N768" s="116">
        <v>179.6</v>
      </c>
      <c r="O768" s="116">
        <v>172.6</v>
      </c>
      <c r="P768" s="116">
        <v>172.6</v>
      </c>
      <c r="Q768" s="116">
        <v>882.55</v>
      </c>
      <c r="R768">
        <v>6192</v>
      </c>
    </row>
    <row r="769" spans="1:18" x14ac:dyDescent="0.25">
      <c r="A769" s="170">
        <v>43158</v>
      </c>
      <c r="B769" s="116">
        <v>178.8</v>
      </c>
      <c r="C769" s="116">
        <v>177.27</v>
      </c>
      <c r="D769" s="116">
        <v>175.93</v>
      </c>
      <c r="E769" s="116">
        <v>178.8</v>
      </c>
      <c r="F769" s="116">
        <v>886.35</v>
      </c>
      <c r="G769">
        <v>319</v>
      </c>
      <c r="H769" s="116"/>
      <c r="I769" s="116"/>
      <c r="L769" s="170">
        <v>43139</v>
      </c>
      <c r="M769" s="116">
        <v>183.20999999999998</v>
      </c>
      <c r="N769" s="116">
        <v>185.27</v>
      </c>
      <c r="O769" s="116">
        <v>177.5</v>
      </c>
      <c r="P769" s="116">
        <v>179.97</v>
      </c>
      <c r="Q769" s="116">
        <v>916.05</v>
      </c>
      <c r="R769">
        <v>5713</v>
      </c>
    </row>
    <row r="770" spans="1:18" x14ac:dyDescent="0.25">
      <c r="A770" s="170">
        <v>43159</v>
      </c>
      <c r="B770" s="116">
        <v>179</v>
      </c>
      <c r="C770" s="116">
        <v>174.92000000000002</v>
      </c>
      <c r="D770" s="116">
        <v>174.6</v>
      </c>
      <c r="E770" s="116">
        <v>177.2</v>
      </c>
      <c r="F770" s="116">
        <v>874.6</v>
      </c>
      <c r="G770">
        <v>224</v>
      </c>
      <c r="H770" s="116"/>
      <c r="I770" s="116"/>
      <c r="L770" s="170">
        <v>43140</v>
      </c>
      <c r="M770" s="116">
        <v>183.31</v>
      </c>
      <c r="N770" s="116">
        <v>187</v>
      </c>
      <c r="O770" s="116">
        <v>178</v>
      </c>
      <c r="P770" s="116">
        <v>179.98</v>
      </c>
      <c r="Q770" s="116">
        <v>916.55</v>
      </c>
      <c r="R770">
        <v>7482</v>
      </c>
    </row>
    <row r="771" spans="1:18" x14ac:dyDescent="0.25">
      <c r="A771" s="170">
        <v>43160</v>
      </c>
      <c r="B771" s="116">
        <v>176.82999999999998</v>
      </c>
      <c r="C771" s="116">
        <v>175</v>
      </c>
      <c r="D771" s="116">
        <v>174.2</v>
      </c>
      <c r="E771" s="116">
        <v>176.82999999999998</v>
      </c>
      <c r="F771" s="116">
        <v>875</v>
      </c>
      <c r="G771">
        <v>14243</v>
      </c>
      <c r="H771" s="116"/>
      <c r="I771" s="116"/>
      <c r="L771" s="170">
        <v>43143</v>
      </c>
      <c r="M771" s="116">
        <v>185.74</v>
      </c>
      <c r="N771" s="116">
        <v>187.79000000000002</v>
      </c>
      <c r="O771" s="116">
        <v>183.31</v>
      </c>
      <c r="P771" s="116">
        <v>187.79000000000002</v>
      </c>
      <c r="Q771" s="116">
        <v>928.7</v>
      </c>
      <c r="R771">
        <v>3327</v>
      </c>
    </row>
    <row r="772" spans="1:18" x14ac:dyDescent="0.25">
      <c r="A772" s="170">
        <v>43164</v>
      </c>
      <c r="B772" s="116">
        <v>173.8</v>
      </c>
      <c r="C772" s="116">
        <v>171.47</v>
      </c>
      <c r="D772" s="116">
        <v>166.4</v>
      </c>
      <c r="E772" s="116">
        <v>166.4</v>
      </c>
      <c r="F772" s="116">
        <v>857.35</v>
      </c>
      <c r="G772">
        <v>1098</v>
      </c>
      <c r="H772" s="116"/>
      <c r="I772" s="116"/>
      <c r="L772" s="170">
        <v>43145</v>
      </c>
      <c r="M772" s="116">
        <v>185.8</v>
      </c>
      <c r="N772" s="116">
        <v>191.1</v>
      </c>
      <c r="O772" s="116">
        <v>184.3</v>
      </c>
      <c r="P772" s="116">
        <v>189.8</v>
      </c>
      <c r="Q772" s="116">
        <v>929</v>
      </c>
      <c r="R772">
        <v>3708</v>
      </c>
    </row>
    <row r="773" spans="1:18" x14ac:dyDescent="0.25">
      <c r="A773" s="170">
        <v>43165</v>
      </c>
      <c r="B773" s="116">
        <v>173.6</v>
      </c>
      <c r="C773" s="116">
        <v>169.70999999999998</v>
      </c>
      <c r="D773" s="116">
        <v>168.4</v>
      </c>
      <c r="E773" s="116">
        <v>173</v>
      </c>
      <c r="F773" s="116">
        <v>848.55</v>
      </c>
      <c r="G773">
        <v>1378</v>
      </c>
      <c r="H773" s="116"/>
      <c r="I773" s="116"/>
      <c r="L773" s="170">
        <v>43146</v>
      </c>
      <c r="M773" s="116">
        <v>178.1</v>
      </c>
      <c r="N773" s="116">
        <v>187.37</v>
      </c>
      <c r="O773" s="116">
        <v>176.6</v>
      </c>
      <c r="P773" s="116">
        <v>183.85999999999999</v>
      </c>
      <c r="Q773" s="116">
        <v>890.5</v>
      </c>
      <c r="R773">
        <v>4608</v>
      </c>
    </row>
    <row r="774" spans="1:18" x14ac:dyDescent="0.25">
      <c r="A774" s="170">
        <v>43166</v>
      </c>
      <c r="B774" s="116">
        <v>169.1</v>
      </c>
      <c r="C774" s="116">
        <v>164.03</v>
      </c>
      <c r="D774" s="116">
        <v>163.12</v>
      </c>
      <c r="E774" s="116">
        <v>168.52</v>
      </c>
      <c r="F774" s="116">
        <v>820.15</v>
      </c>
      <c r="G774">
        <v>1164</v>
      </c>
      <c r="H774" s="116"/>
      <c r="I774" s="116"/>
      <c r="L774" s="170">
        <v>43147</v>
      </c>
      <c r="M774" s="116">
        <v>175.77</v>
      </c>
      <c r="N774" s="116">
        <v>182.70999999999998</v>
      </c>
      <c r="O774" s="116">
        <v>174.25</v>
      </c>
      <c r="P774" s="116">
        <v>181.8</v>
      </c>
      <c r="Q774" s="116">
        <v>878.85</v>
      </c>
      <c r="R774">
        <v>7099</v>
      </c>
    </row>
    <row r="775" spans="1:18" x14ac:dyDescent="0.25">
      <c r="A775" s="170">
        <v>43167</v>
      </c>
      <c r="B775" s="116">
        <v>166.1</v>
      </c>
      <c r="C775" s="116">
        <v>165.05</v>
      </c>
      <c r="D775" s="116">
        <v>160.09</v>
      </c>
      <c r="E775" s="116">
        <v>165.45</v>
      </c>
      <c r="F775" s="116">
        <v>825.25</v>
      </c>
      <c r="G775">
        <v>1074</v>
      </c>
      <c r="H775" s="116"/>
      <c r="I775" s="116"/>
      <c r="L775" s="170">
        <v>43150</v>
      </c>
      <c r="M775" s="116">
        <v>172.03</v>
      </c>
      <c r="N775" s="116">
        <v>178.8</v>
      </c>
      <c r="O775" s="116">
        <v>171.39000000000001</v>
      </c>
      <c r="P775" s="116">
        <v>177</v>
      </c>
      <c r="Q775" s="116">
        <v>860.15</v>
      </c>
      <c r="R775">
        <v>4981</v>
      </c>
    </row>
    <row r="776" spans="1:18" x14ac:dyDescent="0.25">
      <c r="A776" s="170">
        <v>43168</v>
      </c>
      <c r="B776" s="116">
        <v>166.02</v>
      </c>
      <c r="C776" s="116">
        <v>164.77</v>
      </c>
      <c r="D776" s="116">
        <v>162</v>
      </c>
      <c r="E776" s="116">
        <v>163.80000000000001</v>
      </c>
      <c r="F776" s="116">
        <v>823.85</v>
      </c>
      <c r="G776">
        <v>521</v>
      </c>
      <c r="H776" s="116"/>
      <c r="I776" s="116"/>
      <c r="L776" s="170">
        <v>43151</v>
      </c>
      <c r="M776" s="116">
        <v>176.14000000000001</v>
      </c>
      <c r="N776" s="116">
        <v>177.6</v>
      </c>
      <c r="O776" s="116">
        <v>170.4</v>
      </c>
      <c r="P776" s="116">
        <v>177.18</v>
      </c>
      <c r="Q776" s="116">
        <v>880.7</v>
      </c>
      <c r="R776">
        <v>5511</v>
      </c>
    </row>
    <row r="777" spans="1:18" x14ac:dyDescent="0.25">
      <c r="A777" s="170">
        <v>43171</v>
      </c>
      <c r="B777" s="116">
        <v>167.97</v>
      </c>
      <c r="C777" s="116">
        <v>163.78</v>
      </c>
      <c r="D777" s="116">
        <v>162</v>
      </c>
      <c r="E777" s="116">
        <v>167.8</v>
      </c>
      <c r="F777" s="116">
        <v>818.9</v>
      </c>
      <c r="G777">
        <v>2485</v>
      </c>
      <c r="H777" s="116"/>
      <c r="I777" s="116"/>
      <c r="L777" s="170">
        <v>43152</v>
      </c>
      <c r="M777" s="116">
        <v>172</v>
      </c>
      <c r="N777" s="116">
        <v>178.4</v>
      </c>
      <c r="O777" s="116">
        <v>171</v>
      </c>
      <c r="P777" s="116">
        <v>178.02</v>
      </c>
      <c r="Q777" s="116">
        <v>860</v>
      </c>
      <c r="R777">
        <v>5313</v>
      </c>
    </row>
    <row r="778" spans="1:18" x14ac:dyDescent="0.25">
      <c r="A778" s="170">
        <v>43172</v>
      </c>
      <c r="B778" s="116">
        <v>171.3</v>
      </c>
      <c r="C778" s="116">
        <v>171.23</v>
      </c>
      <c r="D778" s="116">
        <v>163.6</v>
      </c>
      <c r="E778" s="116">
        <v>163.6</v>
      </c>
      <c r="F778" s="116">
        <v>856.15</v>
      </c>
      <c r="G778">
        <v>300</v>
      </c>
      <c r="H778" s="116"/>
      <c r="I778" s="116"/>
      <c r="L778" s="170">
        <v>43153</v>
      </c>
      <c r="M778" s="116">
        <v>170.63</v>
      </c>
      <c r="N778" s="116">
        <v>173.8</v>
      </c>
      <c r="O778" s="116">
        <v>169.93</v>
      </c>
      <c r="P778" s="116">
        <v>170</v>
      </c>
      <c r="Q778" s="116">
        <v>853.15</v>
      </c>
      <c r="R778">
        <v>2431</v>
      </c>
    </row>
    <row r="779" spans="1:18" x14ac:dyDescent="0.25">
      <c r="A779" s="170">
        <v>43173</v>
      </c>
      <c r="B779" s="116">
        <v>175.35999999999999</v>
      </c>
      <c r="C779" s="116">
        <v>173.82</v>
      </c>
      <c r="D779" s="116">
        <v>168.8</v>
      </c>
      <c r="E779" s="116">
        <v>169</v>
      </c>
      <c r="F779" s="116">
        <v>869.1</v>
      </c>
      <c r="G779">
        <v>873</v>
      </c>
      <c r="H779" s="116"/>
      <c r="I779" s="116"/>
      <c r="L779" s="170">
        <v>43154</v>
      </c>
      <c r="M779" s="116">
        <v>174.41</v>
      </c>
      <c r="N779" s="116">
        <v>177</v>
      </c>
      <c r="O779" s="116">
        <v>169.82999999999998</v>
      </c>
      <c r="P779" s="116">
        <v>173.8</v>
      </c>
      <c r="Q779" s="116">
        <v>872.05</v>
      </c>
      <c r="R779">
        <v>3447</v>
      </c>
    </row>
    <row r="780" spans="1:18" x14ac:dyDescent="0.25">
      <c r="A780" s="170">
        <v>43174</v>
      </c>
      <c r="B780" s="116">
        <v>180</v>
      </c>
      <c r="C780" s="116">
        <v>177.51</v>
      </c>
      <c r="D780" s="116">
        <v>172</v>
      </c>
      <c r="E780" s="116">
        <v>172</v>
      </c>
      <c r="F780" s="116">
        <v>887.55</v>
      </c>
      <c r="G780">
        <v>467</v>
      </c>
      <c r="H780" s="116"/>
      <c r="I780" s="116"/>
      <c r="L780" s="170">
        <v>43157</v>
      </c>
      <c r="M780" s="116">
        <v>176.27</v>
      </c>
      <c r="N780" s="116">
        <v>179.8</v>
      </c>
      <c r="O780" s="116">
        <v>175</v>
      </c>
      <c r="P780" s="116">
        <v>177</v>
      </c>
      <c r="Q780" s="116">
        <v>881.35</v>
      </c>
      <c r="R780">
        <v>6131</v>
      </c>
    </row>
    <row r="781" spans="1:18" x14ac:dyDescent="0.25">
      <c r="A781" s="170">
        <v>43175</v>
      </c>
      <c r="B781" s="116">
        <v>179.76</v>
      </c>
      <c r="C781" s="116">
        <v>172.22</v>
      </c>
      <c r="D781" s="116">
        <v>170.2</v>
      </c>
      <c r="E781" s="116">
        <v>178.48</v>
      </c>
      <c r="F781" s="116">
        <v>861.1</v>
      </c>
      <c r="G781">
        <v>83</v>
      </c>
      <c r="H781" s="116"/>
      <c r="I781" s="116"/>
      <c r="L781" s="170">
        <v>43158</v>
      </c>
      <c r="M781" s="116">
        <v>177.57999999999998</v>
      </c>
      <c r="N781" s="116">
        <v>181.2</v>
      </c>
      <c r="O781" s="116">
        <v>176</v>
      </c>
      <c r="P781" s="116">
        <v>176</v>
      </c>
      <c r="Q781" s="116">
        <v>887.9</v>
      </c>
      <c r="R781">
        <v>2381</v>
      </c>
    </row>
    <row r="782" spans="1:18" x14ac:dyDescent="0.25">
      <c r="A782" s="170">
        <v>43178</v>
      </c>
      <c r="B782" s="116">
        <v>172.03</v>
      </c>
      <c r="C782" s="116">
        <v>171.89000000000001</v>
      </c>
      <c r="D782" s="116">
        <v>168.27</v>
      </c>
      <c r="E782" s="116">
        <v>171.8</v>
      </c>
      <c r="F782" s="116">
        <v>859.45</v>
      </c>
      <c r="G782">
        <v>103</v>
      </c>
      <c r="H782" s="116"/>
      <c r="I782" s="116"/>
      <c r="L782" s="170">
        <v>43159</v>
      </c>
      <c r="M782" s="116">
        <v>174.92000000000002</v>
      </c>
      <c r="N782" s="116">
        <v>178.6</v>
      </c>
      <c r="O782" s="116">
        <v>174.51</v>
      </c>
      <c r="P782" s="116">
        <v>176.2</v>
      </c>
      <c r="Q782" s="116">
        <v>874.6</v>
      </c>
      <c r="R782">
        <v>3655</v>
      </c>
    </row>
    <row r="783" spans="1:18" x14ac:dyDescent="0.25">
      <c r="A783" s="170">
        <v>43179</v>
      </c>
      <c r="B783" s="116">
        <v>170.4</v>
      </c>
      <c r="C783" s="116">
        <v>168.97</v>
      </c>
      <c r="D783" s="116">
        <v>168.8</v>
      </c>
      <c r="E783" s="116">
        <v>170.4</v>
      </c>
      <c r="F783" s="116">
        <v>844.85</v>
      </c>
      <c r="G783">
        <v>511</v>
      </c>
      <c r="H783" s="116"/>
      <c r="I783" s="116"/>
      <c r="L783" s="170">
        <v>43160</v>
      </c>
      <c r="M783" s="116">
        <v>174.49</v>
      </c>
      <c r="N783" s="116">
        <v>177.39000000000001</v>
      </c>
      <c r="O783" s="116">
        <v>172.42000000000002</v>
      </c>
      <c r="P783" s="116">
        <v>172.43</v>
      </c>
      <c r="Q783" s="116">
        <v>872.45</v>
      </c>
      <c r="R783">
        <v>1447</v>
      </c>
    </row>
    <row r="784" spans="1:18" x14ac:dyDescent="0.25">
      <c r="A784" s="170">
        <v>43180</v>
      </c>
      <c r="B784" s="116">
        <v>172.31</v>
      </c>
      <c r="C784" s="116">
        <v>171.1</v>
      </c>
      <c r="D784" s="116">
        <v>170</v>
      </c>
      <c r="E784" s="116">
        <v>170.32</v>
      </c>
      <c r="F784" s="116">
        <v>855.5</v>
      </c>
      <c r="G784">
        <v>242</v>
      </c>
      <c r="H784" s="116"/>
      <c r="I784" s="116"/>
      <c r="L784" s="170">
        <v>43164</v>
      </c>
      <c r="M784" s="116">
        <v>171.43</v>
      </c>
      <c r="N784" s="116">
        <v>174</v>
      </c>
      <c r="O784" s="116">
        <v>169.6</v>
      </c>
      <c r="P784" s="116">
        <v>174</v>
      </c>
      <c r="Q784" s="116">
        <v>857.15</v>
      </c>
      <c r="R784">
        <v>4051</v>
      </c>
    </row>
    <row r="785" spans="1:18" x14ac:dyDescent="0.25">
      <c r="A785" s="170">
        <v>43181</v>
      </c>
      <c r="B785" s="116">
        <v>170.01</v>
      </c>
      <c r="C785" s="116">
        <v>168.49</v>
      </c>
      <c r="D785" s="116">
        <v>166.62</v>
      </c>
      <c r="E785" s="116">
        <v>170.01</v>
      </c>
      <c r="F785" s="116">
        <v>842.45</v>
      </c>
      <c r="G785">
        <v>1207</v>
      </c>
      <c r="H785" s="116"/>
      <c r="I785" s="116"/>
      <c r="L785" s="170">
        <v>43165</v>
      </c>
      <c r="M785" s="116">
        <v>170.25</v>
      </c>
      <c r="N785" s="116">
        <v>174</v>
      </c>
      <c r="O785" s="116">
        <v>169.6</v>
      </c>
      <c r="P785" s="116">
        <v>171.8</v>
      </c>
      <c r="Q785" s="116">
        <v>851.25</v>
      </c>
      <c r="R785">
        <v>3816</v>
      </c>
    </row>
    <row r="786" spans="1:18" x14ac:dyDescent="0.25">
      <c r="A786" s="170">
        <v>43182</v>
      </c>
      <c r="B786" s="116">
        <v>166.5</v>
      </c>
      <c r="C786" s="116">
        <v>166.19</v>
      </c>
      <c r="D786" s="116">
        <v>162.6</v>
      </c>
      <c r="E786" s="116">
        <v>164.20999999999998</v>
      </c>
      <c r="F786" s="116">
        <v>830.95</v>
      </c>
      <c r="G786">
        <v>319</v>
      </c>
      <c r="H786" s="116"/>
      <c r="I786" s="116"/>
      <c r="L786" s="170">
        <v>43166</v>
      </c>
      <c r="M786" s="116">
        <v>163.49</v>
      </c>
      <c r="N786" s="116">
        <v>171</v>
      </c>
      <c r="O786" s="116">
        <v>161.80000000000001</v>
      </c>
      <c r="P786" s="116">
        <v>171</v>
      </c>
      <c r="Q786" s="116">
        <v>817.45</v>
      </c>
      <c r="R786">
        <v>5251</v>
      </c>
    </row>
    <row r="787" spans="1:18" x14ac:dyDescent="0.25">
      <c r="A787" s="170">
        <v>43185</v>
      </c>
      <c r="B787" s="116">
        <v>172.9</v>
      </c>
      <c r="C787" s="116">
        <v>171.85999999999999</v>
      </c>
      <c r="D787" s="116">
        <v>163.80000000000001</v>
      </c>
      <c r="E787" s="116">
        <v>163.98</v>
      </c>
      <c r="F787" s="116">
        <v>859.3</v>
      </c>
      <c r="G787">
        <v>1491</v>
      </c>
      <c r="H787" s="116"/>
      <c r="I787" s="116"/>
      <c r="L787" s="170">
        <v>43167</v>
      </c>
      <c r="M787" s="116">
        <v>164.06</v>
      </c>
      <c r="N787" s="116">
        <v>166</v>
      </c>
      <c r="O787" s="116">
        <v>158.4</v>
      </c>
      <c r="P787" s="116">
        <v>165</v>
      </c>
      <c r="Q787" s="116">
        <v>820.3</v>
      </c>
      <c r="R787">
        <v>6177</v>
      </c>
    </row>
    <row r="788" spans="1:18" x14ac:dyDescent="0.25">
      <c r="A788" s="170">
        <v>43186</v>
      </c>
      <c r="B788" s="116">
        <v>174.32</v>
      </c>
      <c r="C788" s="116">
        <v>171.37</v>
      </c>
      <c r="D788" s="116">
        <v>169.23</v>
      </c>
      <c r="E788" s="116">
        <v>172.2</v>
      </c>
      <c r="F788" s="116">
        <v>856.85</v>
      </c>
      <c r="G788">
        <v>66</v>
      </c>
      <c r="H788" s="116"/>
      <c r="I788" s="116"/>
      <c r="L788" s="170">
        <v>43168</v>
      </c>
      <c r="M788" s="116">
        <v>165.32</v>
      </c>
      <c r="N788" s="116">
        <v>167.57999999999998</v>
      </c>
      <c r="O788" s="116">
        <v>162</v>
      </c>
      <c r="P788" s="116">
        <v>164</v>
      </c>
      <c r="Q788" s="116">
        <v>826.6</v>
      </c>
      <c r="R788">
        <v>3767</v>
      </c>
    </row>
    <row r="789" spans="1:18" x14ac:dyDescent="0.25">
      <c r="A789" s="170">
        <v>43187</v>
      </c>
      <c r="B789" s="116">
        <v>175.4</v>
      </c>
      <c r="C789" s="116">
        <v>173.95999999999998</v>
      </c>
      <c r="D789" s="116">
        <v>170</v>
      </c>
      <c r="E789" s="116">
        <v>170.2</v>
      </c>
      <c r="F789" s="116">
        <v>869.8</v>
      </c>
      <c r="G789">
        <v>140</v>
      </c>
      <c r="H789" s="116"/>
      <c r="I789" s="116"/>
      <c r="L789" s="170">
        <v>43171</v>
      </c>
      <c r="M789" s="116">
        <v>163.65</v>
      </c>
      <c r="N789" s="116">
        <v>168</v>
      </c>
      <c r="O789" s="116">
        <v>161</v>
      </c>
      <c r="P789" s="116">
        <v>164.24</v>
      </c>
      <c r="Q789" s="116">
        <v>818.25</v>
      </c>
      <c r="R789">
        <v>1533</v>
      </c>
    </row>
    <row r="790" spans="1:18" x14ac:dyDescent="0.25">
      <c r="A790" s="170">
        <v>43192</v>
      </c>
      <c r="B790" s="116">
        <v>186.2</v>
      </c>
      <c r="C790" s="116">
        <v>178.09</v>
      </c>
      <c r="D790" s="116">
        <v>172.32</v>
      </c>
      <c r="E790" s="116">
        <v>172.32</v>
      </c>
      <c r="F790" s="116">
        <v>890.45</v>
      </c>
      <c r="G790">
        <v>378</v>
      </c>
      <c r="H790" s="116"/>
      <c r="I790" s="116"/>
      <c r="L790" s="170">
        <v>43172</v>
      </c>
      <c r="M790" s="116">
        <v>170.52</v>
      </c>
      <c r="N790" s="116">
        <v>173</v>
      </c>
      <c r="O790" s="116">
        <v>161.6</v>
      </c>
      <c r="P790" s="116">
        <v>161.6</v>
      </c>
      <c r="Q790" s="116">
        <v>852.6</v>
      </c>
      <c r="R790">
        <v>6104</v>
      </c>
    </row>
    <row r="791" spans="1:18" x14ac:dyDescent="0.25">
      <c r="A791" s="170">
        <v>43193</v>
      </c>
      <c r="B791" s="116">
        <v>185.2</v>
      </c>
      <c r="C791" s="116">
        <v>179.45999999999998</v>
      </c>
      <c r="D791" s="116">
        <v>178.2</v>
      </c>
      <c r="E791" s="116">
        <v>181.72</v>
      </c>
      <c r="F791" s="116">
        <v>897.3</v>
      </c>
      <c r="G791">
        <v>542</v>
      </c>
      <c r="H791" s="116"/>
      <c r="I791" s="116"/>
      <c r="L791" s="170">
        <v>43173</v>
      </c>
      <c r="M791" s="116">
        <v>172.42000000000002</v>
      </c>
      <c r="N791" s="116">
        <v>174.4</v>
      </c>
      <c r="O791" s="116">
        <v>167.2</v>
      </c>
      <c r="P791" s="116">
        <v>171.99</v>
      </c>
      <c r="Q791" s="116">
        <v>862.1</v>
      </c>
      <c r="R791">
        <v>2339</v>
      </c>
    </row>
    <row r="792" spans="1:18" x14ac:dyDescent="0.25">
      <c r="A792" s="170">
        <v>43194</v>
      </c>
      <c r="B792" s="116">
        <v>181</v>
      </c>
      <c r="C792" s="116">
        <v>176.27</v>
      </c>
      <c r="D792" s="116">
        <v>172</v>
      </c>
      <c r="E792" s="116">
        <v>181</v>
      </c>
      <c r="F792" s="116">
        <v>881.35</v>
      </c>
      <c r="G792">
        <v>693</v>
      </c>
      <c r="H792" s="116"/>
      <c r="I792" s="116"/>
      <c r="L792" s="170">
        <v>43174</v>
      </c>
      <c r="M792" s="116">
        <v>177.91</v>
      </c>
      <c r="N792" s="116">
        <v>179.8</v>
      </c>
      <c r="O792" s="116">
        <v>172.6</v>
      </c>
      <c r="P792" s="116">
        <v>172.6</v>
      </c>
      <c r="Q792" s="116">
        <v>889.55</v>
      </c>
      <c r="R792">
        <v>4400</v>
      </c>
    </row>
    <row r="793" spans="1:18" x14ac:dyDescent="0.25">
      <c r="A793" s="170">
        <v>43195</v>
      </c>
      <c r="B793" s="116">
        <v>178.5</v>
      </c>
      <c r="C793" s="116">
        <v>176.22</v>
      </c>
      <c r="D793" s="116">
        <v>176.2</v>
      </c>
      <c r="E793" s="116">
        <v>176.2</v>
      </c>
      <c r="F793" s="116">
        <v>881.1</v>
      </c>
      <c r="G793">
        <v>63</v>
      </c>
      <c r="H793" s="116"/>
      <c r="I793" s="116"/>
      <c r="L793" s="170">
        <v>43175</v>
      </c>
      <c r="M793" s="116">
        <v>172.09</v>
      </c>
      <c r="N793" s="116">
        <v>183</v>
      </c>
      <c r="O793" s="116">
        <v>171.3</v>
      </c>
      <c r="P793" s="116">
        <v>179.98</v>
      </c>
      <c r="Q793" s="116">
        <v>860.45</v>
      </c>
      <c r="R793">
        <v>3037</v>
      </c>
    </row>
    <row r="794" spans="1:18" x14ac:dyDescent="0.25">
      <c r="A794" s="170">
        <v>43196</v>
      </c>
      <c r="B794" s="116">
        <v>180.6</v>
      </c>
      <c r="C794" s="116">
        <v>179.69</v>
      </c>
      <c r="D794" s="116">
        <v>178.4</v>
      </c>
      <c r="E794" s="116">
        <v>179.8</v>
      </c>
      <c r="F794" s="116">
        <v>898.45</v>
      </c>
      <c r="G794">
        <v>2020</v>
      </c>
      <c r="H794" s="116"/>
      <c r="I794" s="116"/>
      <c r="L794" s="170">
        <v>43178</v>
      </c>
      <c r="M794" s="116">
        <v>172.02</v>
      </c>
      <c r="N794" s="116">
        <v>175.98</v>
      </c>
      <c r="O794" s="116">
        <v>167.93</v>
      </c>
      <c r="P794" s="116">
        <v>175.98</v>
      </c>
      <c r="Q794" s="116">
        <v>860.1</v>
      </c>
      <c r="R794">
        <v>5357</v>
      </c>
    </row>
    <row r="795" spans="1:18" x14ac:dyDescent="0.25">
      <c r="A795" s="170">
        <v>43199</v>
      </c>
      <c r="B795" s="116">
        <v>184</v>
      </c>
      <c r="C795" s="116">
        <v>182.19</v>
      </c>
      <c r="D795" s="116">
        <v>181.6</v>
      </c>
      <c r="E795" s="116">
        <v>183.7</v>
      </c>
      <c r="F795" s="116">
        <v>910.95</v>
      </c>
      <c r="G795">
        <v>251</v>
      </c>
      <c r="H795" s="116"/>
      <c r="I795" s="116"/>
      <c r="L795" s="170">
        <v>43179</v>
      </c>
      <c r="M795" s="116">
        <v>168.45999999999998</v>
      </c>
      <c r="N795" s="116">
        <v>172.99</v>
      </c>
      <c r="O795" s="116">
        <v>167.73</v>
      </c>
      <c r="P795" s="116">
        <v>168.57999999999998</v>
      </c>
      <c r="Q795" s="116">
        <v>842.3</v>
      </c>
      <c r="R795">
        <v>2623</v>
      </c>
    </row>
    <row r="796" spans="1:18" x14ac:dyDescent="0.25">
      <c r="A796" s="170">
        <v>43200</v>
      </c>
      <c r="B796" s="116">
        <v>183</v>
      </c>
      <c r="C796" s="116">
        <v>182.34</v>
      </c>
      <c r="D796" s="116">
        <v>181.65</v>
      </c>
      <c r="E796" s="116">
        <v>182.5</v>
      </c>
      <c r="F796" s="116">
        <v>911.7</v>
      </c>
      <c r="G796">
        <v>527</v>
      </c>
      <c r="H796" s="116"/>
      <c r="I796" s="116"/>
      <c r="L796" s="170">
        <v>43180</v>
      </c>
      <c r="M796" s="116">
        <v>170.62</v>
      </c>
      <c r="N796" s="116">
        <v>173</v>
      </c>
      <c r="O796" s="116">
        <v>168</v>
      </c>
      <c r="P796" s="116">
        <v>170.02</v>
      </c>
      <c r="Q796" s="116">
        <v>853.1</v>
      </c>
      <c r="R796">
        <v>3000</v>
      </c>
    </row>
    <row r="797" spans="1:18" x14ac:dyDescent="0.25">
      <c r="A797" s="170">
        <v>43201</v>
      </c>
      <c r="B797" s="116">
        <v>182.95999999999998</v>
      </c>
      <c r="C797" s="116">
        <v>181.3</v>
      </c>
      <c r="D797" s="116">
        <v>180.9</v>
      </c>
      <c r="E797" s="116">
        <v>180.91</v>
      </c>
      <c r="F797" s="116">
        <v>906.5</v>
      </c>
      <c r="G797">
        <v>125</v>
      </c>
      <c r="H797" s="116"/>
      <c r="I797" s="116"/>
      <c r="L797" s="170">
        <v>43181</v>
      </c>
      <c r="M797" s="116">
        <v>168.57999999999998</v>
      </c>
      <c r="N797" s="116">
        <v>172.59</v>
      </c>
      <c r="O797" s="116">
        <v>165.51</v>
      </c>
      <c r="P797" s="116">
        <v>172.57</v>
      </c>
      <c r="Q797" s="116">
        <v>842.9</v>
      </c>
      <c r="R797">
        <v>3309</v>
      </c>
    </row>
    <row r="798" spans="1:18" x14ac:dyDescent="0.25">
      <c r="A798" s="170">
        <v>43202</v>
      </c>
      <c r="B798" s="116">
        <v>180.2</v>
      </c>
      <c r="C798" s="116">
        <v>179</v>
      </c>
      <c r="D798" s="116">
        <v>179</v>
      </c>
      <c r="E798" s="116">
        <v>180.2</v>
      </c>
      <c r="F798" s="116">
        <v>895</v>
      </c>
      <c r="G798">
        <v>173</v>
      </c>
      <c r="H798" s="116"/>
      <c r="I798" s="116"/>
      <c r="L798" s="170">
        <v>43182</v>
      </c>
      <c r="M798" s="116">
        <v>166.9</v>
      </c>
      <c r="N798" s="116">
        <v>167.98</v>
      </c>
      <c r="O798" s="116">
        <v>163.25</v>
      </c>
      <c r="P798" s="116">
        <v>164</v>
      </c>
      <c r="Q798" s="116">
        <v>834.5</v>
      </c>
      <c r="R798">
        <v>3910</v>
      </c>
    </row>
    <row r="799" spans="1:18" x14ac:dyDescent="0.25">
      <c r="A799" s="170">
        <v>43203</v>
      </c>
      <c r="B799" s="116">
        <v>183</v>
      </c>
      <c r="C799" s="116">
        <v>180.73</v>
      </c>
      <c r="D799" s="116">
        <v>179.28</v>
      </c>
      <c r="E799" s="116">
        <v>182.9</v>
      </c>
      <c r="F799" s="116">
        <v>903.65</v>
      </c>
      <c r="G799">
        <v>2415</v>
      </c>
      <c r="H799" s="116"/>
      <c r="I799" s="116"/>
      <c r="L799" s="170">
        <v>43185</v>
      </c>
      <c r="M799" s="116">
        <v>169.17000000000002</v>
      </c>
      <c r="N799" s="116">
        <v>170.98</v>
      </c>
      <c r="O799" s="116">
        <v>164.22</v>
      </c>
      <c r="P799" s="116">
        <v>170.98</v>
      </c>
      <c r="Q799" s="116">
        <v>845.85</v>
      </c>
      <c r="R799">
        <v>5986</v>
      </c>
    </row>
    <row r="800" spans="1:18" x14ac:dyDescent="0.25">
      <c r="A800" s="170">
        <v>43206</v>
      </c>
      <c r="B800" s="116">
        <v>185.95999999999998</v>
      </c>
      <c r="C800" s="116">
        <v>182</v>
      </c>
      <c r="D800" s="116">
        <v>178.04000000000002</v>
      </c>
      <c r="E800" s="116">
        <v>185.95999999999998</v>
      </c>
      <c r="F800" s="116">
        <v>910</v>
      </c>
      <c r="G800">
        <v>9</v>
      </c>
      <c r="H800" s="116"/>
      <c r="I800" s="116"/>
      <c r="L800" s="170">
        <v>43186</v>
      </c>
      <c r="M800" s="116">
        <v>171.95999999999998</v>
      </c>
      <c r="N800" s="116">
        <v>175.93</v>
      </c>
      <c r="O800" s="116">
        <v>168.25</v>
      </c>
      <c r="P800" s="116">
        <v>175.93</v>
      </c>
      <c r="Q800" s="116">
        <v>859.8</v>
      </c>
      <c r="R800">
        <v>725</v>
      </c>
    </row>
    <row r="801" spans="1:18" x14ac:dyDescent="0.25">
      <c r="A801" s="170">
        <v>43207</v>
      </c>
      <c r="B801" s="116">
        <v>183.2</v>
      </c>
      <c r="C801" s="116">
        <v>182.41</v>
      </c>
      <c r="D801" s="116">
        <v>179.8</v>
      </c>
      <c r="E801" s="116">
        <v>179.8</v>
      </c>
      <c r="F801" s="116">
        <v>912.05</v>
      </c>
      <c r="G801">
        <v>107</v>
      </c>
      <c r="H801" s="116"/>
      <c r="I801" s="116"/>
      <c r="L801" s="170">
        <v>43187</v>
      </c>
      <c r="M801" s="116">
        <v>171.88</v>
      </c>
      <c r="N801" s="116">
        <v>173.38</v>
      </c>
      <c r="O801" s="116">
        <v>169.06</v>
      </c>
      <c r="P801" s="116">
        <v>169.06</v>
      </c>
      <c r="Q801" s="116">
        <v>859.4</v>
      </c>
      <c r="R801">
        <v>3293</v>
      </c>
    </row>
    <row r="802" spans="1:18" x14ac:dyDescent="0.25">
      <c r="A802" s="170">
        <v>43208</v>
      </c>
      <c r="B802" s="116">
        <v>183</v>
      </c>
      <c r="C802" s="116">
        <v>180.62</v>
      </c>
      <c r="D802" s="116">
        <v>179.23</v>
      </c>
      <c r="E802" s="116">
        <v>179.23</v>
      </c>
      <c r="F802" s="116">
        <v>903.1</v>
      </c>
      <c r="G802">
        <v>96</v>
      </c>
      <c r="H802" s="116"/>
      <c r="I802" s="116"/>
      <c r="L802" s="170">
        <v>43192</v>
      </c>
      <c r="M802" s="116">
        <v>177.09</v>
      </c>
      <c r="N802" s="116">
        <v>187.09</v>
      </c>
      <c r="O802" s="116">
        <v>171.2</v>
      </c>
      <c r="P802" s="116">
        <v>174</v>
      </c>
      <c r="Q802" s="116">
        <v>885.45</v>
      </c>
      <c r="R802">
        <v>5287</v>
      </c>
    </row>
    <row r="803" spans="1:18" x14ac:dyDescent="0.25">
      <c r="A803" s="170">
        <v>43209</v>
      </c>
      <c r="B803" s="116">
        <v>186</v>
      </c>
      <c r="C803" s="116">
        <v>184.22</v>
      </c>
      <c r="D803" s="116">
        <v>181.27</v>
      </c>
      <c r="E803" s="116">
        <v>182.18</v>
      </c>
      <c r="F803" s="116">
        <v>921.1</v>
      </c>
      <c r="G803">
        <v>146</v>
      </c>
      <c r="H803" s="116"/>
      <c r="I803" s="116"/>
      <c r="L803" s="170">
        <v>43193</v>
      </c>
      <c r="M803" s="116">
        <v>179.01</v>
      </c>
      <c r="N803" s="116">
        <v>184.99</v>
      </c>
      <c r="O803" s="116">
        <v>177.6</v>
      </c>
      <c r="P803" s="116">
        <v>180.01</v>
      </c>
      <c r="Q803" s="116">
        <v>895.05</v>
      </c>
      <c r="R803">
        <v>5938</v>
      </c>
    </row>
    <row r="804" spans="1:18" x14ac:dyDescent="0.25">
      <c r="A804" s="170">
        <v>43210</v>
      </c>
      <c r="B804" s="116">
        <v>182.42000000000002</v>
      </c>
      <c r="C804" s="116">
        <v>182.42000000000002</v>
      </c>
      <c r="D804" s="116">
        <v>182.42000000000002</v>
      </c>
      <c r="E804" s="116">
        <v>182.42000000000002</v>
      </c>
      <c r="F804" s="116">
        <v>912.1</v>
      </c>
      <c r="G804">
        <v>10</v>
      </c>
      <c r="H804" s="116"/>
      <c r="I804" s="116"/>
      <c r="L804" s="170">
        <v>43194</v>
      </c>
      <c r="M804" s="116">
        <v>174.06</v>
      </c>
      <c r="N804" s="116">
        <v>183.6</v>
      </c>
      <c r="O804" s="116">
        <v>171</v>
      </c>
      <c r="P804" s="116">
        <v>181.02</v>
      </c>
      <c r="Q804" s="116">
        <v>870.3</v>
      </c>
      <c r="R804">
        <v>5477</v>
      </c>
    </row>
    <row r="805" spans="1:18" x14ac:dyDescent="0.25">
      <c r="A805" s="170">
        <v>43213</v>
      </c>
      <c r="B805" s="116">
        <v>190.94</v>
      </c>
      <c r="C805" s="116">
        <v>186.14000000000001</v>
      </c>
      <c r="D805" s="116">
        <v>185.66</v>
      </c>
      <c r="E805" s="116">
        <v>188.1</v>
      </c>
      <c r="F805" s="116">
        <v>930.7</v>
      </c>
      <c r="G805">
        <v>413</v>
      </c>
      <c r="H805" s="116"/>
      <c r="I805" s="116"/>
      <c r="L805" s="170">
        <v>43195</v>
      </c>
      <c r="M805" s="116">
        <v>177.16</v>
      </c>
      <c r="N805" s="116">
        <v>179.6</v>
      </c>
      <c r="O805" s="116">
        <v>175.4</v>
      </c>
      <c r="P805" s="116">
        <v>179</v>
      </c>
      <c r="Q805" s="116">
        <v>885.8</v>
      </c>
      <c r="R805">
        <v>2098</v>
      </c>
    </row>
    <row r="806" spans="1:18" x14ac:dyDescent="0.25">
      <c r="A806" s="170">
        <v>43214</v>
      </c>
      <c r="B806" s="116">
        <v>189.15</v>
      </c>
      <c r="C806" s="116">
        <v>188.37</v>
      </c>
      <c r="D806" s="116">
        <v>185</v>
      </c>
      <c r="E806" s="116">
        <v>185</v>
      </c>
      <c r="F806" s="116">
        <v>941.85</v>
      </c>
      <c r="G806">
        <v>458</v>
      </c>
      <c r="H806" s="116"/>
      <c r="I806" s="116"/>
      <c r="L806" s="170">
        <v>43196</v>
      </c>
      <c r="M806" s="116">
        <v>180.9</v>
      </c>
      <c r="N806" s="116">
        <v>182.19</v>
      </c>
      <c r="O806" s="116">
        <v>178</v>
      </c>
      <c r="P806" s="116">
        <v>178</v>
      </c>
      <c r="Q806" s="116">
        <v>904.5</v>
      </c>
      <c r="R806">
        <v>4733</v>
      </c>
    </row>
    <row r="807" spans="1:18" x14ac:dyDescent="0.25">
      <c r="A807" s="170">
        <v>43215</v>
      </c>
      <c r="B807" s="116">
        <v>189.35999999999999</v>
      </c>
      <c r="C807" s="116">
        <v>188.39000000000001</v>
      </c>
      <c r="D807" s="116">
        <v>187.02</v>
      </c>
      <c r="E807" s="116">
        <v>189.14000000000001</v>
      </c>
      <c r="F807" s="116">
        <v>941.95</v>
      </c>
      <c r="G807">
        <v>727</v>
      </c>
      <c r="H807" s="116"/>
      <c r="I807" s="116"/>
      <c r="L807" s="170">
        <v>43199</v>
      </c>
      <c r="M807" s="116">
        <v>182.66</v>
      </c>
      <c r="N807" s="116">
        <v>184.3</v>
      </c>
      <c r="O807" s="116">
        <v>180</v>
      </c>
      <c r="P807" s="116">
        <v>180.9</v>
      </c>
      <c r="Q807" s="116">
        <v>913.3</v>
      </c>
      <c r="R807">
        <v>2370</v>
      </c>
    </row>
    <row r="808" spans="1:18" x14ac:dyDescent="0.25">
      <c r="A808" s="170">
        <v>43216</v>
      </c>
      <c r="B808" s="116">
        <v>188.4</v>
      </c>
      <c r="C808" s="116">
        <v>185.64000000000001</v>
      </c>
      <c r="D808" s="116">
        <v>185</v>
      </c>
      <c r="E808" s="116">
        <v>185.01</v>
      </c>
      <c r="F808" s="116">
        <v>928.2</v>
      </c>
      <c r="G808">
        <v>385</v>
      </c>
      <c r="H808" s="116"/>
      <c r="I808" s="116"/>
      <c r="L808" s="170">
        <v>43200</v>
      </c>
      <c r="M808" s="116">
        <v>181.82</v>
      </c>
      <c r="N808" s="116">
        <v>185.2</v>
      </c>
      <c r="O808" s="116">
        <v>181.05</v>
      </c>
      <c r="P808" s="116">
        <v>185.2</v>
      </c>
      <c r="Q808" s="116">
        <v>909.1</v>
      </c>
      <c r="R808">
        <v>2534</v>
      </c>
    </row>
    <row r="809" spans="1:18" x14ac:dyDescent="0.25">
      <c r="A809" s="170">
        <v>43217</v>
      </c>
      <c r="B809" s="116">
        <v>189</v>
      </c>
      <c r="C809" s="116">
        <v>187.26</v>
      </c>
      <c r="D809" s="116">
        <v>184.8</v>
      </c>
      <c r="E809" s="116">
        <v>187</v>
      </c>
      <c r="F809" s="116">
        <v>936.3</v>
      </c>
      <c r="G809">
        <v>788</v>
      </c>
      <c r="H809" s="116"/>
      <c r="I809" s="116"/>
      <c r="L809" s="170">
        <v>43201</v>
      </c>
      <c r="M809" s="116">
        <v>180.75</v>
      </c>
      <c r="N809" s="116">
        <v>181.82</v>
      </c>
      <c r="O809" s="116">
        <v>170.92000000000002</v>
      </c>
      <c r="P809" s="116">
        <v>181.82</v>
      </c>
      <c r="Q809" s="116">
        <v>903.75</v>
      </c>
      <c r="R809">
        <v>1419</v>
      </c>
    </row>
    <row r="810" spans="1:18" x14ac:dyDescent="0.25">
      <c r="A810" s="170">
        <v>43220</v>
      </c>
      <c r="B810" s="116">
        <v>189.98</v>
      </c>
      <c r="C810" s="116">
        <v>187.20999999999998</v>
      </c>
      <c r="D810" s="116">
        <v>187.02</v>
      </c>
      <c r="E810" s="116">
        <v>189.98</v>
      </c>
      <c r="F810" s="116">
        <v>936.05</v>
      </c>
      <c r="G810">
        <v>296</v>
      </c>
      <c r="H810" s="116"/>
      <c r="I810" s="116"/>
      <c r="L810" s="170">
        <v>43202</v>
      </c>
      <c r="M810" s="116">
        <v>179.44</v>
      </c>
      <c r="N810" s="116">
        <v>182.39000000000001</v>
      </c>
      <c r="O810" s="116">
        <v>179</v>
      </c>
      <c r="P810" s="116">
        <v>180.85</v>
      </c>
      <c r="Q810" s="116">
        <v>897.2</v>
      </c>
      <c r="R810">
        <v>1910</v>
      </c>
    </row>
    <row r="811" spans="1:18" x14ac:dyDescent="0.25">
      <c r="A811" s="170">
        <v>43222</v>
      </c>
      <c r="B811" s="116">
        <v>185.45</v>
      </c>
      <c r="C811" s="116">
        <v>184.56</v>
      </c>
      <c r="D811" s="116">
        <v>184.07</v>
      </c>
      <c r="E811" s="116">
        <v>185.45</v>
      </c>
      <c r="F811" s="116">
        <v>922.8</v>
      </c>
      <c r="G811">
        <v>119</v>
      </c>
      <c r="H811" s="116"/>
      <c r="I811" s="116"/>
      <c r="L811" s="170">
        <v>43203</v>
      </c>
      <c r="M811" s="116">
        <v>182.72</v>
      </c>
      <c r="N811" s="116">
        <v>184.78</v>
      </c>
      <c r="O811" s="116">
        <v>177.59</v>
      </c>
      <c r="P811" s="116">
        <v>177.59</v>
      </c>
      <c r="Q811" s="116">
        <v>913.6</v>
      </c>
      <c r="R811">
        <v>4309</v>
      </c>
    </row>
    <row r="812" spans="1:18" x14ac:dyDescent="0.25">
      <c r="A812" s="170">
        <v>43223</v>
      </c>
      <c r="B812" s="116">
        <v>188.4</v>
      </c>
      <c r="C812" s="116">
        <v>188.37</v>
      </c>
      <c r="D812" s="116">
        <v>184.4</v>
      </c>
      <c r="E812" s="116">
        <v>184.4</v>
      </c>
      <c r="F812" s="116">
        <v>941.85</v>
      </c>
      <c r="G812">
        <v>264</v>
      </c>
      <c r="H812" s="116"/>
      <c r="I812" s="116"/>
      <c r="L812" s="170">
        <v>43206</v>
      </c>
      <c r="M812" s="116">
        <v>181.06</v>
      </c>
      <c r="N812" s="116">
        <v>184.6</v>
      </c>
      <c r="O812" s="116">
        <v>179.4</v>
      </c>
      <c r="P812" s="116">
        <v>182.72</v>
      </c>
      <c r="Q812" s="116">
        <v>905.3</v>
      </c>
      <c r="R812">
        <v>2268</v>
      </c>
    </row>
    <row r="813" spans="1:18" x14ac:dyDescent="0.25">
      <c r="A813" s="170">
        <v>43224</v>
      </c>
      <c r="B813" s="116">
        <v>188.8</v>
      </c>
      <c r="C813" s="116">
        <v>187.57999999999998</v>
      </c>
      <c r="D813" s="116">
        <v>185.03</v>
      </c>
      <c r="E813" s="116">
        <v>187</v>
      </c>
      <c r="F813" s="116">
        <v>937.9</v>
      </c>
      <c r="G813">
        <v>167</v>
      </c>
      <c r="H813" s="116"/>
      <c r="I813" s="116"/>
      <c r="L813" s="170">
        <v>43207</v>
      </c>
      <c r="M813" s="116">
        <v>181.91</v>
      </c>
      <c r="N813" s="116">
        <v>183.16</v>
      </c>
      <c r="O813" s="116">
        <v>180.25</v>
      </c>
      <c r="P813" s="116">
        <v>182.2</v>
      </c>
      <c r="Q813" s="116">
        <v>909.55</v>
      </c>
      <c r="R813">
        <v>2274</v>
      </c>
    </row>
    <row r="814" spans="1:18" x14ac:dyDescent="0.25">
      <c r="A814" s="170">
        <v>43227</v>
      </c>
      <c r="B814" s="116">
        <v>185</v>
      </c>
      <c r="C814" s="116">
        <v>185</v>
      </c>
      <c r="D814" s="116">
        <v>185</v>
      </c>
      <c r="E814" s="116">
        <v>185</v>
      </c>
      <c r="F814" s="116">
        <v>925</v>
      </c>
      <c r="G814">
        <v>25</v>
      </c>
      <c r="H814" s="116"/>
      <c r="I814" s="116"/>
      <c r="L814" s="170">
        <v>43208</v>
      </c>
      <c r="M814" s="116">
        <v>183.70999999999998</v>
      </c>
      <c r="N814" s="116">
        <v>185</v>
      </c>
      <c r="O814" s="116">
        <v>180.02</v>
      </c>
      <c r="P814" s="116">
        <v>181.91</v>
      </c>
      <c r="Q814" s="116">
        <v>918.55</v>
      </c>
      <c r="R814">
        <v>1498</v>
      </c>
    </row>
    <row r="815" spans="1:18" x14ac:dyDescent="0.25">
      <c r="A815" s="170">
        <v>43228</v>
      </c>
      <c r="B815" s="116">
        <v>194.01</v>
      </c>
      <c r="C815" s="116">
        <v>190.4</v>
      </c>
      <c r="D815" s="116">
        <v>186</v>
      </c>
      <c r="E815" s="116">
        <v>186</v>
      </c>
      <c r="F815" s="116">
        <v>952</v>
      </c>
      <c r="G815">
        <v>332</v>
      </c>
      <c r="H815" s="116"/>
      <c r="I815" s="116"/>
      <c r="L815" s="170">
        <v>43209</v>
      </c>
      <c r="M815" s="116">
        <v>184.82</v>
      </c>
      <c r="N815" s="116">
        <v>187</v>
      </c>
      <c r="O815" s="116">
        <v>182.02</v>
      </c>
      <c r="P815" s="116">
        <v>185.4</v>
      </c>
      <c r="Q815" s="116">
        <v>924.1</v>
      </c>
      <c r="R815">
        <v>1295</v>
      </c>
    </row>
    <row r="816" spans="1:18" x14ac:dyDescent="0.25">
      <c r="A816" s="170">
        <v>43229</v>
      </c>
      <c r="B816" s="116">
        <v>194.8</v>
      </c>
      <c r="C816" s="116">
        <v>187.43</v>
      </c>
      <c r="D816" s="116">
        <v>185.8</v>
      </c>
      <c r="E816" s="116">
        <v>193</v>
      </c>
      <c r="F816" s="116">
        <v>937.15</v>
      </c>
      <c r="G816">
        <v>2704</v>
      </c>
      <c r="H816" s="116"/>
      <c r="I816" s="116"/>
      <c r="L816" s="170">
        <v>43210</v>
      </c>
      <c r="M816" s="116">
        <v>185.57</v>
      </c>
      <c r="N816" s="116">
        <v>186.4</v>
      </c>
      <c r="O816" s="116">
        <v>182.63</v>
      </c>
      <c r="P816" s="116">
        <v>185</v>
      </c>
      <c r="Q816" s="116">
        <v>927.85</v>
      </c>
      <c r="R816">
        <v>4058</v>
      </c>
    </row>
    <row r="817" spans="1:18" x14ac:dyDescent="0.25">
      <c r="A817" s="170">
        <v>43230</v>
      </c>
      <c r="B817" s="116">
        <v>194.4</v>
      </c>
      <c r="C817" s="116">
        <v>189.53</v>
      </c>
      <c r="D817" s="116">
        <v>186.6</v>
      </c>
      <c r="E817" s="116">
        <v>192.4</v>
      </c>
      <c r="F817" s="116">
        <v>947.65</v>
      </c>
      <c r="G817">
        <v>1707</v>
      </c>
      <c r="H817" s="116"/>
      <c r="I817" s="116"/>
      <c r="L817" s="170">
        <v>43213</v>
      </c>
      <c r="M817" s="116">
        <v>186.60999999999999</v>
      </c>
      <c r="N817" s="116">
        <v>191</v>
      </c>
      <c r="O817" s="116">
        <v>184.4</v>
      </c>
      <c r="P817" s="116">
        <v>186.8</v>
      </c>
      <c r="Q817" s="116">
        <v>933.05</v>
      </c>
      <c r="R817">
        <v>2786</v>
      </c>
    </row>
    <row r="818" spans="1:18" x14ac:dyDescent="0.25">
      <c r="A818" s="170">
        <v>43231</v>
      </c>
      <c r="B818" s="116">
        <v>192</v>
      </c>
      <c r="C818" s="116">
        <v>189</v>
      </c>
      <c r="D818" s="116">
        <v>188.8</v>
      </c>
      <c r="E818" s="116">
        <v>190</v>
      </c>
      <c r="F818" s="116">
        <v>945</v>
      </c>
      <c r="G818">
        <v>547</v>
      </c>
      <c r="H818" s="116"/>
      <c r="I818" s="116"/>
      <c r="L818" s="170">
        <v>43214</v>
      </c>
      <c r="M818" s="116">
        <v>187.79000000000002</v>
      </c>
      <c r="N818" s="116">
        <v>189</v>
      </c>
      <c r="O818" s="116">
        <v>184</v>
      </c>
      <c r="P818" s="116">
        <v>186.60999999999999</v>
      </c>
      <c r="Q818" s="116">
        <v>938.95</v>
      </c>
      <c r="R818">
        <v>2048</v>
      </c>
    </row>
    <row r="819" spans="1:18" x14ac:dyDescent="0.25">
      <c r="A819" s="170">
        <v>43234</v>
      </c>
      <c r="B819" s="116">
        <v>188</v>
      </c>
      <c r="C819" s="116">
        <v>186.41</v>
      </c>
      <c r="D819" s="116">
        <v>183.43</v>
      </c>
      <c r="E819" s="116">
        <v>188</v>
      </c>
      <c r="F819" s="116">
        <v>932.05</v>
      </c>
      <c r="G819">
        <v>303</v>
      </c>
      <c r="H819" s="116"/>
      <c r="I819" s="116"/>
      <c r="L819" s="170">
        <v>43215</v>
      </c>
      <c r="M819" s="116">
        <v>186.35</v>
      </c>
      <c r="N819" s="116">
        <v>190</v>
      </c>
      <c r="O819" s="116">
        <v>186.03</v>
      </c>
      <c r="P819" s="116">
        <v>189</v>
      </c>
      <c r="Q819" s="116">
        <v>931.75</v>
      </c>
      <c r="R819">
        <v>1512</v>
      </c>
    </row>
    <row r="820" spans="1:18" x14ac:dyDescent="0.25">
      <c r="A820" s="170">
        <v>43235</v>
      </c>
      <c r="B820" s="116">
        <v>187.94</v>
      </c>
      <c r="C820" s="116">
        <v>185.12</v>
      </c>
      <c r="D820" s="116">
        <v>185.1</v>
      </c>
      <c r="E820" s="116">
        <v>187.94</v>
      </c>
      <c r="F820" s="116">
        <v>925.6</v>
      </c>
      <c r="G820">
        <v>110</v>
      </c>
      <c r="H820" s="116"/>
      <c r="I820" s="116"/>
      <c r="L820" s="170">
        <v>43216</v>
      </c>
      <c r="M820" s="116">
        <v>185.44</v>
      </c>
      <c r="N820" s="116">
        <v>188.6</v>
      </c>
      <c r="O820" s="116">
        <v>185.01</v>
      </c>
      <c r="P820" s="116">
        <v>186.4</v>
      </c>
      <c r="Q820" s="116">
        <v>927.2</v>
      </c>
      <c r="R820">
        <v>1115</v>
      </c>
    </row>
    <row r="821" spans="1:18" x14ac:dyDescent="0.25">
      <c r="A821" s="170">
        <v>43236</v>
      </c>
      <c r="B821" s="116">
        <v>187</v>
      </c>
      <c r="C821" s="116">
        <v>185.24</v>
      </c>
      <c r="D821" s="116">
        <v>184</v>
      </c>
      <c r="E821" s="116">
        <v>185</v>
      </c>
      <c r="F821" s="116">
        <v>926.2</v>
      </c>
      <c r="G821">
        <v>565</v>
      </c>
      <c r="H821" s="116"/>
      <c r="I821" s="116"/>
      <c r="L821" s="170">
        <v>43217</v>
      </c>
      <c r="M821" s="116">
        <v>186.27</v>
      </c>
      <c r="N821" s="116">
        <v>187.99</v>
      </c>
      <c r="O821" s="116">
        <v>185</v>
      </c>
      <c r="P821" s="116">
        <v>186</v>
      </c>
      <c r="Q821" s="116">
        <v>931.35</v>
      </c>
      <c r="R821">
        <v>2142</v>
      </c>
    </row>
    <row r="822" spans="1:18" x14ac:dyDescent="0.25">
      <c r="A822" s="170">
        <v>43237</v>
      </c>
      <c r="B822" s="116">
        <v>191.6</v>
      </c>
      <c r="C822" s="116">
        <v>189.51</v>
      </c>
      <c r="D822" s="116">
        <v>185</v>
      </c>
      <c r="E822" s="116">
        <v>189.8</v>
      </c>
      <c r="F822" s="116">
        <v>947.55</v>
      </c>
      <c r="G822">
        <v>358</v>
      </c>
      <c r="H822" s="116"/>
      <c r="I822" s="116"/>
      <c r="L822" s="170">
        <v>43220</v>
      </c>
      <c r="M822" s="116">
        <v>188</v>
      </c>
      <c r="N822" s="116">
        <v>190</v>
      </c>
      <c r="O822" s="116">
        <v>187.2</v>
      </c>
      <c r="P822" s="116">
        <v>187.98</v>
      </c>
      <c r="Q822" s="116">
        <v>940</v>
      </c>
      <c r="R822">
        <v>2630</v>
      </c>
    </row>
    <row r="823" spans="1:18" x14ac:dyDescent="0.25">
      <c r="A823" s="170">
        <v>43238</v>
      </c>
      <c r="B823" s="116">
        <v>192</v>
      </c>
      <c r="C823" s="116">
        <v>185.6</v>
      </c>
      <c r="D823" s="116">
        <v>185.6</v>
      </c>
      <c r="E823" s="116">
        <v>190.9</v>
      </c>
      <c r="F823" s="116">
        <v>928</v>
      </c>
      <c r="G823">
        <v>110</v>
      </c>
      <c r="H823" s="116"/>
      <c r="I823" s="116"/>
      <c r="L823" s="170">
        <v>43222</v>
      </c>
      <c r="M823" s="116">
        <v>187.78</v>
      </c>
      <c r="N823" s="116">
        <v>189.99</v>
      </c>
      <c r="O823" s="116">
        <v>184.6</v>
      </c>
      <c r="P823" s="116">
        <v>188.79000000000002</v>
      </c>
      <c r="Q823" s="116">
        <v>938.9</v>
      </c>
      <c r="R823">
        <v>1470</v>
      </c>
    </row>
    <row r="824" spans="1:18" x14ac:dyDescent="0.25">
      <c r="A824" s="170">
        <v>43241</v>
      </c>
      <c r="B824" s="116">
        <v>187.79000000000002</v>
      </c>
      <c r="C824" s="116">
        <v>185.4</v>
      </c>
      <c r="D824" s="116">
        <v>184</v>
      </c>
      <c r="E824" s="116">
        <v>185</v>
      </c>
      <c r="F824" s="116">
        <v>927</v>
      </c>
      <c r="G824">
        <v>633</v>
      </c>
      <c r="H824" s="116"/>
      <c r="I824" s="116"/>
      <c r="L824" s="170">
        <v>43223</v>
      </c>
      <c r="M824" s="116">
        <v>187.55</v>
      </c>
      <c r="N824" s="116">
        <v>189.6</v>
      </c>
      <c r="O824" s="116">
        <v>184.01</v>
      </c>
      <c r="P824" s="116">
        <v>187.6</v>
      </c>
      <c r="Q824" s="116">
        <v>937.75</v>
      </c>
      <c r="R824">
        <v>2546</v>
      </c>
    </row>
    <row r="825" spans="1:18" x14ac:dyDescent="0.25">
      <c r="A825" s="170">
        <v>43242</v>
      </c>
      <c r="B825" s="116">
        <v>185.4</v>
      </c>
      <c r="C825" s="116">
        <v>185.4</v>
      </c>
      <c r="D825" s="116">
        <v>182.2</v>
      </c>
      <c r="E825" s="116">
        <v>184</v>
      </c>
      <c r="F825" s="116">
        <v>927</v>
      </c>
      <c r="G825">
        <v>29</v>
      </c>
      <c r="H825" s="116"/>
      <c r="I825" s="116"/>
      <c r="L825" s="170">
        <v>43224</v>
      </c>
      <c r="M825" s="116">
        <v>186.64000000000001</v>
      </c>
      <c r="N825" s="116">
        <v>189.57999999999998</v>
      </c>
      <c r="O825" s="116">
        <v>183.01</v>
      </c>
      <c r="P825" s="116">
        <v>183.01</v>
      </c>
      <c r="Q825" s="116">
        <v>933.2</v>
      </c>
      <c r="R825">
        <v>3103</v>
      </c>
    </row>
    <row r="826" spans="1:18" x14ac:dyDescent="0.25">
      <c r="A826" s="170">
        <v>43243</v>
      </c>
      <c r="B826" s="116">
        <v>187</v>
      </c>
      <c r="C826" s="116">
        <v>185.39000000000001</v>
      </c>
      <c r="D826" s="116">
        <v>183.5</v>
      </c>
      <c r="E826" s="116">
        <v>186.6</v>
      </c>
      <c r="F826" s="116">
        <v>926.95</v>
      </c>
      <c r="G826">
        <v>151</v>
      </c>
      <c r="H826" s="116"/>
      <c r="I826" s="116"/>
      <c r="L826" s="170">
        <v>43227</v>
      </c>
      <c r="M826" s="116">
        <v>186.63</v>
      </c>
      <c r="N826" s="116">
        <v>188.78</v>
      </c>
      <c r="O826" s="116">
        <v>185.65</v>
      </c>
      <c r="P826" s="116">
        <v>186.64000000000001</v>
      </c>
      <c r="Q826" s="116">
        <v>933.15</v>
      </c>
      <c r="R826">
        <v>618</v>
      </c>
    </row>
    <row r="827" spans="1:18" x14ac:dyDescent="0.25">
      <c r="A827" s="170">
        <v>43244</v>
      </c>
      <c r="B827" s="116">
        <v>182</v>
      </c>
      <c r="C827" s="116">
        <v>182</v>
      </c>
      <c r="D827" s="116">
        <v>182</v>
      </c>
      <c r="E827" s="116">
        <v>182</v>
      </c>
      <c r="F827" s="116">
        <v>910</v>
      </c>
      <c r="G827">
        <v>13</v>
      </c>
      <c r="H827" s="116"/>
      <c r="I827" s="116"/>
      <c r="L827" s="170">
        <v>43228</v>
      </c>
      <c r="M827" s="116">
        <v>192.10999999999999</v>
      </c>
      <c r="N827" s="116">
        <v>196.2</v>
      </c>
      <c r="O827" s="116">
        <v>186.62</v>
      </c>
      <c r="P827" s="116">
        <v>186.63</v>
      </c>
      <c r="Q827" s="116">
        <v>960.55</v>
      </c>
      <c r="R827">
        <v>3410</v>
      </c>
    </row>
    <row r="828" spans="1:18" x14ac:dyDescent="0.25">
      <c r="A828" s="170">
        <v>43245</v>
      </c>
      <c r="B828" s="116">
        <v>189</v>
      </c>
      <c r="C828" s="116">
        <v>185.03</v>
      </c>
      <c r="D828" s="116">
        <v>181.31</v>
      </c>
      <c r="E828" s="116">
        <v>181.31</v>
      </c>
      <c r="F828" s="116">
        <v>925.15</v>
      </c>
      <c r="G828">
        <v>207</v>
      </c>
      <c r="H828" s="116"/>
      <c r="I828" s="116"/>
      <c r="L828" s="170">
        <v>43229</v>
      </c>
      <c r="M828" s="116">
        <v>193</v>
      </c>
      <c r="N828" s="116">
        <v>197.79000000000002</v>
      </c>
      <c r="O828" s="116">
        <v>189.63</v>
      </c>
      <c r="P828" s="116">
        <v>192.10999999999999</v>
      </c>
      <c r="Q828" s="116">
        <v>965</v>
      </c>
      <c r="R828">
        <v>2839</v>
      </c>
    </row>
    <row r="829" spans="1:18" x14ac:dyDescent="0.25">
      <c r="A829" s="170">
        <v>43248</v>
      </c>
      <c r="B829" s="116">
        <v>200.6</v>
      </c>
      <c r="C829" s="116">
        <v>188.82</v>
      </c>
      <c r="D829" s="116">
        <v>178.19</v>
      </c>
      <c r="E829" s="116">
        <v>200</v>
      </c>
      <c r="F829" s="116">
        <v>944.1</v>
      </c>
      <c r="G829">
        <v>522</v>
      </c>
      <c r="H829" s="116"/>
      <c r="I829" s="116"/>
      <c r="L829" s="170">
        <v>43230</v>
      </c>
      <c r="M829" s="116">
        <v>188.98</v>
      </c>
      <c r="N829" s="116">
        <v>194.19</v>
      </c>
      <c r="O829" s="116">
        <v>187.2</v>
      </c>
      <c r="P829" s="116">
        <v>193</v>
      </c>
      <c r="Q829" s="116">
        <v>944.9</v>
      </c>
      <c r="R829">
        <v>3108</v>
      </c>
    </row>
    <row r="830" spans="1:18" x14ac:dyDescent="0.25">
      <c r="A830" s="170">
        <v>43249</v>
      </c>
      <c r="B830" s="116">
        <v>186.45</v>
      </c>
      <c r="C830" s="116">
        <v>184.38</v>
      </c>
      <c r="D830" s="116">
        <v>184.02</v>
      </c>
      <c r="E830" s="116">
        <v>186.45</v>
      </c>
      <c r="F830" s="116">
        <v>921.9</v>
      </c>
      <c r="G830">
        <v>210</v>
      </c>
      <c r="H830" s="116"/>
      <c r="I830" s="116"/>
      <c r="L830" s="170">
        <v>43231</v>
      </c>
      <c r="M830" s="116">
        <v>189.73</v>
      </c>
      <c r="N830" s="116">
        <v>193</v>
      </c>
      <c r="O830" s="116">
        <v>188.02</v>
      </c>
      <c r="P830" s="116">
        <v>192</v>
      </c>
      <c r="Q830" s="116">
        <v>948.65</v>
      </c>
      <c r="R830">
        <v>2541</v>
      </c>
    </row>
    <row r="831" spans="1:18" x14ac:dyDescent="0.25">
      <c r="A831" s="170">
        <v>43250</v>
      </c>
      <c r="B831" s="116">
        <v>184.95</v>
      </c>
      <c r="C831" s="116">
        <v>183.85999999999999</v>
      </c>
      <c r="D831" s="116">
        <v>182.1</v>
      </c>
      <c r="E831" s="116">
        <v>183.76</v>
      </c>
      <c r="F831" s="116">
        <v>919.3</v>
      </c>
      <c r="G831">
        <v>190</v>
      </c>
      <c r="H831" s="116"/>
      <c r="I831" s="116"/>
      <c r="L831" s="170">
        <v>43234</v>
      </c>
      <c r="M831" s="116">
        <v>187.7</v>
      </c>
      <c r="N831" s="116">
        <v>191.99</v>
      </c>
      <c r="O831" s="116">
        <v>186.82</v>
      </c>
      <c r="P831" s="116">
        <v>189.20999999999998</v>
      </c>
      <c r="Q831" s="116">
        <v>938.5</v>
      </c>
      <c r="R831">
        <v>1837</v>
      </c>
    </row>
    <row r="832" spans="1:18" x14ac:dyDescent="0.25">
      <c r="A832" s="170">
        <v>43251</v>
      </c>
      <c r="B832" s="116">
        <v>183</v>
      </c>
      <c r="C832" s="116">
        <v>178.59</v>
      </c>
      <c r="D832" s="116">
        <v>178</v>
      </c>
      <c r="E832" s="116">
        <v>183</v>
      </c>
      <c r="F832" s="116">
        <v>892.95</v>
      </c>
      <c r="G832">
        <v>452</v>
      </c>
      <c r="H832" s="116"/>
      <c r="I832" s="116"/>
      <c r="L832" s="170">
        <v>43235</v>
      </c>
      <c r="M832" s="116">
        <v>185.94</v>
      </c>
      <c r="N832" s="116">
        <v>191.8</v>
      </c>
      <c r="O832" s="116">
        <v>183.07999999999998</v>
      </c>
      <c r="P832" s="116">
        <v>191.8</v>
      </c>
      <c r="Q832" s="116">
        <v>929.7</v>
      </c>
      <c r="R832">
        <v>1326</v>
      </c>
    </row>
    <row r="833" spans="1:18" x14ac:dyDescent="0.25">
      <c r="A833" s="170">
        <v>43252</v>
      </c>
      <c r="B833" s="116">
        <v>183.98</v>
      </c>
      <c r="C833" s="116">
        <v>183.98</v>
      </c>
      <c r="D833" s="116">
        <v>176</v>
      </c>
      <c r="E833" s="116">
        <v>179</v>
      </c>
      <c r="F833" s="116">
        <v>919.9</v>
      </c>
      <c r="G833">
        <v>616</v>
      </c>
      <c r="H833" s="116"/>
      <c r="I833" s="116"/>
      <c r="L833" s="170">
        <v>43236</v>
      </c>
      <c r="M833" s="116">
        <v>186.6</v>
      </c>
      <c r="N833" s="116">
        <v>187.4</v>
      </c>
      <c r="O833" s="116">
        <v>184.2</v>
      </c>
      <c r="P833" s="116">
        <v>185.20999999999998</v>
      </c>
      <c r="Q833" s="116">
        <v>933</v>
      </c>
      <c r="R833">
        <v>2074</v>
      </c>
    </row>
    <row r="834" spans="1:18" x14ac:dyDescent="0.25">
      <c r="A834" s="170">
        <v>43255</v>
      </c>
      <c r="B834" s="116">
        <v>180</v>
      </c>
      <c r="C834" s="116">
        <v>174.2</v>
      </c>
      <c r="D834" s="116">
        <v>173.4</v>
      </c>
      <c r="E834" s="116">
        <v>177.6</v>
      </c>
      <c r="F834" s="116">
        <v>871</v>
      </c>
      <c r="G834">
        <v>98</v>
      </c>
      <c r="H834" s="116"/>
      <c r="I834" s="116"/>
      <c r="L834" s="170">
        <v>43237</v>
      </c>
      <c r="M834" s="116">
        <v>186.89000000000001</v>
      </c>
      <c r="N834" s="116">
        <v>190</v>
      </c>
      <c r="O834" s="116">
        <v>185</v>
      </c>
      <c r="P834" s="116">
        <v>189.8</v>
      </c>
      <c r="Q834" s="116">
        <v>934.45</v>
      </c>
      <c r="R834">
        <v>1624</v>
      </c>
    </row>
    <row r="835" spans="1:18" x14ac:dyDescent="0.25">
      <c r="A835" s="170">
        <v>43256</v>
      </c>
      <c r="B835" s="116">
        <v>177.98</v>
      </c>
      <c r="C835" s="116">
        <v>167.97</v>
      </c>
      <c r="D835" s="116">
        <v>163.60999999999999</v>
      </c>
      <c r="E835" s="116">
        <v>163.60999999999999</v>
      </c>
      <c r="F835" s="116">
        <v>839.85</v>
      </c>
      <c r="G835">
        <v>155</v>
      </c>
      <c r="H835" s="116"/>
      <c r="I835" s="116"/>
      <c r="L835" s="170">
        <v>43238</v>
      </c>
      <c r="M835" s="116">
        <v>188.34</v>
      </c>
      <c r="N835" s="116">
        <v>193</v>
      </c>
      <c r="O835" s="116">
        <v>185</v>
      </c>
      <c r="P835" s="116">
        <v>185.38</v>
      </c>
      <c r="Q835" s="116">
        <v>941.7</v>
      </c>
      <c r="R835">
        <v>2257</v>
      </c>
    </row>
    <row r="836" spans="1:18" x14ac:dyDescent="0.25">
      <c r="A836" s="170">
        <v>43257</v>
      </c>
      <c r="B836" s="116">
        <v>177.6</v>
      </c>
      <c r="C836" s="116">
        <v>169.42000000000002</v>
      </c>
      <c r="D836" s="116">
        <v>165</v>
      </c>
      <c r="E836" s="116">
        <v>168</v>
      </c>
      <c r="F836" s="116">
        <v>847.1</v>
      </c>
      <c r="G836">
        <v>138</v>
      </c>
      <c r="H836" s="116"/>
      <c r="I836" s="116"/>
      <c r="L836" s="170">
        <v>43241</v>
      </c>
      <c r="M836" s="116">
        <v>184.24</v>
      </c>
      <c r="N836" s="116">
        <v>191.99</v>
      </c>
      <c r="O836" s="116">
        <v>183.45999999999998</v>
      </c>
      <c r="P836" s="116">
        <v>183.45999999999998</v>
      </c>
      <c r="Q836" s="116">
        <v>921.2</v>
      </c>
      <c r="R836">
        <v>2097</v>
      </c>
    </row>
    <row r="837" spans="1:18" x14ac:dyDescent="0.25">
      <c r="A837" s="170">
        <v>43258</v>
      </c>
      <c r="B837" s="116">
        <v>180</v>
      </c>
      <c r="C837" s="116">
        <v>178.64000000000001</v>
      </c>
      <c r="D837" s="116">
        <v>176.6</v>
      </c>
      <c r="E837" s="116">
        <v>176.6</v>
      </c>
      <c r="F837" s="116">
        <v>893.2</v>
      </c>
      <c r="G837">
        <v>193</v>
      </c>
      <c r="H837" s="116"/>
      <c r="I837" s="116"/>
      <c r="L837" s="170">
        <v>43242</v>
      </c>
      <c r="M837" s="116">
        <v>182.2</v>
      </c>
      <c r="N837" s="116">
        <v>187.8</v>
      </c>
      <c r="O837" s="116">
        <v>182</v>
      </c>
      <c r="P837" s="116">
        <v>187.8</v>
      </c>
      <c r="Q837" s="116">
        <v>911</v>
      </c>
      <c r="R837">
        <v>4058</v>
      </c>
    </row>
    <row r="838" spans="1:18" x14ac:dyDescent="0.25">
      <c r="A838" s="170">
        <v>43259</v>
      </c>
      <c r="B838" s="116">
        <v>180.6</v>
      </c>
      <c r="C838" s="116">
        <v>179.81</v>
      </c>
      <c r="D838" s="116">
        <v>177</v>
      </c>
      <c r="E838" s="116">
        <v>178.82999999999998</v>
      </c>
      <c r="F838" s="116">
        <v>899.05</v>
      </c>
      <c r="G838">
        <v>172</v>
      </c>
      <c r="H838" s="116"/>
      <c r="I838" s="116"/>
      <c r="L838" s="170">
        <v>43243</v>
      </c>
      <c r="M838" s="116">
        <v>183.89000000000001</v>
      </c>
      <c r="N838" s="116">
        <v>186.2</v>
      </c>
      <c r="O838" s="116">
        <v>181.6</v>
      </c>
      <c r="P838" s="116">
        <v>181.6</v>
      </c>
      <c r="Q838" s="116">
        <v>919.45</v>
      </c>
      <c r="R838">
        <v>2176</v>
      </c>
    </row>
    <row r="839" spans="1:18" x14ac:dyDescent="0.25">
      <c r="A839" s="170">
        <v>43262</v>
      </c>
      <c r="B839" s="116">
        <v>184.79000000000002</v>
      </c>
      <c r="C839" s="116">
        <v>180.2</v>
      </c>
      <c r="D839" s="116">
        <v>177.4</v>
      </c>
      <c r="E839" s="116">
        <v>177.42000000000002</v>
      </c>
      <c r="F839" s="116">
        <v>901</v>
      </c>
      <c r="G839">
        <v>494</v>
      </c>
      <c r="H839" s="116"/>
      <c r="I839" s="116"/>
      <c r="L839" s="170">
        <v>43244</v>
      </c>
      <c r="M839" s="116">
        <v>182</v>
      </c>
      <c r="N839" s="116">
        <v>185.8</v>
      </c>
      <c r="O839" s="116">
        <v>182</v>
      </c>
      <c r="P839" s="116">
        <v>184.2</v>
      </c>
      <c r="Q839" s="116">
        <v>910</v>
      </c>
      <c r="R839">
        <v>632</v>
      </c>
    </row>
    <row r="840" spans="1:18" x14ac:dyDescent="0.25">
      <c r="A840" s="170">
        <v>43263</v>
      </c>
      <c r="B840" s="116">
        <v>182</v>
      </c>
      <c r="C840" s="116">
        <v>180.32999999999998</v>
      </c>
      <c r="D840" s="116">
        <v>179</v>
      </c>
      <c r="E840" s="116">
        <v>182</v>
      </c>
      <c r="F840" s="116">
        <v>901.65</v>
      </c>
      <c r="G840">
        <v>130</v>
      </c>
      <c r="H840" s="116"/>
      <c r="I840" s="116"/>
      <c r="L840" s="170">
        <v>43245</v>
      </c>
      <c r="M840" s="116">
        <v>185.28</v>
      </c>
      <c r="N840" s="116">
        <v>186</v>
      </c>
      <c r="O840" s="116">
        <v>182.22</v>
      </c>
      <c r="P840" s="116">
        <v>182.22</v>
      </c>
      <c r="Q840" s="116">
        <v>926.4</v>
      </c>
      <c r="R840">
        <v>2281</v>
      </c>
    </row>
    <row r="841" spans="1:18" x14ac:dyDescent="0.25">
      <c r="A841" s="170">
        <v>43264</v>
      </c>
      <c r="B841" s="116">
        <v>181.67000000000002</v>
      </c>
      <c r="C841" s="116">
        <v>179.02</v>
      </c>
      <c r="D841" s="116">
        <v>179.02</v>
      </c>
      <c r="E841" s="116">
        <v>180.4</v>
      </c>
      <c r="F841" s="116">
        <v>895.1</v>
      </c>
      <c r="G841">
        <v>58</v>
      </c>
      <c r="H841" s="116"/>
      <c r="I841" s="116"/>
      <c r="L841" s="170">
        <v>43248</v>
      </c>
      <c r="M841" s="116">
        <v>187.48</v>
      </c>
      <c r="N841" s="116">
        <v>199.78</v>
      </c>
      <c r="O841" s="116">
        <v>186.22</v>
      </c>
      <c r="P841" s="116">
        <v>199.78</v>
      </c>
      <c r="Q841" s="116">
        <v>937.4</v>
      </c>
      <c r="R841">
        <v>5570</v>
      </c>
    </row>
    <row r="842" spans="1:18" x14ac:dyDescent="0.25">
      <c r="A842" s="170">
        <v>43265</v>
      </c>
      <c r="B842" s="116">
        <v>182.95</v>
      </c>
      <c r="C842" s="116">
        <v>182.28</v>
      </c>
      <c r="D842" s="116">
        <v>180.4</v>
      </c>
      <c r="E842" s="116">
        <v>181</v>
      </c>
      <c r="F842" s="116">
        <v>911.4</v>
      </c>
      <c r="G842">
        <v>195</v>
      </c>
      <c r="H842" s="116"/>
      <c r="I842" s="116"/>
      <c r="L842" s="170">
        <v>43249</v>
      </c>
      <c r="M842" s="116">
        <v>184.85999999999999</v>
      </c>
      <c r="N842" s="116">
        <v>190</v>
      </c>
      <c r="O842" s="116">
        <v>183.2</v>
      </c>
      <c r="P842" s="116">
        <v>190</v>
      </c>
      <c r="Q842" s="116">
        <v>924.3</v>
      </c>
      <c r="R842">
        <v>1253</v>
      </c>
    </row>
    <row r="843" spans="1:18" x14ac:dyDescent="0.25">
      <c r="A843" s="170">
        <v>43266</v>
      </c>
      <c r="B843" s="116">
        <v>182.4</v>
      </c>
      <c r="C843" s="116">
        <v>182.4</v>
      </c>
      <c r="D843" s="116">
        <v>182.4</v>
      </c>
      <c r="E843" s="116">
        <v>182.4</v>
      </c>
      <c r="F843" s="116">
        <v>912</v>
      </c>
      <c r="G843">
        <v>3</v>
      </c>
      <c r="H843" s="116"/>
      <c r="I843" s="116"/>
      <c r="L843" s="170">
        <v>43250</v>
      </c>
      <c r="M843" s="116">
        <v>183.09</v>
      </c>
      <c r="N843" s="116">
        <v>185.98</v>
      </c>
      <c r="O843" s="116">
        <v>182.2</v>
      </c>
      <c r="P843" s="116">
        <v>183</v>
      </c>
      <c r="Q843" s="116">
        <v>915.45</v>
      </c>
      <c r="R843">
        <v>843</v>
      </c>
    </row>
    <row r="844" spans="1:18" x14ac:dyDescent="0.25">
      <c r="A844" s="170">
        <v>43269</v>
      </c>
      <c r="B844" s="116">
        <v>188.16</v>
      </c>
      <c r="C844" s="116">
        <v>178.03</v>
      </c>
      <c r="D844" s="116">
        <v>178</v>
      </c>
      <c r="E844" s="116">
        <v>183</v>
      </c>
      <c r="F844" s="116">
        <v>890.15</v>
      </c>
      <c r="G844">
        <v>163</v>
      </c>
      <c r="H844" s="116"/>
      <c r="I844" s="116"/>
      <c r="L844" s="170">
        <v>43251</v>
      </c>
      <c r="M844" s="116">
        <v>180.23</v>
      </c>
      <c r="N844" s="116">
        <v>184.45</v>
      </c>
      <c r="O844" s="116">
        <v>180.02</v>
      </c>
      <c r="P844" s="116">
        <v>181.2</v>
      </c>
      <c r="Q844" s="116">
        <v>901.15</v>
      </c>
      <c r="R844">
        <v>2812</v>
      </c>
    </row>
    <row r="845" spans="1:18" x14ac:dyDescent="0.25">
      <c r="A845" s="170">
        <v>43270</v>
      </c>
      <c r="B845" s="116">
        <v>180.57999999999998</v>
      </c>
      <c r="C845" s="116">
        <v>177.01</v>
      </c>
      <c r="D845" s="116">
        <v>177</v>
      </c>
      <c r="E845" s="116">
        <v>180.57999999999998</v>
      </c>
      <c r="F845" s="116">
        <v>885.05</v>
      </c>
      <c r="G845">
        <v>162</v>
      </c>
      <c r="H845" s="116"/>
      <c r="I845" s="116"/>
      <c r="L845" s="170">
        <v>43252</v>
      </c>
      <c r="M845" s="116">
        <v>183.57999999999998</v>
      </c>
      <c r="N845" s="116">
        <v>189.1</v>
      </c>
      <c r="O845" s="116">
        <v>176.52</v>
      </c>
      <c r="P845" s="116">
        <v>179.6</v>
      </c>
      <c r="Q845" s="116">
        <v>917.9</v>
      </c>
      <c r="R845">
        <v>3318</v>
      </c>
    </row>
    <row r="846" spans="1:18" x14ac:dyDescent="0.25">
      <c r="A846" s="170">
        <v>43272</v>
      </c>
      <c r="B846" s="116">
        <v>179</v>
      </c>
      <c r="C846" s="116">
        <v>175</v>
      </c>
      <c r="D846" s="116">
        <v>173</v>
      </c>
      <c r="E846" s="116">
        <v>174</v>
      </c>
      <c r="F846" s="116">
        <v>875</v>
      </c>
      <c r="G846">
        <v>382</v>
      </c>
      <c r="H846" s="116"/>
      <c r="I846" s="116"/>
      <c r="L846" s="170">
        <v>43255</v>
      </c>
      <c r="M846" s="116">
        <v>174.07999999999998</v>
      </c>
      <c r="N846" s="116">
        <v>185.8</v>
      </c>
      <c r="O846" s="116">
        <v>172</v>
      </c>
      <c r="P846" s="116">
        <v>185.8</v>
      </c>
      <c r="Q846" s="116">
        <v>870.4</v>
      </c>
      <c r="R846">
        <v>1864</v>
      </c>
    </row>
    <row r="847" spans="1:18" x14ac:dyDescent="0.25">
      <c r="A847" s="170">
        <v>43273</v>
      </c>
      <c r="B847" s="116">
        <v>177.98</v>
      </c>
      <c r="C847" s="116">
        <v>177.52</v>
      </c>
      <c r="D847" s="116">
        <v>171.97</v>
      </c>
      <c r="E847" s="116">
        <v>172.89000000000001</v>
      </c>
      <c r="F847" s="116">
        <v>887.6</v>
      </c>
      <c r="G847">
        <v>109</v>
      </c>
      <c r="H847" s="116"/>
      <c r="I847" s="116"/>
      <c r="L847" s="170">
        <v>43256</v>
      </c>
      <c r="M847" s="116">
        <v>167.2</v>
      </c>
      <c r="N847" s="116">
        <v>176.35</v>
      </c>
      <c r="O847" s="116">
        <v>166.20999999999998</v>
      </c>
      <c r="P847" s="116">
        <v>174.2</v>
      </c>
      <c r="Q847" s="116">
        <v>836</v>
      </c>
      <c r="R847">
        <v>1168</v>
      </c>
    </row>
    <row r="848" spans="1:18" x14ac:dyDescent="0.25">
      <c r="A848" s="170">
        <v>43276</v>
      </c>
      <c r="B848" s="116">
        <v>174.4</v>
      </c>
      <c r="C848" s="116">
        <v>173.6</v>
      </c>
      <c r="D848" s="116">
        <v>173.6</v>
      </c>
      <c r="E848" s="116">
        <v>174.4</v>
      </c>
      <c r="F848" s="116">
        <v>868</v>
      </c>
      <c r="G848">
        <v>42</v>
      </c>
      <c r="H848" s="116"/>
      <c r="I848" s="116"/>
      <c r="L848" s="170">
        <v>43257</v>
      </c>
      <c r="M848" s="116">
        <v>171.63</v>
      </c>
      <c r="N848" s="116">
        <v>179.24</v>
      </c>
      <c r="O848" s="116">
        <v>166</v>
      </c>
      <c r="P848" s="116">
        <v>166.77</v>
      </c>
      <c r="Q848" s="116">
        <v>858.15</v>
      </c>
      <c r="R848">
        <v>2338</v>
      </c>
    </row>
    <row r="849" spans="1:18" x14ac:dyDescent="0.25">
      <c r="A849" s="170">
        <v>43277</v>
      </c>
      <c r="B849" s="116">
        <v>175.6</v>
      </c>
      <c r="C849" s="116">
        <v>173</v>
      </c>
      <c r="D849" s="116">
        <v>173</v>
      </c>
      <c r="E849" s="116">
        <v>174</v>
      </c>
      <c r="F849" s="116">
        <v>865</v>
      </c>
      <c r="G849">
        <v>135</v>
      </c>
      <c r="H849" s="116"/>
      <c r="I849" s="116"/>
      <c r="L849" s="170">
        <v>43258</v>
      </c>
      <c r="M849" s="116">
        <v>176.1</v>
      </c>
      <c r="N849" s="116">
        <v>178.9</v>
      </c>
      <c r="O849" s="116">
        <v>175</v>
      </c>
      <c r="P849" s="116">
        <v>175.99</v>
      </c>
      <c r="Q849" s="116">
        <v>880.5</v>
      </c>
      <c r="R849">
        <v>989</v>
      </c>
    </row>
    <row r="850" spans="1:18" x14ac:dyDescent="0.25">
      <c r="A850" s="170">
        <v>43278</v>
      </c>
      <c r="B850" s="116">
        <v>171.6</v>
      </c>
      <c r="C850" s="116">
        <v>168.41</v>
      </c>
      <c r="D850" s="116">
        <v>167.6</v>
      </c>
      <c r="E850" s="116">
        <v>171.6</v>
      </c>
      <c r="F850" s="116">
        <v>842.05</v>
      </c>
      <c r="G850">
        <v>65</v>
      </c>
      <c r="H850" s="116"/>
      <c r="I850" s="116"/>
      <c r="L850" s="170">
        <v>43259</v>
      </c>
      <c r="M850" s="116">
        <v>177.28</v>
      </c>
      <c r="N850" s="116">
        <v>182.8</v>
      </c>
      <c r="O850" s="116">
        <v>175.72</v>
      </c>
      <c r="P850" s="116">
        <v>182.8</v>
      </c>
      <c r="Q850" s="116">
        <v>886.4</v>
      </c>
      <c r="R850">
        <v>775</v>
      </c>
    </row>
    <row r="851" spans="1:18" x14ac:dyDescent="0.25">
      <c r="A851" s="170">
        <v>43279</v>
      </c>
      <c r="B851" s="116">
        <v>171.99</v>
      </c>
      <c r="C851" s="116">
        <v>171.79000000000002</v>
      </c>
      <c r="D851" s="116">
        <v>168.5</v>
      </c>
      <c r="E851" s="116">
        <v>170</v>
      </c>
      <c r="F851" s="116">
        <v>858.95</v>
      </c>
      <c r="G851">
        <v>291</v>
      </c>
      <c r="H851" s="116"/>
      <c r="I851" s="116"/>
      <c r="L851" s="170">
        <v>43262</v>
      </c>
      <c r="M851" s="116">
        <v>179.77</v>
      </c>
      <c r="N851" s="116">
        <v>180.91</v>
      </c>
      <c r="O851" s="116">
        <v>177.28</v>
      </c>
      <c r="P851" s="116">
        <v>177.28</v>
      </c>
      <c r="Q851" s="116">
        <v>898.85</v>
      </c>
      <c r="R851">
        <v>1477</v>
      </c>
    </row>
    <row r="852" spans="1:18" x14ac:dyDescent="0.25">
      <c r="A852" s="170">
        <v>43280</v>
      </c>
      <c r="B852" s="116">
        <v>180.57999999999998</v>
      </c>
      <c r="C852" s="116">
        <v>180.57999999999998</v>
      </c>
      <c r="D852" s="116">
        <v>172.4</v>
      </c>
      <c r="E852" s="116">
        <v>172.4</v>
      </c>
      <c r="F852" s="116">
        <v>902.9</v>
      </c>
      <c r="G852">
        <v>104</v>
      </c>
      <c r="H852" s="116"/>
      <c r="I852" s="116"/>
      <c r="L852" s="170">
        <v>43263</v>
      </c>
      <c r="M852" s="116">
        <v>180</v>
      </c>
      <c r="N852" s="116">
        <v>182.48</v>
      </c>
      <c r="O852" s="116">
        <v>179.4</v>
      </c>
      <c r="P852" s="116">
        <v>182.48</v>
      </c>
      <c r="Q852" s="116">
        <v>900</v>
      </c>
      <c r="R852">
        <v>536</v>
      </c>
    </row>
    <row r="853" spans="1:18" x14ac:dyDescent="0.25">
      <c r="A853" s="170">
        <v>43283</v>
      </c>
      <c r="B853" s="116">
        <v>176</v>
      </c>
      <c r="C853" s="116">
        <v>175</v>
      </c>
      <c r="D853" s="116">
        <v>175</v>
      </c>
      <c r="E853" s="116">
        <v>176</v>
      </c>
      <c r="F853" s="116">
        <v>875</v>
      </c>
      <c r="G853">
        <v>70</v>
      </c>
      <c r="H853" s="116"/>
      <c r="I853" s="116"/>
      <c r="L853" s="170">
        <v>43264</v>
      </c>
      <c r="M853" s="116">
        <v>180.57999999999998</v>
      </c>
      <c r="N853" s="116">
        <v>182.8</v>
      </c>
      <c r="O853" s="116">
        <v>179.4</v>
      </c>
      <c r="P853" s="116">
        <v>182.8</v>
      </c>
      <c r="Q853" s="116">
        <v>902.9</v>
      </c>
      <c r="R853">
        <v>1802</v>
      </c>
    </row>
    <row r="854" spans="1:18" x14ac:dyDescent="0.25">
      <c r="A854" s="170">
        <v>43284</v>
      </c>
      <c r="B854" s="116">
        <v>178</v>
      </c>
      <c r="C854" s="116">
        <v>176.4</v>
      </c>
      <c r="D854" s="116">
        <v>172</v>
      </c>
      <c r="E854" s="116">
        <v>178</v>
      </c>
      <c r="F854" s="116">
        <v>882</v>
      </c>
      <c r="G854">
        <v>230</v>
      </c>
      <c r="H854" s="116"/>
      <c r="I854" s="116"/>
      <c r="L854" s="170">
        <v>43265</v>
      </c>
      <c r="M854" s="116">
        <v>180.64000000000001</v>
      </c>
      <c r="N854" s="116">
        <v>182.6</v>
      </c>
      <c r="O854" s="116">
        <v>179.25</v>
      </c>
      <c r="P854" s="116">
        <v>180.63</v>
      </c>
      <c r="Q854" s="116">
        <v>903.2</v>
      </c>
      <c r="R854">
        <v>2125</v>
      </c>
    </row>
    <row r="855" spans="1:18" x14ac:dyDescent="0.25">
      <c r="A855" s="170">
        <v>43285</v>
      </c>
      <c r="B855" s="116">
        <v>174.4</v>
      </c>
      <c r="C855" s="116">
        <v>174.27</v>
      </c>
      <c r="D855" s="116">
        <v>174</v>
      </c>
      <c r="E855" s="116">
        <v>174.2</v>
      </c>
      <c r="F855" s="116">
        <v>871.35</v>
      </c>
      <c r="G855">
        <v>101</v>
      </c>
      <c r="H855" s="116"/>
      <c r="I855" s="116"/>
      <c r="L855" s="170">
        <v>43266</v>
      </c>
      <c r="M855" s="116">
        <v>180.02</v>
      </c>
      <c r="N855" s="116">
        <v>181.78</v>
      </c>
      <c r="O855" s="116">
        <v>178.41</v>
      </c>
      <c r="P855" s="116">
        <v>178.41</v>
      </c>
      <c r="Q855" s="116">
        <v>900.1</v>
      </c>
      <c r="R855">
        <v>1490</v>
      </c>
    </row>
    <row r="856" spans="1:18" x14ac:dyDescent="0.25">
      <c r="A856" s="170">
        <v>43286</v>
      </c>
      <c r="B856" s="116">
        <v>174.2</v>
      </c>
      <c r="C856" s="116">
        <v>172.44</v>
      </c>
      <c r="D856" s="116">
        <v>172</v>
      </c>
      <c r="E856" s="116">
        <v>174.2</v>
      </c>
      <c r="F856" s="116">
        <v>862.2</v>
      </c>
      <c r="G856">
        <v>98</v>
      </c>
      <c r="H856" s="116"/>
      <c r="I856" s="116"/>
      <c r="L856" s="170">
        <v>43269</v>
      </c>
      <c r="M856" s="116">
        <v>179.35</v>
      </c>
      <c r="N856" s="116">
        <v>182.01</v>
      </c>
      <c r="O856" s="116">
        <v>176.20999999999998</v>
      </c>
      <c r="P856" s="116">
        <v>182.01</v>
      </c>
      <c r="Q856" s="116">
        <v>896.75</v>
      </c>
      <c r="R856">
        <v>2190</v>
      </c>
    </row>
    <row r="857" spans="1:18" x14ac:dyDescent="0.25">
      <c r="A857" s="170">
        <v>43287</v>
      </c>
      <c r="B857" s="116">
        <v>176.2</v>
      </c>
      <c r="C857" s="116">
        <v>173.56</v>
      </c>
      <c r="D857" s="116">
        <v>173.4</v>
      </c>
      <c r="E857" s="116">
        <v>176.01</v>
      </c>
      <c r="F857" s="116">
        <v>867.8</v>
      </c>
      <c r="G857">
        <v>31</v>
      </c>
      <c r="H857" s="116"/>
      <c r="I857" s="116"/>
      <c r="L857" s="170">
        <v>43270</v>
      </c>
      <c r="M857" s="116">
        <v>176.05</v>
      </c>
      <c r="N857" s="116">
        <v>179.52</v>
      </c>
      <c r="O857" s="116">
        <v>175.2</v>
      </c>
      <c r="P857" s="116">
        <v>176.22</v>
      </c>
      <c r="Q857" s="116">
        <v>880.25</v>
      </c>
      <c r="R857">
        <v>904</v>
      </c>
    </row>
    <row r="858" spans="1:18" x14ac:dyDescent="0.25">
      <c r="A858" s="170">
        <v>43290</v>
      </c>
      <c r="B858" s="116">
        <v>179.2</v>
      </c>
      <c r="C858" s="116">
        <v>179.2</v>
      </c>
      <c r="D858" s="116">
        <v>176</v>
      </c>
      <c r="E858" s="116">
        <v>177.31</v>
      </c>
      <c r="F858" s="116">
        <v>896</v>
      </c>
      <c r="G858">
        <v>333</v>
      </c>
      <c r="H858" s="116"/>
      <c r="I858" s="116"/>
      <c r="L858" s="170">
        <v>43271</v>
      </c>
      <c r="M858" s="116">
        <v>174.51</v>
      </c>
      <c r="N858" s="116">
        <v>178</v>
      </c>
      <c r="O858" s="116">
        <v>174.4</v>
      </c>
      <c r="P858" s="116">
        <v>176</v>
      </c>
      <c r="Q858" s="116">
        <v>872.55</v>
      </c>
      <c r="R858">
        <v>331</v>
      </c>
    </row>
    <row r="859" spans="1:18" x14ac:dyDescent="0.25">
      <c r="A859" s="170">
        <v>43291</v>
      </c>
      <c r="B859" s="116">
        <v>179.6</v>
      </c>
      <c r="C859" s="116">
        <v>177.8</v>
      </c>
      <c r="D859" s="116">
        <v>177.8</v>
      </c>
      <c r="E859" s="116">
        <v>179</v>
      </c>
      <c r="F859" s="116">
        <v>889</v>
      </c>
      <c r="G859">
        <v>12</v>
      </c>
      <c r="H859" s="116"/>
      <c r="I859" s="116"/>
      <c r="L859" s="170">
        <v>43272</v>
      </c>
      <c r="M859" s="116">
        <v>177.1</v>
      </c>
      <c r="N859" s="116">
        <v>178</v>
      </c>
      <c r="O859" s="116">
        <v>171.18</v>
      </c>
      <c r="P859" s="116">
        <v>175.01</v>
      </c>
      <c r="Q859" s="116">
        <v>885.5</v>
      </c>
      <c r="R859">
        <v>1470</v>
      </c>
    </row>
    <row r="860" spans="1:18" x14ac:dyDescent="0.25">
      <c r="A860" s="170">
        <v>43292</v>
      </c>
      <c r="B860" s="116">
        <v>177.98</v>
      </c>
      <c r="C860" s="116">
        <v>173.45999999999998</v>
      </c>
      <c r="D860" s="116">
        <v>172.41</v>
      </c>
      <c r="E860" s="116">
        <v>175.2</v>
      </c>
      <c r="F860" s="116">
        <v>867.3</v>
      </c>
      <c r="G860">
        <v>358</v>
      </c>
      <c r="H860" s="116"/>
      <c r="I860" s="116"/>
      <c r="L860" s="170">
        <v>43273</v>
      </c>
      <c r="M860" s="116">
        <v>175.06</v>
      </c>
      <c r="N860" s="116">
        <v>179.8</v>
      </c>
      <c r="O860" s="116">
        <v>171.4</v>
      </c>
      <c r="P860" s="116">
        <v>178.99</v>
      </c>
      <c r="Q860" s="116">
        <v>875.3</v>
      </c>
      <c r="R860">
        <v>3389</v>
      </c>
    </row>
    <row r="861" spans="1:18" x14ac:dyDescent="0.25">
      <c r="A861" s="170">
        <v>43293</v>
      </c>
      <c r="B861" s="116">
        <v>176</v>
      </c>
      <c r="C861" s="116">
        <v>174</v>
      </c>
      <c r="D861" s="116">
        <v>174</v>
      </c>
      <c r="E861" s="116">
        <v>176</v>
      </c>
      <c r="F861" s="116">
        <v>870</v>
      </c>
      <c r="G861">
        <v>87</v>
      </c>
      <c r="H861" s="116"/>
      <c r="I861" s="116"/>
      <c r="L861" s="170">
        <v>43276</v>
      </c>
      <c r="M861" s="116">
        <v>175.62</v>
      </c>
      <c r="N861" s="116">
        <v>178.01</v>
      </c>
      <c r="O861" s="116">
        <v>172.10999999999999</v>
      </c>
      <c r="P861" s="116">
        <v>178</v>
      </c>
      <c r="Q861" s="116">
        <v>878.1</v>
      </c>
      <c r="R861">
        <v>965</v>
      </c>
    </row>
    <row r="862" spans="1:18" x14ac:dyDescent="0.25">
      <c r="A862" s="170">
        <v>43294</v>
      </c>
      <c r="B862" s="116">
        <v>176</v>
      </c>
      <c r="C862" s="116">
        <v>170.82</v>
      </c>
      <c r="D862" s="116">
        <v>169.2</v>
      </c>
      <c r="E862" s="116">
        <v>175.95999999999998</v>
      </c>
      <c r="F862" s="116">
        <v>854.1</v>
      </c>
      <c r="G862">
        <v>1169</v>
      </c>
      <c r="H862" s="116"/>
      <c r="I862" s="116"/>
      <c r="L862" s="170">
        <v>43277</v>
      </c>
      <c r="M862" s="116">
        <v>172.78</v>
      </c>
      <c r="N862" s="116">
        <v>176.16</v>
      </c>
      <c r="O862" s="116">
        <v>171.02</v>
      </c>
      <c r="P862" s="116">
        <v>171.03</v>
      </c>
      <c r="Q862" s="116">
        <v>863.9</v>
      </c>
      <c r="R862">
        <v>1063</v>
      </c>
    </row>
    <row r="863" spans="1:18" x14ac:dyDescent="0.25">
      <c r="A863" s="170">
        <v>43298</v>
      </c>
      <c r="B863" s="116">
        <v>172</v>
      </c>
      <c r="C863" s="116">
        <v>171.67000000000002</v>
      </c>
      <c r="D863" s="116">
        <v>160.01</v>
      </c>
      <c r="E863" s="116">
        <v>160.22</v>
      </c>
      <c r="F863" s="116">
        <v>858.35</v>
      </c>
      <c r="G863">
        <v>581</v>
      </c>
      <c r="H863" s="116"/>
      <c r="I863" s="116"/>
      <c r="L863" s="170">
        <v>43278</v>
      </c>
      <c r="M863" s="116">
        <v>169.66</v>
      </c>
      <c r="N863" s="116">
        <v>173.99</v>
      </c>
      <c r="O863" s="116">
        <v>168.47</v>
      </c>
      <c r="P863" s="116">
        <v>173.99</v>
      </c>
      <c r="Q863" s="116">
        <v>848.3</v>
      </c>
      <c r="R863">
        <v>608</v>
      </c>
    </row>
    <row r="864" spans="1:18" x14ac:dyDescent="0.25">
      <c r="A864" s="170">
        <v>43299</v>
      </c>
      <c r="B864" s="116">
        <v>175.79000000000002</v>
      </c>
      <c r="C864" s="116">
        <v>171.07</v>
      </c>
      <c r="D864" s="116">
        <v>171</v>
      </c>
      <c r="E864" s="116">
        <v>171</v>
      </c>
      <c r="F864" s="116">
        <v>855.35</v>
      </c>
      <c r="G864">
        <v>761</v>
      </c>
      <c r="H864" s="116"/>
      <c r="I864" s="116"/>
      <c r="L864" s="170">
        <v>43279</v>
      </c>
      <c r="M864" s="116">
        <v>171.32999999999998</v>
      </c>
      <c r="N864" s="116">
        <v>172.4</v>
      </c>
      <c r="O864" s="116">
        <v>167.22</v>
      </c>
      <c r="P864" s="116">
        <v>170.20999999999998</v>
      </c>
      <c r="Q864" s="116">
        <v>856.65</v>
      </c>
      <c r="R864">
        <v>975</v>
      </c>
    </row>
    <row r="865" spans="1:18" x14ac:dyDescent="0.25">
      <c r="A865" s="170">
        <v>43300</v>
      </c>
      <c r="B865" s="116">
        <v>168.4</v>
      </c>
      <c r="C865" s="116">
        <v>168.2</v>
      </c>
      <c r="D865" s="116">
        <v>168.10999999999999</v>
      </c>
      <c r="E865" s="116">
        <v>168.4</v>
      </c>
      <c r="F865" s="116">
        <v>841</v>
      </c>
      <c r="G865">
        <v>76</v>
      </c>
      <c r="H865" s="116"/>
      <c r="I865" s="116"/>
      <c r="L865" s="170">
        <v>43280</v>
      </c>
      <c r="M865" s="116">
        <v>178.85</v>
      </c>
      <c r="N865" s="116">
        <v>180.8</v>
      </c>
      <c r="O865" s="116">
        <v>171.32999999999998</v>
      </c>
      <c r="P865" s="116">
        <v>171.32999999999998</v>
      </c>
      <c r="Q865" s="116">
        <v>894.25</v>
      </c>
      <c r="R865">
        <v>1940</v>
      </c>
    </row>
    <row r="866" spans="1:18" x14ac:dyDescent="0.25">
      <c r="A866" s="170">
        <v>43304</v>
      </c>
      <c r="B866" s="116">
        <v>170.6</v>
      </c>
      <c r="C866" s="116">
        <v>165.5</v>
      </c>
      <c r="D866" s="116">
        <v>164.8</v>
      </c>
      <c r="E866" s="116">
        <v>170.6</v>
      </c>
      <c r="F866" s="116">
        <v>827.5</v>
      </c>
      <c r="G866">
        <v>114</v>
      </c>
      <c r="H866" s="116"/>
      <c r="I866" s="116"/>
      <c r="L866" s="170">
        <v>43283</v>
      </c>
      <c r="M866" s="116">
        <v>177.05</v>
      </c>
      <c r="N866" s="116">
        <v>178.85999999999999</v>
      </c>
      <c r="O866" s="116">
        <v>175.02</v>
      </c>
      <c r="P866" s="116">
        <v>178.85999999999999</v>
      </c>
      <c r="Q866" s="116">
        <v>885.25</v>
      </c>
      <c r="R866">
        <v>1163</v>
      </c>
    </row>
    <row r="867" spans="1:18" x14ac:dyDescent="0.25">
      <c r="A867" s="170">
        <v>43305</v>
      </c>
      <c r="B867" s="116">
        <v>171.4</v>
      </c>
      <c r="C867" s="116">
        <v>171.4</v>
      </c>
      <c r="D867" s="116">
        <v>168.04000000000002</v>
      </c>
      <c r="E867" s="116">
        <v>168.04000000000002</v>
      </c>
      <c r="F867" s="116">
        <v>857</v>
      </c>
      <c r="G867">
        <v>158</v>
      </c>
      <c r="H867" s="116"/>
      <c r="I867" s="116"/>
      <c r="L867" s="170">
        <v>43284</v>
      </c>
      <c r="M867" s="116">
        <v>175.10999999999999</v>
      </c>
      <c r="N867" s="116">
        <v>179.99</v>
      </c>
      <c r="O867" s="116">
        <v>172.85</v>
      </c>
      <c r="P867" s="116">
        <v>173.84</v>
      </c>
      <c r="Q867" s="116">
        <v>875.55</v>
      </c>
      <c r="R867">
        <v>433</v>
      </c>
    </row>
    <row r="868" spans="1:18" x14ac:dyDescent="0.25">
      <c r="A868" s="170">
        <v>43306</v>
      </c>
      <c r="B868" s="116">
        <v>175.6</v>
      </c>
      <c r="C868" s="116">
        <v>175.6</v>
      </c>
      <c r="D868" s="116">
        <v>173.35999999999999</v>
      </c>
      <c r="E868" s="116">
        <v>173.35999999999999</v>
      </c>
      <c r="F868" s="116">
        <v>878</v>
      </c>
      <c r="G868">
        <v>17</v>
      </c>
      <c r="H868" s="116"/>
      <c r="I868" s="116"/>
      <c r="L868" s="170">
        <v>43285</v>
      </c>
      <c r="M868" s="116">
        <v>175.05</v>
      </c>
      <c r="N868" s="116">
        <v>175.99</v>
      </c>
      <c r="O868" s="116">
        <v>175.02</v>
      </c>
      <c r="P868" s="116">
        <v>175.10999999999999</v>
      </c>
      <c r="Q868" s="116">
        <v>875.25</v>
      </c>
      <c r="R868">
        <v>428</v>
      </c>
    </row>
    <row r="869" spans="1:18" x14ac:dyDescent="0.25">
      <c r="A869" s="170">
        <v>43307</v>
      </c>
      <c r="B869" s="116">
        <v>180</v>
      </c>
      <c r="C869" s="116">
        <v>178.51</v>
      </c>
      <c r="D869" s="116">
        <v>175.2</v>
      </c>
      <c r="E869" s="116">
        <v>175.8</v>
      </c>
      <c r="F869" s="116">
        <v>892.55</v>
      </c>
      <c r="G869">
        <v>231</v>
      </c>
      <c r="H869" s="116"/>
      <c r="I869" s="116"/>
      <c r="L869" s="170">
        <v>43286</v>
      </c>
      <c r="M869" s="116">
        <v>172.79000000000002</v>
      </c>
      <c r="N869" s="116">
        <v>177.8</v>
      </c>
      <c r="O869" s="116">
        <v>171</v>
      </c>
      <c r="P869" s="116">
        <v>175.03</v>
      </c>
      <c r="Q869" s="116">
        <v>863.95</v>
      </c>
      <c r="R869">
        <v>858</v>
      </c>
    </row>
    <row r="870" spans="1:18" x14ac:dyDescent="0.25">
      <c r="A870" s="170">
        <v>43308</v>
      </c>
      <c r="B870" s="116">
        <v>175.2</v>
      </c>
      <c r="C870" s="116">
        <v>174.45999999999998</v>
      </c>
      <c r="D870" s="116">
        <v>172.53</v>
      </c>
      <c r="E870" s="116">
        <v>175</v>
      </c>
      <c r="F870" s="116">
        <v>872.3</v>
      </c>
      <c r="G870">
        <v>173</v>
      </c>
      <c r="H870" s="116"/>
      <c r="I870" s="116"/>
      <c r="L870" s="170">
        <v>43287</v>
      </c>
      <c r="M870" s="116">
        <v>174.66</v>
      </c>
      <c r="N870" s="116">
        <v>176.8</v>
      </c>
      <c r="O870" s="116">
        <v>172.41</v>
      </c>
      <c r="P870" s="116">
        <v>175.6</v>
      </c>
      <c r="Q870" s="116">
        <v>873.3</v>
      </c>
      <c r="R870">
        <v>1146</v>
      </c>
    </row>
    <row r="871" spans="1:18" x14ac:dyDescent="0.25">
      <c r="A871" s="170">
        <v>43311</v>
      </c>
      <c r="B871" s="116">
        <v>175.59</v>
      </c>
      <c r="C871" s="116">
        <v>169.10999999999999</v>
      </c>
      <c r="D871" s="116">
        <v>168.62</v>
      </c>
      <c r="E871" s="116">
        <v>172</v>
      </c>
      <c r="F871" s="116">
        <v>845.55</v>
      </c>
      <c r="G871">
        <v>469</v>
      </c>
      <c r="H871" s="116"/>
      <c r="I871" s="116"/>
      <c r="L871" s="170">
        <v>43290</v>
      </c>
      <c r="M871" s="116">
        <v>179.55</v>
      </c>
      <c r="N871" s="116">
        <v>180.60999999999999</v>
      </c>
      <c r="O871" s="116">
        <v>176.22</v>
      </c>
      <c r="P871" s="116">
        <v>178.4</v>
      </c>
      <c r="Q871" s="116">
        <v>897.75</v>
      </c>
      <c r="R871">
        <v>3123</v>
      </c>
    </row>
    <row r="872" spans="1:18" x14ac:dyDescent="0.25">
      <c r="A872" s="170">
        <v>43312</v>
      </c>
      <c r="B872" s="116">
        <v>173.6</v>
      </c>
      <c r="C872" s="116">
        <v>171.4</v>
      </c>
      <c r="D872" s="116">
        <v>171.4</v>
      </c>
      <c r="E872" s="116">
        <v>173.6</v>
      </c>
      <c r="F872" s="116">
        <v>857</v>
      </c>
      <c r="G872">
        <v>945</v>
      </c>
      <c r="H872" s="116"/>
      <c r="I872" s="116"/>
      <c r="L872" s="170">
        <v>43291</v>
      </c>
      <c r="M872" s="116">
        <v>176.60999999999999</v>
      </c>
      <c r="N872" s="116">
        <v>179.04000000000002</v>
      </c>
      <c r="O872" s="116">
        <v>173.05</v>
      </c>
      <c r="P872" s="116">
        <v>179.04000000000002</v>
      </c>
      <c r="Q872" s="116">
        <v>883.05</v>
      </c>
      <c r="R872">
        <v>1317</v>
      </c>
    </row>
    <row r="873" spans="1:18" x14ac:dyDescent="0.25">
      <c r="A873" s="170">
        <v>43313</v>
      </c>
      <c r="B873" s="116">
        <v>185</v>
      </c>
      <c r="C873" s="116">
        <v>180.67000000000002</v>
      </c>
      <c r="D873" s="116">
        <v>173</v>
      </c>
      <c r="E873" s="116">
        <v>173</v>
      </c>
      <c r="F873" s="116">
        <v>903.35</v>
      </c>
      <c r="G873">
        <v>674</v>
      </c>
      <c r="H873" s="116"/>
      <c r="I873" s="116"/>
      <c r="L873" s="170">
        <v>43292</v>
      </c>
      <c r="M873" s="116">
        <v>173.18</v>
      </c>
      <c r="N873" s="116">
        <v>177.6</v>
      </c>
      <c r="O873" s="116">
        <v>172.2</v>
      </c>
      <c r="P873" s="116">
        <v>173.8</v>
      </c>
      <c r="Q873" s="116">
        <v>865.9</v>
      </c>
      <c r="R873">
        <v>631</v>
      </c>
    </row>
    <row r="874" spans="1:18" x14ac:dyDescent="0.25">
      <c r="A874" s="170">
        <v>43314</v>
      </c>
      <c r="B874" s="116">
        <v>184.99</v>
      </c>
      <c r="C874" s="116">
        <v>181.15</v>
      </c>
      <c r="D874" s="116">
        <v>179</v>
      </c>
      <c r="E874" s="116">
        <v>180.44</v>
      </c>
      <c r="F874" s="116">
        <v>905.75</v>
      </c>
      <c r="G874">
        <v>834</v>
      </c>
      <c r="H874" s="116"/>
      <c r="I874" s="116"/>
      <c r="L874" s="170">
        <v>43293</v>
      </c>
      <c r="M874" s="116">
        <v>174.27</v>
      </c>
      <c r="N874" s="116">
        <v>176.92000000000002</v>
      </c>
      <c r="O874" s="116">
        <v>174.1</v>
      </c>
      <c r="P874" s="116">
        <v>176</v>
      </c>
      <c r="Q874" s="116">
        <v>871.35</v>
      </c>
      <c r="R874">
        <v>263</v>
      </c>
    </row>
    <row r="875" spans="1:18" x14ac:dyDescent="0.25">
      <c r="A875" s="170">
        <v>43315</v>
      </c>
      <c r="B875" s="116">
        <v>182</v>
      </c>
      <c r="C875" s="116">
        <v>181.63</v>
      </c>
      <c r="D875" s="116">
        <v>178.2</v>
      </c>
      <c r="E875" s="116">
        <v>181</v>
      </c>
      <c r="F875" s="116">
        <v>908.15</v>
      </c>
      <c r="G875">
        <v>169</v>
      </c>
      <c r="H875" s="116"/>
      <c r="I875" s="116"/>
      <c r="L875" s="170">
        <v>43294</v>
      </c>
      <c r="M875" s="116">
        <v>171.81</v>
      </c>
      <c r="N875" s="116">
        <v>176</v>
      </c>
      <c r="O875" s="116">
        <v>170.3</v>
      </c>
      <c r="P875" s="116">
        <v>176</v>
      </c>
      <c r="Q875" s="116">
        <v>859.05</v>
      </c>
      <c r="R875">
        <v>789</v>
      </c>
    </row>
    <row r="876" spans="1:18" x14ac:dyDescent="0.25">
      <c r="A876" s="170">
        <v>43318</v>
      </c>
      <c r="B876" s="116">
        <v>196.32999999999998</v>
      </c>
      <c r="C876" s="116">
        <v>192.68</v>
      </c>
      <c r="D876" s="116">
        <v>186.2</v>
      </c>
      <c r="E876" s="116">
        <v>186.2</v>
      </c>
      <c r="F876" s="116">
        <v>963.4</v>
      </c>
      <c r="G876">
        <v>1572</v>
      </c>
      <c r="H876" s="116"/>
      <c r="I876" s="116"/>
      <c r="L876" s="170">
        <v>43297</v>
      </c>
      <c r="M876" s="116">
        <v>171.75</v>
      </c>
      <c r="N876" s="116">
        <v>173.95</v>
      </c>
      <c r="O876" s="116">
        <v>169.2</v>
      </c>
      <c r="P876" s="116">
        <v>173.95</v>
      </c>
      <c r="Q876" s="116">
        <v>858.75</v>
      </c>
      <c r="R876">
        <v>671</v>
      </c>
    </row>
    <row r="877" spans="1:18" x14ac:dyDescent="0.25">
      <c r="A877" s="170">
        <v>43319</v>
      </c>
      <c r="B877" s="116">
        <v>208</v>
      </c>
      <c r="C877" s="116">
        <v>204.31</v>
      </c>
      <c r="D877" s="116">
        <v>195.4</v>
      </c>
      <c r="E877" s="116">
        <v>198.79000000000002</v>
      </c>
      <c r="F877" s="116">
        <v>1021.55</v>
      </c>
      <c r="G877">
        <v>1871</v>
      </c>
      <c r="H877" s="116"/>
      <c r="I877" s="116"/>
      <c r="L877" s="170">
        <v>43298</v>
      </c>
      <c r="M877" s="116">
        <v>171</v>
      </c>
      <c r="N877" s="116">
        <v>173.98</v>
      </c>
      <c r="O877" s="116">
        <v>168</v>
      </c>
      <c r="P877" s="116">
        <v>172.4</v>
      </c>
      <c r="Q877" s="116">
        <v>855</v>
      </c>
      <c r="R877">
        <v>599</v>
      </c>
    </row>
    <row r="878" spans="1:18" x14ac:dyDescent="0.25">
      <c r="A878" s="170">
        <v>43320</v>
      </c>
      <c r="B878" s="116">
        <v>225</v>
      </c>
      <c r="C878" s="116">
        <v>216.75</v>
      </c>
      <c r="D878" s="116">
        <v>203.6</v>
      </c>
      <c r="E878" s="116">
        <v>210.8</v>
      </c>
      <c r="F878" s="116">
        <v>1083.75</v>
      </c>
      <c r="G878">
        <v>5525</v>
      </c>
      <c r="H878" s="116"/>
      <c r="I878" s="116"/>
      <c r="L878" s="170">
        <v>43299</v>
      </c>
      <c r="M878" s="116">
        <v>171.12</v>
      </c>
      <c r="N878" s="116">
        <v>174</v>
      </c>
      <c r="O878" s="116">
        <v>170.41</v>
      </c>
      <c r="P878" s="116">
        <v>173.79000000000002</v>
      </c>
      <c r="Q878" s="116">
        <v>855.6</v>
      </c>
      <c r="R878">
        <v>481</v>
      </c>
    </row>
    <row r="879" spans="1:18" x14ac:dyDescent="0.25">
      <c r="A879" s="170">
        <v>43321</v>
      </c>
      <c r="B879" s="116">
        <v>225.54000000000002</v>
      </c>
      <c r="C879" s="116">
        <v>214.39000000000001</v>
      </c>
      <c r="D879" s="116">
        <v>212</v>
      </c>
      <c r="E879" s="116">
        <v>223.2</v>
      </c>
      <c r="F879" s="116">
        <v>1071.95</v>
      </c>
      <c r="G879">
        <v>1954</v>
      </c>
      <c r="H879" s="116"/>
      <c r="I879" s="116"/>
      <c r="L879" s="170">
        <v>43300</v>
      </c>
      <c r="M879" s="116">
        <v>168.89000000000001</v>
      </c>
      <c r="N879" s="116">
        <v>172.79000000000002</v>
      </c>
      <c r="O879" s="116">
        <v>167</v>
      </c>
      <c r="P879" s="116">
        <v>171.13</v>
      </c>
      <c r="Q879" s="116">
        <v>844.45</v>
      </c>
      <c r="R879">
        <v>2261</v>
      </c>
    </row>
    <row r="880" spans="1:18" x14ac:dyDescent="0.25">
      <c r="A880" s="170">
        <v>43322</v>
      </c>
      <c r="B880" s="116">
        <v>222.4</v>
      </c>
      <c r="C880" s="116">
        <v>210.76999999999998</v>
      </c>
      <c r="D880" s="116">
        <v>210</v>
      </c>
      <c r="E880" s="116">
        <v>214.6</v>
      </c>
      <c r="F880" s="116">
        <v>1053.8499999999999</v>
      </c>
      <c r="G880">
        <v>1201</v>
      </c>
      <c r="H880" s="116"/>
      <c r="I880" s="116"/>
      <c r="L880" s="170">
        <v>43301</v>
      </c>
      <c r="M880" s="116">
        <v>173.38</v>
      </c>
      <c r="N880" s="116">
        <v>174.8</v>
      </c>
      <c r="O880" s="116">
        <v>165.43</v>
      </c>
      <c r="P880" s="116">
        <v>174.8</v>
      </c>
      <c r="Q880" s="116">
        <v>866.9</v>
      </c>
      <c r="R880">
        <v>959</v>
      </c>
    </row>
    <row r="881" spans="1:18" x14ac:dyDescent="0.25">
      <c r="A881" s="170">
        <v>43325</v>
      </c>
      <c r="B881" s="116">
        <v>214.2</v>
      </c>
      <c r="C881" s="116">
        <v>204.83</v>
      </c>
      <c r="D881" s="116">
        <v>203.6</v>
      </c>
      <c r="E881" s="116">
        <v>210.2</v>
      </c>
      <c r="F881" s="116">
        <v>1024.1500000000001</v>
      </c>
      <c r="G881">
        <v>232</v>
      </c>
      <c r="H881" s="116"/>
      <c r="I881" s="116"/>
      <c r="L881" s="170">
        <v>43304</v>
      </c>
      <c r="M881" s="116">
        <v>166.22</v>
      </c>
      <c r="N881" s="116">
        <v>177.72</v>
      </c>
      <c r="O881" s="116">
        <v>165.02</v>
      </c>
      <c r="P881" s="116">
        <v>169.8</v>
      </c>
      <c r="Q881" s="116">
        <v>831.1</v>
      </c>
      <c r="R881">
        <v>4004</v>
      </c>
    </row>
    <row r="882" spans="1:18" x14ac:dyDescent="0.25">
      <c r="A882" s="170">
        <v>43326</v>
      </c>
      <c r="B882" s="116">
        <v>211</v>
      </c>
      <c r="C882" s="116">
        <v>202</v>
      </c>
      <c r="D882" s="116">
        <v>200</v>
      </c>
      <c r="E882" s="116">
        <v>200</v>
      </c>
      <c r="F882" s="116">
        <v>1010</v>
      </c>
      <c r="G882">
        <v>113</v>
      </c>
      <c r="H882" s="116"/>
      <c r="I882" s="116"/>
      <c r="L882" s="170">
        <v>43305</v>
      </c>
      <c r="M882" s="116">
        <v>170.64000000000001</v>
      </c>
      <c r="N882" s="116">
        <v>171.57999999999998</v>
      </c>
      <c r="O882" s="116">
        <v>166.1</v>
      </c>
      <c r="P882" s="116">
        <v>169.73</v>
      </c>
      <c r="Q882" s="116">
        <v>853.2</v>
      </c>
      <c r="R882">
        <v>1360</v>
      </c>
    </row>
    <row r="883" spans="1:18" x14ac:dyDescent="0.25">
      <c r="A883" s="170">
        <v>43328</v>
      </c>
      <c r="B883" s="116">
        <v>222.35999999999999</v>
      </c>
      <c r="C883" s="116">
        <v>217.83</v>
      </c>
      <c r="D883" s="116">
        <v>192</v>
      </c>
      <c r="E883" s="116">
        <v>192</v>
      </c>
      <c r="F883" s="116">
        <v>1089.1500000000001</v>
      </c>
      <c r="G883">
        <v>2409</v>
      </c>
      <c r="H883" s="116"/>
      <c r="I883" s="116"/>
      <c r="L883" s="170">
        <v>43306</v>
      </c>
      <c r="M883" s="116">
        <v>174.75</v>
      </c>
      <c r="N883" s="116">
        <v>175.57999999999998</v>
      </c>
      <c r="O883" s="116">
        <v>170.01</v>
      </c>
      <c r="P883" s="116">
        <v>173.57</v>
      </c>
      <c r="Q883" s="116">
        <v>873.75</v>
      </c>
      <c r="R883">
        <v>1554</v>
      </c>
    </row>
    <row r="884" spans="1:18" x14ac:dyDescent="0.25">
      <c r="A884" s="170">
        <v>43329</v>
      </c>
      <c r="B884" s="116">
        <v>227</v>
      </c>
      <c r="C884" s="116">
        <v>225.15</v>
      </c>
      <c r="D884" s="116">
        <v>217</v>
      </c>
      <c r="E884" s="116">
        <v>219.4</v>
      </c>
      <c r="F884" s="116">
        <v>1125.75</v>
      </c>
      <c r="G884">
        <v>3150</v>
      </c>
      <c r="H884" s="116"/>
      <c r="I884" s="116"/>
      <c r="L884" s="170">
        <v>43307</v>
      </c>
      <c r="M884" s="116">
        <v>178.6</v>
      </c>
      <c r="N884" s="116">
        <v>182.88</v>
      </c>
      <c r="O884" s="116">
        <v>174.74</v>
      </c>
      <c r="P884" s="116">
        <v>174.75</v>
      </c>
      <c r="Q884" s="116">
        <v>893</v>
      </c>
      <c r="R884">
        <v>5116</v>
      </c>
    </row>
    <row r="885" spans="1:18" x14ac:dyDescent="0.25">
      <c r="A885" s="170">
        <v>43332</v>
      </c>
      <c r="B885" s="116">
        <v>225</v>
      </c>
      <c r="C885" s="116">
        <v>217.74</v>
      </c>
      <c r="D885" s="116">
        <v>215.4</v>
      </c>
      <c r="E885" s="116">
        <v>223.6</v>
      </c>
      <c r="F885" s="116">
        <v>1088.7</v>
      </c>
      <c r="G885">
        <v>1030</v>
      </c>
      <c r="H885" s="116"/>
      <c r="I885" s="116"/>
      <c r="L885" s="170">
        <v>43308</v>
      </c>
      <c r="M885" s="116">
        <v>172.02</v>
      </c>
      <c r="N885" s="116">
        <v>179</v>
      </c>
      <c r="O885" s="116">
        <v>169.99</v>
      </c>
      <c r="P885" s="116">
        <v>178.6</v>
      </c>
      <c r="Q885" s="116">
        <v>860.1</v>
      </c>
      <c r="R885">
        <v>4049</v>
      </c>
    </row>
    <row r="886" spans="1:18" x14ac:dyDescent="0.25">
      <c r="A886" s="170">
        <v>43333</v>
      </c>
      <c r="B886" s="116">
        <v>221.8</v>
      </c>
      <c r="C886" s="116">
        <v>220.65</v>
      </c>
      <c r="D886" s="116">
        <v>218</v>
      </c>
      <c r="E886" s="116">
        <v>221</v>
      </c>
      <c r="F886" s="116">
        <v>1103.25</v>
      </c>
      <c r="G886">
        <v>615</v>
      </c>
      <c r="H886" s="116"/>
      <c r="I886" s="116"/>
      <c r="L886" s="170">
        <v>43311</v>
      </c>
      <c r="M886" s="116">
        <v>170.12</v>
      </c>
      <c r="N886" s="116">
        <v>176</v>
      </c>
      <c r="O886" s="116">
        <v>167.6</v>
      </c>
      <c r="P886" s="116">
        <v>172.8</v>
      </c>
      <c r="Q886" s="116">
        <v>850.6</v>
      </c>
      <c r="R886">
        <v>8066</v>
      </c>
    </row>
    <row r="887" spans="1:18" x14ac:dyDescent="0.25">
      <c r="A887" s="170">
        <v>43335</v>
      </c>
      <c r="B887" s="116">
        <v>218.03000000000003</v>
      </c>
      <c r="C887" s="116">
        <v>206.67</v>
      </c>
      <c r="D887" s="116">
        <v>202</v>
      </c>
      <c r="E887" s="116">
        <v>217.20999999999998</v>
      </c>
      <c r="F887" s="116">
        <v>1033.3499999999999</v>
      </c>
      <c r="G887">
        <v>1496</v>
      </c>
      <c r="H887" s="116"/>
      <c r="I887" s="116"/>
      <c r="L887" s="170">
        <v>43312</v>
      </c>
      <c r="M887" s="116">
        <v>171.98</v>
      </c>
      <c r="N887" s="116">
        <v>176</v>
      </c>
      <c r="O887" s="116">
        <v>170.12</v>
      </c>
      <c r="P887" s="116">
        <v>170.12</v>
      </c>
      <c r="Q887" s="116">
        <v>859.9</v>
      </c>
      <c r="R887">
        <v>5335</v>
      </c>
    </row>
    <row r="888" spans="1:18" x14ac:dyDescent="0.25">
      <c r="A888" s="170">
        <v>43336</v>
      </c>
      <c r="B888" s="116">
        <v>215.2</v>
      </c>
      <c r="C888" s="116">
        <v>206.95</v>
      </c>
      <c r="D888" s="116">
        <v>200.78</v>
      </c>
      <c r="E888" s="116">
        <v>207</v>
      </c>
      <c r="F888" s="116">
        <v>1034.75</v>
      </c>
      <c r="G888">
        <v>1002</v>
      </c>
      <c r="H888" s="116"/>
      <c r="I888" s="116"/>
      <c r="L888" s="170">
        <v>43313</v>
      </c>
      <c r="M888" s="116">
        <v>180.44</v>
      </c>
      <c r="N888" s="116">
        <v>185</v>
      </c>
      <c r="O888" s="116">
        <v>172.42000000000002</v>
      </c>
      <c r="P888" s="116">
        <v>175.9</v>
      </c>
      <c r="Q888" s="116">
        <v>902.2</v>
      </c>
      <c r="R888">
        <v>19612</v>
      </c>
    </row>
    <row r="889" spans="1:18" x14ac:dyDescent="0.25">
      <c r="A889" s="170">
        <v>43339</v>
      </c>
      <c r="B889" s="116">
        <v>215.6</v>
      </c>
      <c r="C889" s="116">
        <v>213.66</v>
      </c>
      <c r="D889" s="116">
        <v>210</v>
      </c>
      <c r="E889" s="116">
        <v>210</v>
      </c>
      <c r="F889" s="116">
        <v>1068.3</v>
      </c>
      <c r="G889">
        <v>609</v>
      </c>
      <c r="H889" s="116"/>
      <c r="I889" s="116"/>
      <c r="L889" s="170">
        <v>43314</v>
      </c>
      <c r="M889" s="116">
        <v>180.91</v>
      </c>
      <c r="N889" s="116">
        <v>184</v>
      </c>
      <c r="O889" s="116">
        <v>178.09</v>
      </c>
      <c r="P889" s="116">
        <v>180.44</v>
      </c>
      <c r="Q889" s="116">
        <v>904.55</v>
      </c>
      <c r="R889">
        <v>16562</v>
      </c>
    </row>
    <row r="890" spans="1:18" x14ac:dyDescent="0.25">
      <c r="A890" s="170">
        <v>43340</v>
      </c>
      <c r="B890" s="116">
        <v>218</v>
      </c>
      <c r="C890" s="116">
        <v>216.86999999999998</v>
      </c>
      <c r="D890" s="116">
        <v>208</v>
      </c>
      <c r="E890" s="116">
        <v>208</v>
      </c>
      <c r="F890" s="116">
        <v>1084.3499999999999</v>
      </c>
      <c r="G890">
        <v>187</v>
      </c>
      <c r="H890" s="116"/>
      <c r="I890" s="116"/>
      <c r="L890" s="170">
        <v>43315</v>
      </c>
      <c r="M890" s="116">
        <v>181.5</v>
      </c>
      <c r="N890" s="116">
        <v>182.2</v>
      </c>
      <c r="O890" s="116">
        <v>180.01</v>
      </c>
      <c r="P890" s="116">
        <v>180.91</v>
      </c>
      <c r="Q890" s="116">
        <v>907.5</v>
      </c>
      <c r="R890">
        <v>6475</v>
      </c>
    </row>
    <row r="891" spans="1:18" x14ac:dyDescent="0.25">
      <c r="A891" s="170">
        <v>43341</v>
      </c>
      <c r="B891" s="116">
        <v>216.79000000000002</v>
      </c>
      <c r="C891" s="116">
        <v>212.94</v>
      </c>
      <c r="D891" s="116">
        <v>212.6</v>
      </c>
      <c r="E891" s="116">
        <v>216</v>
      </c>
      <c r="F891" s="116">
        <v>1064.7</v>
      </c>
      <c r="G891">
        <v>99</v>
      </c>
      <c r="H891" s="116"/>
      <c r="I891" s="116"/>
      <c r="L891" s="170">
        <v>43318</v>
      </c>
      <c r="M891" s="116">
        <v>193.49</v>
      </c>
      <c r="N891" s="116">
        <v>196</v>
      </c>
      <c r="O891" s="116">
        <v>185.4</v>
      </c>
      <c r="P891" s="116">
        <v>186.45</v>
      </c>
      <c r="Q891" s="116">
        <v>967.45</v>
      </c>
      <c r="R891">
        <v>18655</v>
      </c>
    </row>
    <row r="892" spans="1:18" x14ac:dyDescent="0.25">
      <c r="A892" s="170">
        <v>43342</v>
      </c>
      <c r="B892" s="116">
        <v>218.4</v>
      </c>
      <c r="C892" s="116">
        <v>217.6</v>
      </c>
      <c r="D892" s="116">
        <v>215.8</v>
      </c>
      <c r="E892" s="116">
        <v>218.4</v>
      </c>
      <c r="F892" s="116">
        <v>1088</v>
      </c>
      <c r="G892">
        <v>105</v>
      </c>
      <c r="H892" s="116"/>
      <c r="I892" s="116"/>
      <c r="L892" s="170">
        <v>43319</v>
      </c>
      <c r="M892" s="116">
        <v>204.81</v>
      </c>
      <c r="N892" s="116">
        <v>208</v>
      </c>
      <c r="O892" s="116">
        <v>194</v>
      </c>
      <c r="P892" s="116">
        <v>196</v>
      </c>
      <c r="Q892" s="116">
        <v>1024.05</v>
      </c>
      <c r="R892">
        <v>19816</v>
      </c>
    </row>
    <row r="893" spans="1:18" x14ac:dyDescent="0.25">
      <c r="A893" s="170">
        <v>43343</v>
      </c>
      <c r="B893" s="116">
        <v>218.79000000000002</v>
      </c>
      <c r="C893" s="116">
        <v>215.86999999999998</v>
      </c>
      <c r="D893" s="116">
        <v>214.01</v>
      </c>
      <c r="E893" s="116">
        <v>214.01</v>
      </c>
      <c r="F893" s="116">
        <v>1079.3499999999999</v>
      </c>
      <c r="G893">
        <v>140</v>
      </c>
      <c r="H893" s="116"/>
      <c r="I893" s="116"/>
      <c r="L893" s="170">
        <v>43320</v>
      </c>
      <c r="M893" s="116">
        <v>217.99</v>
      </c>
      <c r="N893" s="116">
        <v>225.01</v>
      </c>
      <c r="O893" s="116">
        <v>202.05</v>
      </c>
      <c r="P893" s="116">
        <v>206</v>
      </c>
      <c r="Q893" s="116">
        <v>1089.95</v>
      </c>
      <c r="R893">
        <v>38069</v>
      </c>
    </row>
    <row r="894" spans="1:18" x14ac:dyDescent="0.25">
      <c r="A894" s="170">
        <v>43346</v>
      </c>
      <c r="B894" s="116">
        <v>227.19</v>
      </c>
      <c r="C894" s="116">
        <v>218.41</v>
      </c>
      <c r="D894" s="116">
        <v>210.55</v>
      </c>
      <c r="E894" s="116">
        <v>219.8</v>
      </c>
      <c r="F894" s="116">
        <v>1092.05</v>
      </c>
      <c r="G894">
        <v>971</v>
      </c>
      <c r="H894" s="116"/>
      <c r="I894" s="116"/>
      <c r="L894" s="170">
        <v>43321</v>
      </c>
      <c r="M894" s="116">
        <v>217.06</v>
      </c>
      <c r="N894" s="116">
        <v>225.59</v>
      </c>
      <c r="O894" s="116">
        <v>215</v>
      </c>
      <c r="P894" s="116">
        <v>221.76999999999998</v>
      </c>
      <c r="Q894" s="116">
        <v>1085.3</v>
      </c>
      <c r="R894">
        <v>8124</v>
      </c>
    </row>
    <row r="895" spans="1:18" x14ac:dyDescent="0.25">
      <c r="A895" s="170">
        <v>43347</v>
      </c>
      <c r="B895" s="116">
        <v>222</v>
      </c>
      <c r="C895" s="116">
        <v>217.93</v>
      </c>
      <c r="D895" s="116">
        <v>215.2</v>
      </c>
      <c r="E895" s="116">
        <v>217.8</v>
      </c>
      <c r="F895" s="116">
        <v>1089.6500000000001</v>
      </c>
      <c r="G895">
        <v>141</v>
      </c>
      <c r="H895" s="116"/>
      <c r="I895" s="116"/>
      <c r="L895" s="170">
        <v>43322</v>
      </c>
      <c r="M895" s="116">
        <v>211.07</v>
      </c>
      <c r="N895" s="116">
        <v>223.58</v>
      </c>
      <c r="O895" s="116">
        <v>210.4</v>
      </c>
      <c r="P895" s="116">
        <v>215.6</v>
      </c>
      <c r="Q895" s="116">
        <v>1055.3499999999999</v>
      </c>
      <c r="R895">
        <v>10117</v>
      </c>
    </row>
    <row r="896" spans="1:18" x14ac:dyDescent="0.25">
      <c r="A896" s="170">
        <v>43348</v>
      </c>
      <c r="B896" s="116">
        <v>217.8</v>
      </c>
      <c r="C896" s="116">
        <v>212.79000000000002</v>
      </c>
      <c r="D896" s="116">
        <v>211</v>
      </c>
      <c r="E896" s="116">
        <v>217.8</v>
      </c>
      <c r="F896" s="116">
        <v>1063.95</v>
      </c>
      <c r="G896">
        <v>281</v>
      </c>
      <c r="H896" s="116"/>
      <c r="I896" s="116"/>
      <c r="L896" s="170">
        <v>43325</v>
      </c>
      <c r="M896" s="116">
        <v>204.77</v>
      </c>
      <c r="N896" s="116">
        <v>218.8</v>
      </c>
      <c r="O896" s="116">
        <v>202.2</v>
      </c>
      <c r="P896" s="116">
        <v>218.8</v>
      </c>
      <c r="Q896" s="116">
        <v>1023.85</v>
      </c>
      <c r="R896">
        <v>4830</v>
      </c>
    </row>
    <row r="897" spans="1:18" x14ac:dyDescent="0.25">
      <c r="A897" s="170">
        <v>43349</v>
      </c>
      <c r="B897" s="116">
        <v>234.8</v>
      </c>
      <c r="C897" s="116">
        <v>228.85999999999999</v>
      </c>
      <c r="D897" s="116">
        <v>210</v>
      </c>
      <c r="E897" s="116">
        <v>212.8</v>
      </c>
      <c r="F897" s="116">
        <v>1144.3</v>
      </c>
      <c r="G897">
        <v>5303</v>
      </c>
      <c r="H897" s="116"/>
      <c r="I897" s="116"/>
      <c r="L897" s="170">
        <v>43326</v>
      </c>
      <c r="M897" s="116">
        <v>201.8</v>
      </c>
      <c r="N897" s="116">
        <v>207.91</v>
      </c>
      <c r="O897" s="116">
        <v>201</v>
      </c>
      <c r="P897" s="116">
        <v>201.6</v>
      </c>
      <c r="Q897" s="116">
        <v>1009</v>
      </c>
      <c r="R897">
        <v>2112</v>
      </c>
    </row>
    <row r="898" spans="1:18" x14ac:dyDescent="0.25">
      <c r="A898" s="170">
        <v>43350</v>
      </c>
      <c r="B898" s="116">
        <v>265.60000000000002</v>
      </c>
      <c r="C898" s="116">
        <v>253.03000000000003</v>
      </c>
      <c r="D898" s="116">
        <v>228.8</v>
      </c>
      <c r="E898" s="116">
        <v>231.76999999999998</v>
      </c>
      <c r="F898" s="116">
        <v>1265.1500000000001</v>
      </c>
      <c r="G898">
        <v>24040</v>
      </c>
      <c r="H898" s="116"/>
      <c r="I898" s="116"/>
      <c r="L898" s="170">
        <v>43328</v>
      </c>
      <c r="M898" s="116">
        <v>216.6</v>
      </c>
      <c r="N898" s="116">
        <v>223</v>
      </c>
      <c r="O898" s="116">
        <v>200.8</v>
      </c>
      <c r="P898" s="116">
        <v>207.98000000000002</v>
      </c>
      <c r="Q898" s="116">
        <v>1083</v>
      </c>
      <c r="R898">
        <v>21942</v>
      </c>
    </row>
    <row r="899" spans="1:18" x14ac:dyDescent="0.25">
      <c r="A899" s="170">
        <v>43353</v>
      </c>
      <c r="B899" s="116">
        <v>263.07</v>
      </c>
      <c r="C899" s="116">
        <v>251.8</v>
      </c>
      <c r="D899" s="116">
        <v>247</v>
      </c>
      <c r="E899" s="116">
        <v>255.53000000000003</v>
      </c>
      <c r="F899" s="116">
        <v>1259</v>
      </c>
      <c r="G899">
        <v>3756</v>
      </c>
      <c r="H899" s="116"/>
      <c r="I899" s="116"/>
      <c r="L899" s="170">
        <v>43329</v>
      </c>
      <c r="M899" s="116">
        <v>225.67</v>
      </c>
      <c r="N899" s="116">
        <v>226.8</v>
      </c>
      <c r="O899" s="116">
        <v>216.6</v>
      </c>
      <c r="P899" s="116">
        <v>216.6</v>
      </c>
      <c r="Q899" s="116">
        <v>1128.3499999999999</v>
      </c>
      <c r="R899">
        <v>13065</v>
      </c>
    </row>
    <row r="900" spans="1:18" x14ac:dyDescent="0.25">
      <c r="A900" s="170">
        <v>43354</v>
      </c>
      <c r="B900" s="116">
        <v>257.78000000000003</v>
      </c>
      <c r="C900" s="116">
        <v>239.1</v>
      </c>
      <c r="D900" s="116">
        <v>238</v>
      </c>
      <c r="E900" s="116">
        <v>252.2</v>
      </c>
      <c r="F900" s="116">
        <v>1195.5</v>
      </c>
      <c r="G900">
        <v>1279</v>
      </c>
      <c r="H900" s="116"/>
      <c r="I900" s="116"/>
      <c r="L900" s="170">
        <v>43332</v>
      </c>
      <c r="M900" s="116">
        <v>217.68</v>
      </c>
      <c r="N900" s="116">
        <v>227.6</v>
      </c>
      <c r="O900" s="116">
        <v>214</v>
      </c>
      <c r="P900" s="116">
        <v>227.6</v>
      </c>
      <c r="Q900" s="116">
        <v>1088.4000000000001</v>
      </c>
      <c r="R900">
        <v>9574</v>
      </c>
    </row>
    <row r="901" spans="1:18" x14ac:dyDescent="0.25">
      <c r="A901" s="170">
        <v>43355</v>
      </c>
      <c r="B901" s="116">
        <v>242.6</v>
      </c>
      <c r="C901" s="116">
        <v>233.07</v>
      </c>
      <c r="D901" s="116">
        <v>228.89000000000001</v>
      </c>
      <c r="E901" s="116">
        <v>240.78000000000003</v>
      </c>
      <c r="F901" s="116">
        <v>1165.3499999999999</v>
      </c>
      <c r="G901">
        <v>1931</v>
      </c>
      <c r="H901" s="116"/>
      <c r="I901" s="116"/>
      <c r="L901" s="170">
        <v>43333</v>
      </c>
      <c r="M901" s="116">
        <v>220.43</v>
      </c>
      <c r="N901" s="116">
        <v>222.2</v>
      </c>
      <c r="O901" s="116">
        <v>217</v>
      </c>
      <c r="P901" s="116">
        <v>218.41</v>
      </c>
      <c r="Q901" s="116">
        <v>1102.1500000000001</v>
      </c>
      <c r="R901">
        <v>5944</v>
      </c>
    </row>
    <row r="902" spans="1:18" x14ac:dyDescent="0.25">
      <c r="A902" s="170">
        <v>43357</v>
      </c>
      <c r="B902" s="116">
        <v>250.35</v>
      </c>
      <c r="C902" s="116">
        <v>245.04000000000002</v>
      </c>
      <c r="D902" s="116">
        <v>230</v>
      </c>
      <c r="E902" s="116">
        <v>230</v>
      </c>
      <c r="F902" s="116">
        <v>1225.2</v>
      </c>
      <c r="G902">
        <v>2324</v>
      </c>
      <c r="H902" s="116"/>
      <c r="I902" s="116"/>
      <c r="L902" s="170">
        <v>43335</v>
      </c>
      <c r="M902" s="116">
        <v>207.01999999999998</v>
      </c>
      <c r="N902" s="116">
        <v>219.2</v>
      </c>
      <c r="O902" s="116">
        <v>202.85999999999999</v>
      </c>
      <c r="P902" s="116">
        <v>219.2</v>
      </c>
      <c r="Q902" s="116">
        <v>1035.0999999999999</v>
      </c>
      <c r="R902">
        <v>10906</v>
      </c>
    </row>
    <row r="903" spans="1:18" x14ac:dyDescent="0.25">
      <c r="A903" s="170">
        <v>43360</v>
      </c>
      <c r="B903" s="116">
        <v>242.88000000000002</v>
      </c>
      <c r="C903" s="116">
        <v>237.01999999999998</v>
      </c>
      <c r="D903" s="116">
        <v>235.95999999999998</v>
      </c>
      <c r="E903" s="116">
        <v>241.21999999999997</v>
      </c>
      <c r="F903" s="116">
        <v>1185.0999999999999</v>
      </c>
      <c r="G903">
        <v>1334</v>
      </c>
      <c r="H903" s="116"/>
      <c r="I903" s="116"/>
      <c r="L903" s="170">
        <v>43336</v>
      </c>
      <c r="M903" s="116">
        <v>211.06</v>
      </c>
      <c r="N903" s="116">
        <v>216.4</v>
      </c>
      <c r="O903" s="116">
        <v>205.4</v>
      </c>
      <c r="P903" s="116">
        <v>205.91</v>
      </c>
      <c r="Q903" s="116">
        <v>1055.3</v>
      </c>
      <c r="R903">
        <v>6302</v>
      </c>
    </row>
    <row r="904" spans="1:18" x14ac:dyDescent="0.25">
      <c r="A904" s="170">
        <v>43361</v>
      </c>
      <c r="B904" s="116">
        <v>240.8</v>
      </c>
      <c r="C904" s="116">
        <v>232.21999999999997</v>
      </c>
      <c r="D904" s="116">
        <v>229.41</v>
      </c>
      <c r="E904" s="116">
        <v>240.7</v>
      </c>
      <c r="F904" s="116">
        <v>1161.0999999999999</v>
      </c>
      <c r="G904">
        <v>657</v>
      </c>
      <c r="H904" s="116"/>
      <c r="I904" s="116"/>
      <c r="L904" s="170">
        <v>43339</v>
      </c>
      <c r="M904" s="116">
        <v>210.6</v>
      </c>
      <c r="N904" s="116">
        <v>216.8</v>
      </c>
      <c r="O904" s="116">
        <v>206.84</v>
      </c>
      <c r="P904" s="116">
        <v>206.85999999999999</v>
      </c>
      <c r="Q904" s="116">
        <v>1053</v>
      </c>
      <c r="R904">
        <v>7258</v>
      </c>
    </row>
    <row r="905" spans="1:18" x14ac:dyDescent="0.25">
      <c r="A905" s="170">
        <v>43362</v>
      </c>
      <c r="B905" s="116">
        <v>249</v>
      </c>
      <c r="C905" s="116">
        <v>234.36999999999998</v>
      </c>
      <c r="D905" s="116">
        <v>230.21999999999997</v>
      </c>
      <c r="E905" s="116">
        <v>230.21999999999997</v>
      </c>
      <c r="F905" s="116">
        <v>1171.8499999999999</v>
      </c>
      <c r="G905">
        <v>3258</v>
      </c>
      <c r="H905" s="116"/>
      <c r="I905" s="116"/>
      <c r="L905" s="170">
        <v>43340</v>
      </c>
      <c r="M905" s="116">
        <v>214.44</v>
      </c>
      <c r="N905" s="116">
        <v>214.8</v>
      </c>
      <c r="O905" s="116">
        <v>208.26</v>
      </c>
      <c r="P905" s="116">
        <v>208.26999999999998</v>
      </c>
      <c r="Q905" s="116">
        <v>1072.2</v>
      </c>
      <c r="R905">
        <v>3469</v>
      </c>
    </row>
    <row r="906" spans="1:18" x14ac:dyDescent="0.25">
      <c r="A906" s="170">
        <v>43364</v>
      </c>
      <c r="B906" s="116">
        <v>241.14000000000001</v>
      </c>
      <c r="C906" s="116">
        <v>219.95999999999998</v>
      </c>
      <c r="D906" s="116">
        <v>192.18</v>
      </c>
      <c r="E906" s="116">
        <v>239.4</v>
      </c>
      <c r="F906" s="116">
        <v>1099.8</v>
      </c>
      <c r="G906">
        <v>1253</v>
      </c>
      <c r="H906" s="116"/>
      <c r="I906" s="116"/>
      <c r="L906" s="170">
        <v>43341</v>
      </c>
      <c r="M906" s="116">
        <v>214.39000000000001</v>
      </c>
      <c r="N906" s="116">
        <v>216.98000000000002</v>
      </c>
      <c r="O906" s="116">
        <v>210.17</v>
      </c>
      <c r="P906" s="116">
        <v>210.66</v>
      </c>
      <c r="Q906" s="116">
        <v>1071.95</v>
      </c>
      <c r="R906">
        <v>4649</v>
      </c>
    </row>
    <row r="907" spans="1:18" x14ac:dyDescent="0.25">
      <c r="A907" s="170">
        <v>43367</v>
      </c>
      <c r="B907" s="116">
        <v>221.8</v>
      </c>
      <c r="C907" s="116">
        <v>216.18</v>
      </c>
      <c r="D907" s="116">
        <v>204.7</v>
      </c>
      <c r="E907" s="116">
        <v>219.95999999999998</v>
      </c>
      <c r="F907" s="116">
        <v>1080.9000000000001</v>
      </c>
      <c r="G907">
        <v>969</v>
      </c>
      <c r="H907" s="116"/>
      <c r="I907" s="116"/>
      <c r="L907" s="170">
        <v>43342</v>
      </c>
      <c r="M907" s="116">
        <v>218.76999999999998</v>
      </c>
      <c r="N907" s="116">
        <v>221</v>
      </c>
      <c r="O907" s="116">
        <v>212.43</v>
      </c>
      <c r="P907" s="116">
        <v>217.58</v>
      </c>
      <c r="Q907" s="116">
        <v>1093.8499999999999</v>
      </c>
      <c r="R907">
        <v>1918</v>
      </c>
    </row>
    <row r="908" spans="1:18" x14ac:dyDescent="0.25">
      <c r="A908" s="170">
        <v>43368</v>
      </c>
      <c r="B908" s="116">
        <v>218.25</v>
      </c>
      <c r="C908" s="116">
        <v>216.36999999999998</v>
      </c>
      <c r="D908" s="116">
        <v>210</v>
      </c>
      <c r="E908" s="116">
        <v>215.13000000000002</v>
      </c>
      <c r="F908" s="116">
        <v>1081.8499999999999</v>
      </c>
      <c r="G908">
        <v>1716</v>
      </c>
      <c r="H908" s="116"/>
      <c r="I908" s="116"/>
      <c r="L908" s="170">
        <v>43343</v>
      </c>
      <c r="M908" s="116">
        <v>215.53000000000003</v>
      </c>
      <c r="N908" s="116">
        <v>220</v>
      </c>
      <c r="O908" s="116">
        <v>213.45</v>
      </c>
      <c r="P908" s="116">
        <v>220</v>
      </c>
      <c r="Q908" s="116">
        <v>1077.6500000000001</v>
      </c>
      <c r="R908">
        <v>1843</v>
      </c>
    </row>
    <row r="909" spans="1:18" x14ac:dyDescent="0.25">
      <c r="A909" s="170">
        <v>43369</v>
      </c>
      <c r="B909" s="116">
        <v>220</v>
      </c>
      <c r="C909" s="116">
        <v>214</v>
      </c>
      <c r="D909" s="116">
        <v>211.74</v>
      </c>
      <c r="E909" s="116">
        <v>220</v>
      </c>
      <c r="F909" s="116">
        <v>1070</v>
      </c>
      <c r="G909">
        <v>1397</v>
      </c>
      <c r="H909" s="116"/>
      <c r="I909" s="116"/>
      <c r="L909" s="170">
        <v>43346</v>
      </c>
      <c r="M909" s="116">
        <v>219.86999999999998</v>
      </c>
      <c r="N909" s="116">
        <v>226.71999999999997</v>
      </c>
      <c r="O909" s="116">
        <v>213.66</v>
      </c>
      <c r="P909" s="116">
        <v>220</v>
      </c>
      <c r="Q909" s="116">
        <v>1099.3499999999999</v>
      </c>
      <c r="R909">
        <v>8111</v>
      </c>
    </row>
    <row r="910" spans="1:18" x14ac:dyDescent="0.25">
      <c r="A910" s="170">
        <v>43370</v>
      </c>
      <c r="B910" s="116">
        <v>216.8</v>
      </c>
      <c r="C910" s="116">
        <v>213.38000000000002</v>
      </c>
      <c r="D910" s="116">
        <v>211.41</v>
      </c>
      <c r="E910" s="116">
        <v>212.8</v>
      </c>
      <c r="F910" s="116">
        <v>1066.9000000000001</v>
      </c>
      <c r="G910">
        <v>590</v>
      </c>
      <c r="H910" s="116"/>
      <c r="I910" s="116"/>
      <c r="L910" s="170">
        <v>43347</v>
      </c>
      <c r="M910" s="116">
        <v>215.66</v>
      </c>
      <c r="N910" s="116">
        <v>223.6</v>
      </c>
      <c r="O910" s="116">
        <v>213.66</v>
      </c>
      <c r="P910" s="116">
        <v>217.10999999999999</v>
      </c>
      <c r="Q910" s="116">
        <v>1078.3</v>
      </c>
      <c r="R910">
        <v>3635</v>
      </c>
    </row>
    <row r="911" spans="1:18" x14ac:dyDescent="0.25">
      <c r="A911" s="170">
        <v>43371</v>
      </c>
      <c r="B911" s="116">
        <v>213.45999999999998</v>
      </c>
      <c r="C911" s="116">
        <v>212.73000000000002</v>
      </c>
      <c r="D911" s="116">
        <v>208</v>
      </c>
      <c r="E911" s="116">
        <v>213.2</v>
      </c>
      <c r="F911" s="116">
        <v>1063.6500000000001</v>
      </c>
      <c r="G911">
        <v>1778</v>
      </c>
      <c r="H911" s="116"/>
      <c r="I911" s="116"/>
      <c r="L911" s="170">
        <v>43348</v>
      </c>
      <c r="M911" s="116">
        <v>212.20999999999998</v>
      </c>
      <c r="N911" s="116">
        <v>215.98000000000002</v>
      </c>
      <c r="O911" s="116">
        <v>210.01999999999998</v>
      </c>
      <c r="P911" s="116">
        <v>215.82</v>
      </c>
      <c r="Q911" s="116">
        <v>1061.05</v>
      </c>
      <c r="R911">
        <v>1549</v>
      </c>
    </row>
    <row r="912" spans="1:18" x14ac:dyDescent="0.25">
      <c r="A912" s="170">
        <v>43374</v>
      </c>
      <c r="B912" s="116">
        <v>208.98000000000002</v>
      </c>
      <c r="C912" s="116">
        <v>204.45999999999998</v>
      </c>
      <c r="D912" s="116">
        <v>199.69</v>
      </c>
      <c r="E912" s="116">
        <v>202.2</v>
      </c>
      <c r="F912" s="116">
        <v>1022.3</v>
      </c>
      <c r="G912">
        <v>851</v>
      </c>
      <c r="H912" s="116"/>
      <c r="I912" s="116"/>
      <c r="L912" s="170">
        <v>43349</v>
      </c>
      <c r="M912" s="116">
        <v>228.61999999999998</v>
      </c>
      <c r="N912" s="116">
        <v>236</v>
      </c>
      <c r="O912" s="116">
        <v>212.06</v>
      </c>
      <c r="P912" s="116">
        <v>215</v>
      </c>
      <c r="Q912" s="116">
        <v>1143.0999999999999</v>
      </c>
      <c r="R912">
        <v>37561</v>
      </c>
    </row>
    <row r="913" spans="1:18" x14ac:dyDescent="0.25">
      <c r="A913" s="170">
        <v>43376</v>
      </c>
      <c r="B913" s="116">
        <v>216.58</v>
      </c>
      <c r="C913" s="116">
        <v>212.74</v>
      </c>
      <c r="D913" s="116">
        <v>208.6</v>
      </c>
      <c r="E913" s="116">
        <v>210</v>
      </c>
      <c r="F913" s="116">
        <v>1063.7</v>
      </c>
      <c r="G913">
        <v>528</v>
      </c>
      <c r="H913" s="116"/>
      <c r="I913" s="116"/>
      <c r="L913" s="170">
        <v>43350</v>
      </c>
      <c r="M913" s="116">
        <v>253.67</v>
      </c>
      <c r="N913" s="116">
        <v>269.54000000000002</v>
      </c>
      <c r="O913" s="116">
        <v>228.42</v>
      </c>
      <c r="P913" s="116">
        <v>228.82</v>
      </c>
      <c r="Q913" s="116">
        <v>1268.3499999999999</v>
      </c>
      <c r="R913">
        <v>167590</v>
      </c>
    </row>
    <row r="914" spans="1:18" x14ac:dyDescent="0.25">
      <c r="A914" s="170">
        <v>43377</v>
      </c>
      <c r="B914" s="116">
        <v>213</v>
      </c>
      <c r="C914" s="116">
        <v>203.81</v>
      </c>
      <c r="D914" s="116">
        <v>202.42000000000002</v>
      </c>
      <c r="E914" s="116">
        <v>211.38000000000002</v>
      </c>
      <c r="F914" s="116">
        <v>1019.05</v>
      </c>
      <c r="G914">
        <v>631</v>
      </c>
      <c r="H914" s="116"/>
      <c r="I914" s="116"/>
      <c r="L914" s="170">
        <v>43353</v>
      </c>
      <c r="M914" s="116">
        <v>251.41</v>
      </c>
      <c r="N914" s="116">
        <v>264.88</v>
      </c>
      <c r="O914" s="116">
        <v>249.2</v>
      </c>
      <c r="P914" s="116">
        <v>256</v>
      </c>
      <c r="Q914" s="116">
        <v>1257.05</v>
      </c>
      <c r="R914">
        <v>25422</v>
      </c>
    </row>
    <row r="915" spans="1:18" x14ac:dyDescent="0.25">
      <c r="A915" s="170">
        <v>43378</v>
      </c>
      <c r="B915" s="116">
        <v>204.76</v>
      </c>
      <c r="C915" s="116">
        <v>200.09</v>
      </c>
      <c r="D915" s="116">
        <v>199.14000000000001</v>
      </c>
      <c r="E915" s="116">
        <v>203.31</v>
      </c>
      <c r="F915" s="116">
        <v>1000.45</v>
      </c>
      <c r="G915">
        <v>1527</v>
      </c>
      <c r="H915" s="116"/>
      <c r="I915" s="116"/>
      <c r="L915" s="170">
        <v>43354</v>
      </c>
      <c r="M915" s="116">
        <v>241.21999999999997</v>
      </c>
      <c r="N915" s="116">
        <v>257.39</v>
      </c>
      <c r="O915" s="116">
        <v>239.76999999999998</v>
      </c>
      <c r="P915" s="116">
        <v>250</v>
      </c>
      <c r="Q915" s="116">
        <v>1206.0999999999999</v>
      </c>
      <c r="R915">
        <v>17788</v>
      </c>
    </row>
    <row r="916" spans="1:18" x14ac:dyDescent="0.25">
      <c r="A916" s="170">
        <v>43381</v>
      </c>
      <c r="B916" s="116">
        <v>203.27</v>
      </c>
      <c r="C916" s="116">
        <v>200.68</v>
      </c>
      <c r="D916" s="116">
        <v>199.1</v>
      </c>
      <c r="E916" s="116">
        <v>199.1</v>
      </c>
      <c r="F916" s="116">
        <v>1003.4</v>
      </c>
      <c r="G916">
        <v>1213</v>
      </c>
      <c r="H916" s="116"/>
      <c r="I916" s="116"/>
      <c r="L916" s="170">
        <v>43355</v>
      </c>
      <c r="M916" s="116">
        <v>235.13000000000002</v>
      </c>
      <c r="N916" s="116">
        <v>243.1</v>
      </c>
      <c r="O916" s="116">
        <v>229</v>
      </c>
      <c r="P916" s="116">
        <v>242.98000000000002</v>
      </c>
      <c r="Q916" s="116">
        <v>1175.6500000000001</v>
      </c>
      <c r="R916">
        <v>13504</v>
      </c>
    </row>
    <row r="917" spans="1:18" x14ac:dyDescent="0.25">
      <c r="A917" s="170">
        <v>43382</v>
      </c>
      <c r="B917" s="116">
        <v>200.47</v>
      </c>
      <c r="C917" s="116">
        <v>196.79000000000002</v>
      </c>
      <c r="D917" s="116">
        <v>196</v>
      </c>
      <c r="E917" s="116">
        <v>200.47</v>
      </c>
      <c r="F917" s="116">
        <v>983.95</v>
      </c>
      <c r="G917">
        <v>450</v>
      </c>
      <c r="H917" s="116"/>
      <c r="I917" s="116"/>
      <c r="L917" s="170">
        <v>43357</v>
      </c>
      <c r="M917" s="116">
        <v>243.63000000000002</v>
      </c>
      <c r="N917" s="116">
        <v>250.8</v>
      </c>
      <c r="O917" s="116">
        <v>233</v>
      </c>
      <c r="P917" s="116">
        <v>237.16</v>
      </c>
      <c r="Q917" s="116">
        <v>1218.1500000000001</v>
      </c>
      <c r="R917">
        <v>20490</v>
      </c>
    </row>
    <row r="918" spans="1:18" x14ac:dyDescent="0.25">
      <c r="A918" s="170">
        <v>43383</v>
      </c>
      <c r="B918" s="116">
        <v>216.8</v>
      </c>
      <c r="C918" s="116">
        <v>211.58</v>
      </c>
      <c r="D918" s="116">
        <v>201.6</v>
      </c>
      <c r="E918" s="116">
        <v>202.56</v>
      </c>
      <c r="F918" s="116">
        <v>1057.9000000000001</v>
      </c>
      <c r="G918">
        <v>964</v>
      </c>
      <c r="H918" s="116"/>
      <c r="I918" s="116"/>
      <c r="L918" s="170">
        <v>43360</v>
      </c>
      <c r="M918" s="116">
        <v>237.59</v>
      </c>
      <c r="N918" s="116">
        <v>244.60999999999999</v>
      </c>
      <c r="O918" s="116">
        <v>235.8</v>
      </c>
      <c r="P918" s="116">
        <v>244.60999999999999</v>
      </c>
      <c r="Q918" s="116">
        <v>1187.95</v>
      </c>
      <c r="R918">
        <v>11322</v>
      </c>
    </row>
    <row r="919" spans="1:18" x14ac:dyDescent="0.25">
      <c r="A919" s="170">
        <v>43384</v>
      </c>
      <c r="B919" s="116">
        <v>209.58</v>
      </c>
      <c r="C919" s="116">
        <v>207.59</v>
      </c>
      <c r="D919" s="116">
        <v>204.1</v>
      </c>
      <c r="E919" s="116">
        <v>205.93</v>
      </c>
      <c r="F919" s="116">
        <v>1037.95</v>
      </c>
      <c r="G919">
        <v>34</v>
      </c>
      <c r="H919" s="116"/>
      <c r="I919" s="116"/>
      <c r="L919" s="170">
        <v>43361</v>
      </c>
      <c r="M919" s="116">
        <v>232.96999999999997</v>
      </c>
      <c r="N919" s="116">
        <v>240.59</v>
      </c>
      <c r="O919" s="116">
        <v>230.2</v>
      </c>
      <c r="P919" s="116">
        <v>236.01</v>
      </c>
      <c r="Q919" s="116">
        <v>1164.8499999999999</v>
      </c>
      <c r="R919">
        <v>10352</v>
      </c>
    </row>
    <row r="920" spans="1:18" x14ac:dyDescent="0.25">
      <c r="A920" s="170">
        <v>43385</v>
      </c>
      <c r="B920" s="116">
        <v>218.32</v>
      </c>
      <c r="C920" s="116">
        <v>212.73000000000002</v>
      </c>
      <c r="D920" s="116">
        <v>210.23000000000002</v>
      </c>
      <c r="E920" s="116">
        <v>213.35</v>
      </c>
      <c r="F920" s="116">
        <v>1063.6500000000001</v>
      </c>
      <c r="G920">
        <v>556</v>
      </c>
      <c r="H920" s="116"/>
      <c r="I920" s="116"/>
      <c r="L920" s="170">
        <v>43362</v>
      </c>
      <c r="M920" s="116">
        <v>235.36999999999998</v>
      </c>
      <c r="N920" s="116">
        <v>249.8</v>
      </c>
      <c r="O920" s="116">
        <v>231.01999999999998</v>
      </c>
      <c r="P920" s="116">
        <v>231.09</v>
      </c>
      <c r="Q920" s="116">
        <v>1176.8499999999999</v>
      </c>
      <c r="R920">
        <v>26131</v>
      </c>
    </row>
    <row r="921" spans="1:18" x14ac:dyDescent="0.25">
      <c r="A921" s="170">
        <v>43388</v>
      </c>
      <c r="B921" s="116">
        <v>224.06</v>
      </c>
      <c r="C921" s="116">
        <v>220</v>
      </c>
      <c r="D921" s="116">
        <v>216.74</v>
      </c>
      <c r="E921" s="116">
        <v>217.9</v>
      </c>
      <c r="F921" s="116">
        <v>1100</v>
      </c>
      <c r="G921">
        <v>370</v>
      </c>
      <c r="H921" s="116"/>
      <c r="I921" s="116"/>
      <c r="L921" s="170">
        <v>43364</v>
      </c>
      <c r="M921" s="116">
        <v>221.55</v>
      </c>
      <c r="N921" s="116">
        <v>241.8</v>
      </c>
      <c r="O921" s="116">
        <v>194</v>
      </c>
      <c r="P921" s="116">
        <v>237.1</v>
      </c>
      <c r="Q921" s="116">
        <v>1107.75</v>
      </c>
      <c r="R921">
        <v>19599</v>
      </c>
    </row>
    <row r="922" spans="1:18" x14ac:dyDescent="0.25">
      <c r="A922" s="170">
        <v>43389</v>
      </c>
      <c r="B922" s="116">
        <v>222.82</v>
      </c>
      <c r="C922" s="116">
        <v>219.70999999999998</v>
      </c>
      <c r="D922" s="116">
        <v>218.73000000000002</v>
      </c>
      <c r="E922" s="116">
        <v>222.51</v>
      </c>
      <c r="F922" s="116">
        <v>1098.55</v>
      </c>
      <c r="G922">
        <v>2372</v>
      </c>
      <c r="H922" s="116"/>
      <c r="I922" s="116"/>
      <c r="L922" s="170">
        <v>43367</v>
      </c>
      <c r="M922" s="116">
        <v>220.03000000000003</v>
      </c>
      <c r="N922" s="116">
        <v>228</v>
      </c>
      <c r="O922" s="116">
        <v>206.45999999999998</v>
      </c>
      <c r="P922" s="116">
        <v>228</v>
      </c>
      <c r="Q922" s="116">
        <v>1100.1500000000001</v>
      </c>
      <c r="R922">
        <v>9814</v>
      </c>
    </row>
    <row r="923" spans="1:18" x14ac:dyDescent="0.25">
      <c r="A923" s="170">
        <v>43390</v>
      </c>
      <c r="B923" s="116">
        <v>220.25</v>
      </c>
      <c r="C923" s="116">
        <v>211.35</v>
      </c>
      <c r="D923" s="116">
        <v>210.7</v>
      </c>
      <c r="E923" s="116">
        <v>220.25</v>
      </c>
      <c r="F923" s="116">
        <v>1056.75</v>
      </c>
      <c r="G923">
        <v>217</v>
      </c>
      <c r="H923" s="116"/>
      <c r="I923" s="116"/>
      <c r="L923" s="170">
        <v>43368</v>
      </c>
      <c r="M923" s="116">
        <v>215.75</v>
      </c>
      <c r="N923" s="116">
        <v>220.03000000000003</v>
      </c>
      <c r="O923" s="116">
        <v>210</v>
      </c>
      <c r="P923" s="116">
        <v>220.03000000000003</v>
      </c>
      <c r="Q923" s="116">
        <v>1078.75</v>
      </c>
      <c r="R923">
        <v>9557</v>
      </c>
    </row>
    <row r="924" spans="1:18" x14ac:dyDescent="0.25">
      <c r="A924" s="170">
        <v>43392</v>
      </c>
      <c r="B924" s="116">
        <v>211.35</v>
      </c>
      <c r="C924" s="116">
        <v>205.34</v>
      </c>
      <c r="D924" s="116">
        <v>204.07</v>
      </c>
      <c r="E924" s="116">
        <v>211.35</v>
      </c>
      <c r="F924" s="116">
        <v>1026.7</v>
      </c>
      <c r="G924">
        <v>264</v>
      </c>
      <c r="H924" s="116"/>
      <c r="I924" s="116"/>
      <c r="L924" s="170">
        <v>43369</v>
      </c>
      <c r="M924" s="116">
        <v>215.26999999999998</v>
      </c>
      <c r="N924" s="116">
        <v>218.44</v>
      </c>
      <c r="O924" s="116">
        <v>212.42</v>
      </c>
      <c r="P924" s="116">
        <v>217.16</v>
      </c>
      <c r="Q924" s="116">
        <v>1076.3499999999999</v>
      </c>
      <c r="R924">
        <v>4567</v>
      </c>
    </row>
    <row r="925" spans="1:18" x14ac:dyDescent="0.25">
      <c r="A925" s="170">
        <v>43395</v>
      </c>
      <c r="B925" s="116">
        <v>208.48000000000002</v>
      </c>
      <c r="C925" s="116">
        <v>206.29000000000002</v>
      </c>
      <c r="D925" s="116">
        <v>203</v>
      </c>
      <c r="E925" s="116">
        <v>205.4</v>
      </c>
      <c r="F925" s="116">
        <v>1031.45</v>
      </c>
      <c r="G925">
        <v>304</v>
      </c>
      <c r="H925" s="116"/>
      <c r="I925" s="116"/>
      <c r="L925" s="170">
        <v>43370</v>
      </c>
      <c r="M925" s="116">
        <v>214.01999999999998</v>
      </c>
      <c r="N925" s="116">
        <v>217</v>
      </c>
      <c r="O925" s="116">
        <v>210.42</v>
      </c>
      <c r="P925" s="116">
        <v>215.26999999999998</v>
      </c>
      <c r="Q925" s="116">
        <v>1070.0999999999999</v>
      </c>
      <c r="R925">
        <v>5085</v>
      </c>
    </row>
    <row r="926" spans="1:18" x14ac:dyDescent="0.25">
      <c r="A926" s="170">
        <v>43396</v>
      </c>
      <c r="B926" s="116">
        <v>207.76999999999998</v>
      </c>
      <c r="C926" s="116">
        <v>196.5</v>
      </c>
      <c r="D926" s="116">
        <v>192</v>
      </c>
      <c r="E926" s="116">
        <v>200.2</v>
      </c>
      <c r="F926" s="116">
        <v>982.5</v>
      </c>
      <c r="G926">
        <v>207</v>
      </c>
      <c r="H926" s="116"/>
      <c r="I926" s="116"/>
      <c r="L926" s="170">
        <v>43371</v>
      </c>
      <c r="M926" s="116">
        <v>212.85</v>
      </c>
      <c r="N926" s="116">
        <v>217.6</v>
      </c>
      <c r="O926" s="116">
        <v>207.65</v>
      </c>
      <c r="P926" s="116">
        <v>211.8</v>
      </c>
      <c r="Q926" s="116">
        <v>1064.25</v>
      </c>
      <c r="R926">
        <v>7353</v>
      </c>
    </row>
    <row r="927" spans="1:18" x14ac:dyDescent="0.25">
      <c r="A927" s="170">
        <v>43397</v>
      </c>
      <c r="B927" s="116">
        <v>209.99</v>
      </c>
      <c r="C927" s="116">
        <v>204</v>
      </c>
      <c r="D927" s="116">
        <v>199</v>
      </c>
      <c r="E927" s="116">
        <v>199</v>
      </c>
      <c r="F927" s="116">
        <v>1020</v>
      </c>
      <c r="G927">
        <v>232</v>
      </c>
      <c r="H927" s="116"/>
      <c r="I927" s="116"/>
      <c r="L927" s="170">
        <v>43374</v>
      </c>
      <c r="M927" s="116">
        <v>209.05</v>
      </c>
      <c r="N927" s="116">
        <v>212.85</v>
      </c>
      <c r="O927" s="116">
        <v>193.7</v>
      </c>
      <c r="P927" s="116">
        <v>212.85</v>
      </c>
      <c r="Q927" s="116">
        <v>1045.25</v>
      </c>
      <c r="R927">
        <v>7624</v>
      </c>
    </row>
    <row r="928" spans="1:18" x14ac:dyDescent="0.25">
      <c r="A928" s="170">
        <v>43398</v>
      </c>
      <c r="B928" s="116">
        <v>213.11999999999998</v>
      </c>
      <c r="C928" s="116">
        <v>211.24</v>
      </c>
      <c r="D928" s="116">
        <v>203.82</v>
      </c>
      <c r="E928" s="116">
        <v>204.5</v>
      </c>
      <c r="F928" s="116">
        <v>1056.2</v>
      </c>
      <c r="G928">
        <v>303</v>
      </c>
      <c r="H928" s="116"/>
      <c r="I928" s="116"/>
      <c r="L928" s="170">
        <v>43376</v>
      </c>
      <c r="M928" s="116">
        <v>212.94</v>
      </c>
      <c r="N928" s="116">
        <v>217.35</v>
      </c>
      <c r="O928" s="116">
        <v>210.23000000000002</v>
      </c>
      <c r="P928" s="116">
        <v>215.92</v>
      </c>
      <c r="Q928" s="116">
        <v>1064.7</v>
      </c>
      <c r="R928">
        <v>3782</v>
      </c>
    </row>
    <row r="929" spans="1:18" x14ac:dyDescent="0.25">
      <c r="A929" s="170">
        <v>43399</v>
      </c>
      <c r="B929" s="116">
        <v>214.6</v>
      </c>
      <c r="C929" s="116">
        <v>206.04000000000002</v>
      </c>
      <c r="D929" s="116">
        <v>202.4</v>
      </c>
      <c r="E929" s="116">
        <v>205</v>
      </c>
      <c r="F929" s="116">
        <v>1030.2</v>
      </c>
      <c r="G929">
        <v>217</v>
      </c>
      <c r="H929" s="116"/>
      <c r="I929" s="116"/>
      <c r="L929" s="170">
        <v>43377</v>
      </c>
      <c r="M929" s="116">
        <v>203.06</v>
      </c>
      <c r="N929" s="116">
        <v>213.01999999999998</v>
      </c>
      <c r="O929" s="116">
        <v>200.02</v>
      </c>
      <c r="P929" s="116">
        <v>212.94</v>
      </c>
      <c r="Q929" s="116">
        <v>1015.3</v>
      </c>
      <c r="R929">
        <v>2962</v>
      </c>
    </row>
    <row r="930" spans="1:18" x14ac:dyDescent="0.25">
      <c r="A930" s="170">
        <v>43402</v>
      </c>
      <c r="B930" s="116">
        <v>244</v>
      </c>
      <c r="C930" s="116">
        <v>234.56</v>
      </c>
      <c r="D930" s="116">
        <v>220.01</v>
      </c>
      <c r="E930" s="116">
        <v>227.6</v>
      </c>
      <c r="F930" s="116">
        <v>1172.8</v>
      </c>
      <c r="G930">
        <v>6459</v>
      </c>
      <c r="H930" s="116"/>
      <c r="I930" s="116"/>
      <c r="L930" s="170">
        <v>43378</v>
      </c>
      <c r="M930" s="116">
        <v>200.28</v>
      </c>
      <c r="N930" s="116">
        <v>204.4</v>
      </c>
      <c r="O930" s="116">
        <v>196.4</v>
      </c>
      <c r="P930" s="116">
        <v>203.06</v>
      </c>
      <c r="Q930" s="116">
        <v>1001.4</v>
      </c>
      <c r="R930">
        <v>3752</v>
      </c>
    </row>
    <row r="931" spans="1:18" x14ac:dyDescent="0.25">
      <c r="A931" s="170">
        <v>43403</v>
      </c>
      <c r="B931" s="116">
        <v>236.53000000000003</v>
      </c>
      <c r="C931" s="116">
        <v>234.13000000000002</v>
      </c>
      <c r="D931" s="116">
        <v>229.29000000000002</v>
      </c>
      <c r="E931" s="116">
        <v>230</v>
      </c>
      <c r="F931" s="116">
        <v>1170.6500000000001</v>
      </c>
      <c r="G931">
        <v>363</v>
      </c>
      <c r="H931" s="116"/>
      <c r="I931" s="116"/>
      <c r="L931" s="170">
        <v>43381</v>
      </c>
      <c r="M931" s="116">
        <v>201.60999999999999</v>
      </c>
      <c r="N931" s="116">
        <v>208.16</v>
      </c>
      <c r="O931" s="116">
        <v>190</v>
      </c>
      <c r="P931" s="116">
        <v>201.67000000000002</v>
      </c>
      <c r="Q931" s="116">
        <v>1008.05</v>
      </c>
      <c r="R931">
        <v>5966</v>
      </c>
    </row>
    <row r="932" spans="1:18" x14ac:dyDescent="0.25">
      <c r="A932" s="170">
        <v>43404</v>
      </c>
      <c r="B932" s="116">
        <v>234.8</v>
      </c>
      <c r="C932" s="116">
        <v>230.57</v>
      </c>
      <c r="D932" s="116">
        <v>225.94</v>
      </c>
      <c r="E932" s="116">
        <v>228.74</v>
      </c>
      <c r="F932" s="116">
        <v>1152.8499999999999</v>
      </c>
      <c r="G932">
        <v>900</v>
      </c>
      <c r="H932" s="116"/>
      <c r="I932" s="116"/>
      <c r="L932" s="170">
        <v>43382</v>
      </c>
      <c r="M932" s="116">
        <v>198.29000000000002</v>
      </c>
      <c r="N932" s="116">
        <v>206.54000000000002</v>
      </c>
      <c r="O932" s="116">
        <v>197.02</v>
      </c>
      <c r="P932" s="116">
        <v>200.05</v>
      </c>
      <c r="Q932" s="116">
        <v>991.45</v>
      </c>
      <c r="R932">
        <v>3983</v>
      </c>
    </row>
    <row r="933" spans="1:18" x14ac:dyDescent="0.25">
      <c r="A933" s="170">
        <v>43405</v>
      </c>
      <c r="B933" s="116">
        <v>243.8</v>
      </c>
      <c r="C933" s="116">
        <v>240.85999999999999</v>
      </c>
      <c r="D933" s="116">
        <v>232.44</v>
      </c>
      <c r="E933" s="116">
        <v>232.44</v>
      </c>
      <c r="F933" s="116">
        <v>1204.3</v>
      </c>
      <c r="G933">
        <v>3329</v>
      </c>
      <c r="H933" s="116"/>
      <c r="I933" s="116"/>
      <c r="L933" s="170">
        <v>43383</v>
      </c>
      <c r="M933" s="116">
        <v>213.85999999999999</v>
      </c>
      <c r="N933" s="116">
        <v>219.2</v>
      </c>
      <c r="O933" s="116">
        <v>197</v>
      </c>
      <c r="P933" s="116">
        <v>197</v>
      </c>
      <c r="Q933" s="116">
        <v>1069.3</v>
      </c>
      <c r="R933">
        <v>6114</v>
      </c>
    </row>
    <row r="934" spans="1:18" x14ac:dyDescent="0.25">
      <c r="A934" s="170">
        <v>43406</v>
      </c>
      <c r="B934" s="116">
        <v>249.2</v>
      </c>
      <c r="C934" s="116">
        <v>239.44</v>
      </c>
      <c r="D934" s="116">
        <v>238</v>
      </c>
      <c r="E934" s="116">
        <v>244.01999999999998</v>
      </c>
      <c r="F934" s="116">
        <v>1197.2</v>
      </c>
      <c r="G934">
        <v>4356</v>
      </c>
      <c r="H934" s="116"/>
      <c r="I934" s="116"/>
      <c r="L934" s="170">
        <v>43384</v>
      </c>
      <c r="M934" s="116">
        <v>209.99</v>
      </c>
      <c r="N934" s="116">
        <v>210.79000000000002</v>
      </c>
      <c r="O934" s="116">
        <v>200.2</v>
      </c>
      <c r="P934" s="116">
        <v>207</v>
      </c>
      <c r="Q934" s="116">
        <v>1049.95</v>
      </c>
      <c r="R934">
        <v>3072</v>
      </c>
    </row>
    <row r="935" spans="1:18" x14ac:dyDescent="0.25">
      <c r="A935" s="170">
        <v>43409</v>
      </c>
      <c r="B935" s="116">
        <v>250.69</v>
      </c>
      <c r="C935" s="116">
        <v>240.17</v>
      </c>
      <c r="D935" s="116">
        <v>239.51</v>
      </c>
      <c r="E935" s="116">
        <v>244.08</v>
      </c>
      <c r="F935" s="116">
        <v>1200.8499999999999</v>
      </c>
      <c r="G935">
        <v>969</v>
      </c>
      <c r="H935" s="116"/>
      <c r="I935" s="116"/>
      <c r="L935" s="170">
        <v>43385</v>
      </c>
      <c r="M935" s="116">
        <v>215.32</v>
      </c>
      <c r="N935" s="116">
        <v>218.91</v>
      </c>
      <c r="O935" s="116">
        <v>212</v>
      </c>
      <c r="P935" s="116">
        <v>215.32</v>
      </c>
      <c r="Q935" s="116">
        <v>1076.5999999999999</v>
      </c>
      <c r="R935">
        <v>2605</v>
      </c>
    </row>
    <row r="936" spans="1:18" x14ac:dyDescent="0.25">
      <c r="A936" s="170">
        <v>43410</v>
      </c>
      <c r="B936" s="116">
        <v>244.33</v>
      </c>
      <c r="C936" s="116">
        <v>238.26</v>
      </c>
      <c r="D936" s="116">
        <v>235.35999999999999</v>
      </c>
      <c r="E936" s="116">
        <v>243</v>
      </c>
      <c r="F936" s="116">
        <v>1191.3</v>
      </c>
      <c r="G936">
        <v>676</v>
      </c>
      <c r="H936" s="116"/>
      <c r="I936" s="116"/>
      <c r="L936" s="170">
        <v>43388</v>
      </c>
      <c r="M936" s="116">
        <v>219.54000000000002</v>
      </c>
      <c r="N936" s="116">
        <v>225</v>
      </c>
      <c r="O936" s="116">
        <v>216.21999999999997</v>
      </c>
      <c r="P936" s="116">
        <v>223.93</v>
      </c>
      <c r="Q936" s="116">
        <v>1097.7</v>
      </c>
      <c r="R936">
        <v>3081</v>
      </c>
    </row>
    <row r="937" spans="1:18" x14ac:dyDescent="0.25">
      <c r="A937" s="170">
        <v>43411</v>
      </c>
      <c r="B937" s="116">
        <v>249</v>
      </c>
      <c r="C937" s="116">
        <v>242.44</v>
      </c>
      <c r="D937" s="116">
        <v>239.92</v>
      </c>
      <c r="E937" s="116">
        <v>239.92</v>
      </c>
      <c r="F937" s="116">
        <v>1212.2</v>
      </c>
      <c r="G937">
        <v>308</v>
      </c>
      <c r="H937" s="116"/>
      <c r="I937" s="116"/>
      <c r="L937" s="170">
        <v>43389</v>
      </c>
      <c r="M937" s="116">
        <v>220.63000000000002</v>
      </c>
      <c r="N937" s="116">
        <v>225</v>
      </c>
      <c r="O937" s="116">
        <v>219.99</v>
      </c>
      <c r="P937" s="116">
        <v>223.46999999999997</v>
      </c>
      <c r="Q937" s="116">
        <v>1103.1500000000001</v>
      </c>
      <c r="R937">
        <v>4865</v>
      </c>
    </row>
    <row r="938" spans="1:18" x14ac:dyDescent="0.25">
      <c r="A938" s="170">
        <v>43413</v>
      </c>
      <c r="B938" s="116">
        <v>248</v>
      </c>
      <c r="C938" s="116">
        <v>238.88000000000002</v>
      </c>
      <c r="D938" s="116">
        <v>236.2</v>
      </c>
      <c r="E938" s="116">
        <v>247</v>
      </c>
      <c r="F938" s="116">
        <v>1194.4000000000001</v>
      </c>
      <c r="G938">
        <v>462</v>
      </c>
      <c r="H938" s="116"/>
      <c r="I938" s="116"/>
      <c r="L938" s="170">
        <v>43390</v>
      </c>
      <c r="M938" s="116">
        <v>211.26999999999998</v>
      </c>
      <c r="N938" s="116">
        <v>222.93</v>
      </c>
      <c r="O938" s="116">
        <v>210.6</v>
      </c>
      <c r="P938" s="116">
        <v>222.93</v>
      </c>
      <c r="Q938" s="116">
        <v>1056.3499999999999</v>
      </c>
      <c r="R938">
        <v>2729</v>
      </c>
    </row>
    <row r="939" spans="1:18" x14ac:dyDescent="0.25">
      <c r="A939" s="170">
        <v>43416</v>
      </c>
      <c r="B939" s="116">
        <v>244.79000000000002</v>
      </c>
      <c r="C939" s="116">
        <v>238.1</v>
      </c>
      <c r="D939" s="116">
        <v>235.26</v>
      </c>
      <c r="E939" s="116">
        <v>238.76</v>
      </c>
      <c r="F939" s="116">
        <v>1190.5</v>
      </c>
      <c r="G939">
        <v>1948</v>
      </c>
      <c r="H939" s="116"/>
      <c r="I939" s="116"/>
      <c r="L939" s="170">
        <v>43392</v>
      </c>
      <c r="M939" s="116">
        <v>208.85999999999999</v>
      </c>
      <c r="N939" s="116">
        <v>213.07</v>
      </c>
      <c r="O939" s="116">
        <v>206.61999999999998</v>
      </c>
      <c r="P939" s="116">
        <v>211.26999999999998</v>
      </c>
      <c r="Q939" s="116">
        <v>1044.3</v>
      </c>
      <c r="R939">
        <v>3600</v>
      </c>
    </row>
    <row r="940" spans="1:18" x14ac:dyDescent="0.25">
      <c r="A940" s="170">
        <v>43417</v>
      </c>
      <c r="B940" s="116">
        <v>241.3</v>
      </c>
      <c r="C940" s="116">
        <v>230.41</v>
      </c>
      <c r="D940" s="116">
        <v>227.8</v>
      </c>
      <c r="E940" s="116">
        <v>234.96999999999997</v>
      </c>
      <c r="F940" s="116">
        <v>1152.05</v>
      </c>
      <c r="G940">
        <v>1132</v>
      </c>
      <c r="H940" s="116"/>
      <c r="I940" s="116"/>
      <c r="L940" s="170">
        <v>43395</v>
      </c>
      <c r="M940" s="116">
        <v>205.08</v>
      </c>
      <c r="N940" s="116">
        <v>213.1</v>
      </c>
      <c r="O940" s="116">
        <v>202.42000000000002</v>
      </c>
      <c r="P940" s="116">
        <v>213.1</v>
      </c>
      <c r="Q940" s="116">
        <v>1025.4000000000001</v>
      </c>
      <c r="R940">
        <v>3130</v>
      </c>
    </row>
    <row r="941" spans="1:18" x14ac:dyDescent="0.25">
      <c r="A941" s="170">
        <v>43418</v>
      </c>
      <c r="B941" s="116">
        <v>233</v>
      </c>
      <c r="C941" s="116">
        <v>226.78000000000003</v>
      </c>
      <c r="D941" s="116">
        <v>226.6</v>
      </c>
      <c r="E941" s="116">
        <v>230.49</v>
      </c>
      <c r="F941" s="116">
        <v>1133.9000000000001</v>
      </c>
      <c r="G941">
        <v>977</v>
      </c>
      <c r="H941" s="116"/>
      <c r="I941" s="116"/>
      <c r="L941" s="170">
        <v>43396</v>
      </c>
      <c r="M941" s="116">
        <v>200.52</v>
      </c>
      <c r="N941" s="116">
        <v>207.99</v>
      </c>
      <c r="O941" s="116">
        <v>199.97</v>
      </c>
      <c r="P941" s="116">
        <v>207.99</v>
      </c>
      <c r="Q941" s="116">
        <v>1002.6</v>
      </c>
      <c r="R941">
        <v>2272</v>
      </c>
    </row>
    <row r="942" spans="1:18" x14ac:dyDescent="0.25">
      <c r="A942" s="170">
        <v>43419</v>
      </c>
      <c r="B942" s="116">
        <v>231.53000000000003</v>
      </c>
      <c r="C942" s="116">
        <v>225.9</v>
      </c>
      <c r="D942" s="116">
        <v>224</v>
      </c>
      <c r="E942" s="116">
        <v>228.58</v>
      </c>
      <c r="F942" s="116">
        <v>1129.5</v>
      </c>
      <c r="G942">
        <v>120</v>
      </c>
      <c r="H942" s="116"/>
      <c r="I942" s="116"/>
      <c r="L942" s="170">
        <v>43397</v>
      </c>
      <c r="M942" s="116">
        <v>204.05</v>
      </c>
      <c r="N942" s="116">
        <v>205.8</v>
      </c>
      <c r="O942" s="116">
        <v>201.3</v>
      </c>
      <c r="P942" s="116">
        <v>202.4</v>
      </c>
      <c r="Q942" s="116">
        <v>1020.25</v>
      </c>
      <c r="R942">
        <v>1866</v>
      </c>
    </row>
    <row r="943" spans="1:18" x14ac:dyDescent="0.25">
      <c r="A943" s="170">
        <v>43420</v>
      </c>
      <c r="B943" s="116">
        <v>231.8</v>
      </c>
      <c r="C943" s="116">
        <v>229</v>
      </c>
      <c r="D943" s="116">
        <v>224.4</v>
      </c>
      <c r="E943" s="116">
        <v>226.70999999999998</v>
      </c>
      <c r="F943" s="116">
        <v>1145</v>
      </c>
      <c r="G943">
        <v>205</v>
      </c>
      <c r="H943" s="116"/>
      <c r="I943" s="116"/>
      <c r="L943" s="170">
        <v>43398</v>
      </c>
      <c r="M943" s="116">
        <v>210.1</v>
      </c>
      <c r="N943" s="116">
        <v>212.20999999999998</v>
      </c>
      <c r="O943" s="116">
        <v>201.37</v>
      </c>
      <c r="P943" s="116">
        <v>203.54000000000002</v>
      </c>
      <c r="Q943" s="116">
        <v>1050.5</v>
      </c>
      <c r="R943">
        <v>2936</v>
      </c>
    </row>
    <row r="944" spans="1:18" x14ac:dyDescent="0.25">
      <c r="A944" s="170">
        <v>43423</v>
      </c>
      <c r="B944" s="116">
        <v>239.79000000000002</v>
      </c>
      <c r="C944" s="116">
        <v>222.39000000000001</v>
      </c>
      <c r="D944" s="116">
        <v>220.9</v>
      </c>
      <c r="E944" s="116">
        <v>239.79000000000002</v>
      </c>
      <c r="F944" s="116">
        <v>1111.95</v>
      </c>
      <c r="G944">
        <v>2316</v>
      </c>
      <c r="H944" s="116"/>
      <c r="I944" s="116"/>
      <c r="L944" s="170">
        <v>43399</v>
      </c>
      <c r="M944" s="116">
        <v>206.15</v>
      </c>
      <c r="N944" s="116">
        <v>214</v>
      </c>
      <c r="O944" s="116">
        <v>204.85999999999999</v>
      </c>
      <c r="P944" s="116">
        <v>210.67</v>
      </c>
      <c r="Q944" s="116">
        <v>1030.75</v>
      </c>
      <c r="R944">
        <v>4792</v>
      </c>
    </row>
    <row r="945" spans="1:18" x14ac:dyDescent="0.25">
      <c r="A945" s="170">
        <v>43424</v>
      </c>
      <c r="B945" s="116">
        <v>225.57</v>
      </c>
      <c r="C945" s="116">
        <v>217.29000000000002</v>
      </c>
      <c r="D945" s="116">
        <v>215.93</v>
      </c>
      <c r="E945" s="116">
        <v>224.4</v>
      </c>
      <c r="F945" s="116">
        <v>1086.45</v>
      </c>
      <c r="G945">
        <v>1310</v>
      </c>
      <c r="H945" s="116"/>
      <c r="I945" s="116"/>
      <c r="L945" s="170">
        <v>43402</v>
      </c>
      <c r="M945" s="116">
        <v>232.64000000000001</v>
      </c>
      <c r="N945" s="116">
        <v>244</v>
      </c>
      <c r="O945" s="116">
        <v>222.2</v>
      </c>
      <c r="P945" s="116">
        <v>222.2</v>
      </c>
      <c r="Q945" s="116">
        <v>1163.2</v>
      </c>
      <c r="R945">
        <v>55832</v>
      </c>
    </row>
    <row r="946" spans="1:18" x14ac:dyDescent="0.25">
      <c r="A946" s="170">
        <v>43425</v>
      </c>
      <c r="B946" s="116">
        <v>222.95999999999998</v>
      </c>
      <c r="C946" s="116">
        <v>221.18</v>
      </c>
      <c r="D946" s="116">
        <v>214.63000000000002</v>
      </c>
      <c r="E946" s="116">
        <v>214.63000000000002</v>
      </c>
      <c r="F946" s="116">
        <v>1105.9000000000001</v>
      </c>
      <c r="G946">
        <v>378</v>
      </c>
      <c r="H946" s="116"/>
      <c r="I946" s="116"/>
      <c r="L946" s="170">
        <v>43403</v>
      </c>
      <c r="M946" s="116">
        <v>232.68</v>
      </c>
      <c r="N946" s="116">
        <v>236.8</v>
      </c>
      <c r="O946" s="116">
        <v>228.84</v>
      </c>
      <c r="P946" s="116">
        <v>232.64000000000001</v>
      </c>
      <c r="Q946" s="116">
        <v>1163.4000000000001</v>
      </c>
      <c r="R946">
        <v>18030</v>
      </c>
    </row>
    <row r="947" spans="1:18" x14ac:dyDescent="0.25">
      <c r="A947" s="170">
        <v>43426</v>
      </c>
      <c r="B947" s="116">
        <v>242.4</v>
      </c>
      <c r="C947" s="116">
        <v>227.04000000000002</v>
      </c>
      <c r="D947" s="116">
        <v>221.94</v>
      </c>
      <c r="E947" s="116">
        <v>225.93</v>
      </c>
      <c r="F947" s="116">
        <v>1135.2</v>
      </c>
      <c r="G947">
        <v>5694</v>
      </c>
      <c r="H947" s="116"/>
      <c r="I947" s="116"/>
      <c r="L947" s="170">
        <v>43404</v>
      </c>
      <c r="M947" s="116">
        <v>231.46999999999997</v>
      </c>
      <c r="N947" s="116">
        <v>234.2</v>
      </c>
      <c r="O947" s="116">
        <v>230.01999999999998</v>
      </c>
      <c r="P947" s="116">
        <v>231.59</v>
      </c>
      <c r="Q947" s="116">
        <v>1157.3499999999999</v>
      </c>
      <c r="R947">
        <v>7407</v>
      </c>
    </row>
    <row r="948" spans="1:18" x14ac:dyDescent="0.25">
      <c r="A948" s="170">
        <v>43430</v>
      </c>
      <c r="B948" s="116">
        <v>226.39000000000001</v>
      </c>
      <c r="C948" s="116">
        <v>224.73000000000002</v>
      </c>
      <c r="D948" s="116">
        <v>221.99</v>
      </c>
      <c r="E948" s="116">
        <v>225.99</v>
      </c>
      <c r="F948" s="116">
        <v>1123.6500000000001</v>
      </c>
      <c r="G948">
        <v>607</v>
      </c>
      <c r="H948" s="116"/>
      <c r="I948" s="116"/>
      <c r="L948" s="170">
        <v>43405</v>
      </c>
      <c r="M948" s="116">
        <v>241.51999999999998</v>
      </c>
      <c r="N948" s="116">
        <v>244</v>
      </c>
      <c r="O948" s="116">
        <v>232.01</v>
      </c>
      <c r="P948" s="116">
        <v>235.49</v>
      </c>
      <c r="Q948" s="116">
        <v>1207.5999999999999</v>
      </c>
      <c r="R948">
        <v>20145</v>
      </c>
    </row>
    <row r="949" spans="1:18" x14ac:dyDescent="0.25">
      <c r="A949" s="170">
        <v>43431</v>
      </c>
      <c r="B949" s="116">
        <v>227.96999999999997</v>
      </c>
      <c r="C949" s="116">
        <v>224.70999999999998</v>
      </c>
      <c r="D949" s="116">
        <v>224.2</v>
      </c>
      <c r="E949" s="116">
        <v>226</v>
      </c>
      <c r="F949" s="116">
        <v>1123.55</v>
      </c>
      <c r="G949">
        <v>139</v>
      </c>
      <c r="H949" s="116"/>
      <c r="I949" s="116"/>
      <c r="L949" s="170">
        <v>43406</v>
      </c>
      <c r="M949" s="116">
        <v>241.19</v>
      </c>
      <c r="N949" s="116">
        <v>251</v>
      </c>
      <c r="O949" s="116">
        <v>238.44</v>
      </c>
      <c r="P949" s="116">
        <v>244.71999999999997</v>
      </c>
      <c r="Q949" s="116">
        <v>1205.95</v>
      </c>
      <c r="R949">
        <v>17837</v>
      </c>
    </row>
    <row r="950" spans="1:18" x14ac:dyDescent="0.25">
      <c r="A950" s="170">
        <v>43432</v>
      </c>
      <c r="B950" s="116">
        <v>227</v>
      </c>
      <c r="C950" s="116">
        <v>226.54000000000002</v>
      </c>
      <c r="D950" s="116">
        <v>222.43</v>
      </c>
      <c r="E950" s="116">
        <v>224.57</v>
      </c>
      <c r="F950" s="116">
        <v>1132.7</v>
      </c>
      <c r="G950">
        <v>3634</v>
      </c>
      <c r="H950" s="116"/>
      <c r="I950" s="116"/>
      <c r="L950" s="170">
        <v>43409</v>
      </c>
      <c r="M950" s="116">
        <v>240.91</v>
      </c>
      <c r="N950" s="116">
        <v>244.8</v>
      </c>
      <c r="O950" s="116">
        <v>238.99</v>
      </c>
      <c r="P950" s="116">
        <v>244</v>
      </c>
      <c r="Q950" s="116">
        <v>1204.55</v>
      </c>
      <c r="R950">
        <v>3384</v>
      </c>
    </row>
    <row r="951" spans="1:18" x14ac:dyDescent="0.25">
      <c r="A951" s="170">
        <v>43433</v>
      </c>
      <c r="B951" s="116">
        <v>230</v>
      </c>
      <c r="C951" s="116">
        <v>227.36999999999998</v>
      </c>
      <c r="D951" s="116">
        <v>225.34</v>
      </c>
      <c r="E951" s="116">
        <v>225.34</v>
      </c>
      <c r="F951" s="116">
        <v>1136.8499999999999</v>
      </c>
      <c r="G951">
        <v>405</v>
      </c>
      <c r="H951" s="116"/>
      <c r="I951" s="116"/>
      <c r="L951" s="170">
        <v>43410</v>
      </c>
      <c r="M951" s="116">
        <v>235.66</v>
      </c>
      <c r="N951" s="116">
        <v>243.4</v>
      </c>
      <c r="O951" s="116">
        <v>234</v>
      </c>
      <c r="P951" s="116">
        <v>243.4</v>
      </c>
      <c r="Q951" s="116">
        <v>1178.3</v>
      </c>
      <c r="R951">
        <v>3269</v>
      </c>
    </row>
    <row r="952" spans="1:18" x14ac:dyDescent="0.25">
      <c r="A952" s="170">
        <v>43434</v>
      </c>
      <c r="B952" s="116">
        <v>237</v>
      </c>
      <c r="C952" s="116">
        <v>226.82</v>
      </c>
      <c r="D952" s="116">
        <v>223.01999999999998</v>
      </c>
      <c r="E952" s="116">
        <v>232</v>
      </c>
      <c r="F952" s="116">
        <v>1134.0999999999999</v>
      </c>
      <c r="G952">
        <v>2747</v>
      </c>
      <c r="H952" s="116"/>
      <c r="I952" s="116"/>
      <c r="L952" s="170">
        <v>43411</v>
      </c>
      <c r="M952" s="116">
        <v>243.26</v>
      </c>
      <c r="N952" s="116">
        <v>248</v>
      </c>
      <c r="O952" s="116">
        <v>231.41</v>
      </c>
      <c r="P952" s="116">
        <v>238.99</v>
      </c>
      <c r="Q952" s="116">
        <v>1216.3</v>
      </c>
      <c r="R952">
        <v>4112</v>
      </c>
    </row>
    <row r="953" spans="1:18" x14ac:dyDescent="0.25">
      <c r="A953" s="170">
        <v>43437</v>
      </c>
      <c r="B953" s="116">
        <v>230.20999999999998</v>
      </c>
      <c r="C953" s="116">
        <v>226.78000000000003</v>
      </c>
      <c r="D953" s="116">
        <v>224.6</v>
      </c>
      <c r="E953" s="116">
        <v>224.6</v>
      </c>
      <c r="F953" s="116">
        <v>1133.9000000000001</v>
      </c>
      <c r="G953">
        <v>109</v>
      </c>
      <c r="H953" s="116"/>
      <c r="I953" s="116"/>
      <c r="L953" s="170">
        <v>43413</v>
      </c>
      <c r="M953" s="116">
        <v>240.6</v>
      </c>
      <c r="N953" s="116">
        <v>248.95999999999998</v>
      </c>
      <c r="O953" s="116">
        <v>237</v>
      </c>
      <c r="P953" s="116">
        <v>244.04000000000002</v>
      </c>
      <c r="Q953" s="116">
        <v>1203</v>
      </c>
      <c r="R953">
        <v>14638</v>
      </c>
    </row>
    <row r="954" spans="1:18" x14ac:dyDescent="0.25">
      <c r="A954" s="170">
        <v>43438</v>
      </c>
      <c r="B954" s="116">
        <v>226.66</v>
      </c>
      <c r="C954" s="116">
        <v>222.9</v>
      </c>
      <c r="D954" s="116">
        <v>221.98000000000002</v>
      </c>
      <c r="E954" s="116">
        <v>224</v>
      </c>
      <c r="F954" s="116">
        <v>1114.5</v>
      </c>
      <c r="G954">
        <v>198</v>
      </c>
      <c r="H954" s="116"/>
      <c r="I954" s="116"/>
      <c r="L954" s="170">
        <v>43416</v>
      </c>
      <c r="M954" s="116">
        <v>235.57</v>
      </c>
      <c r="N954" s="116">
        <v>243.78000000000003</v>
      </c>
      <c r="O954" s="116">
        <v>232.82</v>
      </c>
      <c r="P954" s="116">
        <v>240.6</v>
      </c>
      <c r="Q954" s="116">
        <v>1177.8499999999999</v>
      </c>
      <c r="R954">
        <v>6154</v>
      </c>
    </row>
    <row r="955" spans="1:18" x14ac:dyDescent="0.25">
      <c r="A955" s="170">
        <v>43439</v>
      </c>
      <c r="B955" s="116">
        <v>236.88000000000002</v>
      </c>
      <c r="C955" s="116">
        <v>223.79000000000002</v>
      </c>
      <c r="D955" s="116">
        <v>223.45999999999998</v>
      </c>
      <c r="E955" s="116">
        <v>232</v>
      </c>
      <c r="F955" s="116">
        <v>1118.95</v>
      </c>
      <c r="G955">
        <v>1025</v>
      </c>
      <c r="H955" s="116"/>
      <c r="I955" s="116"/>
      <c r="L955" s="170">
        <v>43417</v>
      </c>
      <c r="M955" s="116">
        <v>231</v>
      </c>
      <c r="N955" s="116">
        <v>241.76</v>
      </c>
      <c r="O955" s="116">
        <v>228</v>
      </c>
      <c r="P955" s="116">
        <v>236.18</v>
      </c>
      <c r="Q955" s="116">
        <v>1155</v>
      </c>
      <c r="R955">
        <v>12290</v>
      </c>
    </row>
    <row r="956" spans="1:18" x14ac:dyDescent="0.25">
      <c r="A956" s="170">
        <v>43440</v>
      </c>
      <c r="B956" s="116">
        <v>222.35</v>
      </c>
      <c r="C956" s="116">
        <v>220.13000000000002</v>
      </c>
      <c r="D956" s="116">
        <v>215.67</v>
      </c>
      <c r="E956" s="116">
        <v>220.2</v>
      </c>
      <c r="F956" s="116">
        <v>1100.6500000000001</v>
      </c>
      <c r="G956">
        <v>309900</v>
      </c>
      <c r="H956" s="116"/>
      <c r="I956" s="116"/>
      <c r="L956" s="170">
        <v>43418</v>
      </c>
      <c r="M956" s="116">
        <v>229.32</v>
      </c>
      <c r="N956" s="116">
        <v>232.8</v>
      </c>
      <c r="O956" s="116">
        <v>228.21999999999997</v>
      </c>
      <c r="P956" s="116">
        <v>232.8</v>
      </c>
      <c r="Q956" s="116">
        <v>1146.5999999999999</v>
      </c>
      <c r="R956">
        <v>4919</v>
      </c>
    </row>
    <row r="957" spans="1:18" x14ac:dyDescent="0.25">
      <c r="A957" s="170">
        <v>43441</v>
      </c>
      <c r="B957" s="116">
        <v>222.57</v>
      </c>
      <c r="C957" s="116">
        <v>217.39000000000001</v>
      </c>
      <c r="D957" s="116">
        <v>216.99</v>
      </c>
      <c r="E957" s="116">
        <v>222.2</v>
      </c>
      <c r="F957" s="116">
        <v>1086.95</v>
      </c>
      <c r="G957">
        <v>1125</v>
      </c>
      <c r="H957" s="116"/>
      <c r="I957" s="116"/>
      <c r="L957" s="170">
        <v>43419</v>
      </c>
      <c r="M957" s="116">
        <v>226.8</v>
      </c>
      <c r="N957" s="116">
        <v>230.68</v>
      </c>
      <c r="O957" s="116">
        <v>224.24</v>
      </c>
      <c r="P957" s="116">
        <v>224.83</v>
      </c>
      <c r="Q957" s="116">
        <v>1134</v>
      </c>
      <c r="R957">
        <v>4148</v>
      </c>
    </row>
    <row r="958" spans="1:18" x14ac:dyDescent="0.25">
      <c r="A958" s="170">
        <v>43444</v>
      </c>
      <c r="B958" s="116">
        <v>217.73000000000002</v>
      </c>
      <c r="C958" s="116">
        <v>215.45999999999998</v>
      </c>
      <c r="D958" s="116">
        <v>213</v>
      </c>
      <c r="E958" s="116">
        <v>213</v>
      </c>
      <c r="F958" s="116">
        <v>1077.3</v>
      </c>
      <c r="G958">
        <v>458</v>
      </c>
      <c r="H958" s="116"/>
      <c r="I958" s="116"/>
      <c r="L958" s="170">
        <v>43420</v>
      </c>
      <c r="M958" s="116">
        <v>225.73000000000002</v>
      </c>
      <c r="N958" s="116">
        <v>228.84</v>
      </c>
      <c r="O958" s="116">
        <v>224.41</v>
      </c>
      <c r="P958" s="116">
        <v>226.51999999999998</v>
      </c>
      <c r="Q958" s="116">
        <v>1128.6500000000001</v>
      </c>
      <c r="R958">
        <v>2952</v>
      </c>
    </row>
    <row r="959" spans="1:18" x14ac:dyDescent="0.25">
      <c r="A959" s="170">
        <v>43445</v>
      </c>
      <c r="B959" s="116">
        <v>218.1</v>
      </c>
      <c r="C959" s="116">
        <v>216.09</v>
      </c>
      <c r="D959" s="116">
        <v>213.66</v>
      </c>
      <c r="E959" s="116">
        <v>215</v>
      </c>
      <c r="F959" s="116">
        <v>1080.45</v>
      </c>
      <c r="G959">
        <v>264</v>
      </c>
      <c r="H959" s="116"/>
      <c r="I959" s="116"/>
      <c r="L959" s="170">
        <v>43423</v>
      </c>
      <c r="M959" s="116">
        <v>224.09</v>
      </c>
      <c r="N959" s="116">
        <v>229.38000000000002</v>
      </c>
      <c r="O959" s="116">
        <v>221.1</v>
      </c>
      <c r="P959" s="116">
        <v>228.96999999999997</v>
      </c>
      <c r="Q959" s="116">
        <v>1120.45</v>
      </c>
      <c r="R959">
        <v>3989</v>
      </c>
    </row>
    <row r="960" spans="1:18" x14ac:dyDescent="0.25">
      <c r="A960" s="170">
        <v>43446</v>
      </c>
      <c r="B960" s="116">
        <v>228.09</v>
      </c>
      <c r="C960" s="116">
        <v>227.04000000000002</v>
      </c>
      <c r="D960" s="116">
        <v>222</v>
      </c>
      <c r="E960" s="116">
        <v>222</v>
      </c>
      <c r="F960" s="116">
        <v>1135.2</v>
      </c>
      <c r="G960">
        <v>1003</v>
      </c>
      <c r="H960" s="116"/>
      <c r="I960" s="116"/>
      <c r="L960" s="170">
        <v>43424</v>
      </c>
      <c r="M960" s="116">
        <v>218.41</v>
      </c>
      <c r="N960" s="116">
        <v>225.6</v>
      </c>
      <c r="O960" s="116">
        <v>217.2</v>
      </c>
      <c r="P960" s="116">
        <v>225.59</v>
      </c>
      <c r="Q960" s="116">
        <v>1092.05</v>
      </c>
      <c r="R960">
        <v>10351</v>
      </c>
    </row>
    <row r="961" spans="1:18" x14ac:dyDescent="0.25">
      <c r="A961" s="170">
        <v>43447</v>
      </c>
      <c r="B961" s="116">
        <v>226</v>
      </c>
      <c r="C961" s="116">
        <v>224.4</v>
      </c>
      <c r="D961" s="116">
        <v>223.4</v>
      </c>
      <c r="E961" s="116">
        <v>225.35</v>
      </c>
      <c r="F961" s="116">
        <v>1122</v>
      </c>
      <c r="G961">
        <v>210</v>
      </c>
      <c r="H961" s="116"/>
      <c r="I961" s="116"/>
      <c r="L961" s="170">
        <v>43425</v>
      </c>
      <c r="M961" s="116">
        <v>223.70999999999998</v>
      </c>
      <c r="N961" s="116">
        <v>225.95</v>
      </c>
      <c r="O961" s="116">
        <v>216.10999999999999</v>
      </c>
      <c r="P961" s="116">
        <v>225.94</v>
      </c>
      <c r="Q961" s="116">
        <v>1118.55</v>
      </c>
      <c r="R961">
        <v>3032</v>
      </c>
    </row>
    <row r="962" spans="1:18" x14ac:dyDescent="0.25">
      <c r="A962" s="170">
        <v>43448</v>
      </c>
      <c r="B962" s="116">
        <v>226.99</v>
      </c>
      <c r="C962" s="116">
        <v>221.6</v>
      </c>
      <c r="D962" s="116">
        <v>220.6</v>
      </c>
      <c r="E962" s="116">
        <v>222.2</v>
      </c>
      <c r="F962" s="116">
        <v>1108</v>
      </c>
      <c r="G962">
        <v>2459</v>
      </c>
      <c r="H962" s="116"/>
      <c r="I962" s="116"/>
      <c r="L962" s="170">
        <v>43426</v>
      </c>
      <c r="M962" s="116">
        <v>226.15</v>
      </c>
      <c r="N962" s="116">
        <v>245.4</v>
      </c>
      <c r="O962" s="116">
        <v>222.61999999999998</v>
      </c>
      <c r="P962" s="116">
        <v>225</v>
      </c>
      <c r="Q962" s="116">
        <v>1130.75</v>
      </c>
      <c r="R962">
        <v>45914</v>
      </c>
    </row>
    <row r="963" spans="1:18" x14ac:dyDescent="0.25">
      <c r="A963" s="170">
        <v>43451</v>
      </c>
      <c r="B963" s="116">
        <v>224.98000000000002</v>
      </c>
      <c r="C963" s="116">
        <v>221.7</v>
      </c>
      <c r="D963" s="116">
        <v>219.4</v>
      </c>
      <c r="E963" s="116">
        <v>219.4</v>
      </c>
      <c r="F963" s="116">
        <v>1108.5</v>
      </c>
      <c r="G963">
        <v>704</v>
      </c>
      <c r="H963" s="116"/>
      <c r="I963" s="116"/>
      <c r="L963" s="170">
        <v>43430</v>
      </c>
      <c r="M963" s="116">
        <v>224.32</v>
      </c>
      <c r="N963" s="116">
        <v>230.39000000000001</v>
      </c>
      <c r="O963" s="116">
        <v>222.8</v>
      </c>
      <c r="P963" s="116">
        <v>228.20999999999998</v>
      </c>
      <c r="Q963" s="116">
        <v>1121.5999999999999</v>
      </c>
      <c r="R963">
        <v>3566</v>
      </c>
    </row>
    <row r="964" spans="1:18" x14ac:dyDescent="0.25">
      <c r="A964" s="170">
        <v>43452</v>
      </c>
      <c r="B964" s="116">
        <v>223</v>
      </c>
      <c r="C964" s="116">
        <v>219.31</v>
      </c>
      <c r="D964" s="116">
        <v>218.8</v>
      </c>
      <c r="E964" s="116">
        <v>220</v>
      </c>
      <c r="F964" s="116">
        <v>1096.55</v>
      </c>
      <c r="G964">
        <v>126</v>
      </c>
      <c r="H964" s="116"/>
      <c r="I964" s="116"/>
      <c r="L964" s="170">
        <v>43431</v>
      </c>
      <c r="M964" s="116">
        <v>225.49</v>
      </c>
      <c r="N964" s="116">
        <v>227.8</v>
      </c>
      <c r="O964" s="116">
        <v>224.32</v>
      </c>
      <c r="P964" s="116">
        <v>224.8</v>
      </c>
      <c r="Q964" s="116">
        <v>1127.45</v>
      </c>
      <c r="R964">
        <v>2153</v>
      </c>
    </row>
    <row r="965" spans="1:18" x14ac:dyDescent="0.25">
      <c r="A965" s="170">
        <v>43453</v>
      </c>
      <c r="B965" s="116">
        <v>220</v>
      </c>
      <c r="C965" s="116">
        <v>220</v>
      </c>
      <c r="D965" s="116">
        <v>219.21999999999997</v>
      </c>
      <c r="E965" s="116">
        <v>219.4</v>
      </c>
      <c r="F965" s="116">
        <v>1100</v>
      </c>
      <c r="G965">
        <v>53</v>
      </c>
      <c r="H965" s="116"/>
      <c r="I965" s="116"/>
      <c r="L965" s="170">
        <v>43432</v>
      </c>
      <c r="M965" s="116">
        <v>226.48000000000002</v>
      </c>
      <c r="N965" s="116">
        <v>228.1</v>
      </c>
      <c r="O965" s="116">
        <v>223.79000000000002</v>
      </c>
      <c r="P965" s="116">
        <v>226.69</v>
      </c>
      <c r="Q965" s="116">
        <v>1132.4000000000001</v>
      </c>
      <c r="R965">
        <v>5726</v>
      </c>
    </row>
    <row r="966" spans="1:18" x14ac:dyDescent="0.25">
      <c r="A966" s="170">
        <v>43454</v>
      </c>
      <c r="B966" s="116">
        <v>223.99</v>
      </c>
      <c r="C966" s="116">
        <v>222.38000000000002</v>
      </c>
      <c r="D966" s="116">
        <v>215.01</v>
      </c>
      <c r="E966" s="116">
        <v>220.60999999999999</v>
      </c>
      <c r="F966" s="116">
        <v>1111.9000000000001</v>
      </c>
      <c r="G966">
        <v>1143</v>
      </c>
      <c r="H966" s="116"/>
      <c r="I966" s="116"/>
      <c r="L966" s="170">
        <v>43433</v>
      </c>
      <c r="M966" s="116">
        <v>226.46999999999997</v>
      </c>
      <c r="N966" s="116">
        <v>229.8</v>
      </c>
      <c r="O966" s="116">
        <v>222.9</v>
      </c>
      <c r="P966" s="116">
        <v>226.41</v>
      </c>
      <c r="Q966" s="116">
        <v>1132.3499999999999</v>
      </c>
      <c r="R966">
        <v>1860</v>
      </c>
    </row>
    <row r="967" spans="1:18" x14ac:dyDescent="0.25">
      <c r="A967" s="170">
        <v>43455</v>
      </c>
      <c r="B967" s="116">
        <v>225.17</v>
      </c>
      <c r="C967" s="116">
        <v>219.06</v>
      </c>
      <c r="D967" s="116">
        <v>219</v>
      </c>
      <c r="E967" s="116">
        <v>225.17</v>
      </c>
      <c r="F967" s="116">
        <v>1095.3</v>
      </c>
      <c r="G967">
        <v>1397</v>
      </c>
      <c r="H967" s="116"/>
      <c r="I967" s="116"/>
      <c r="L967" s="170">
        <v>43434</v>
      </c>
      <c r="M967" s="116">
        <v>229.42</v>
      </c>
      <c r="N967" s="116">
        <v>237.6</v>
      </c>
      <c r="O967" s="116">
        <v>226.8</v>
      </c>
      <c r="P967" s="116">
        <v>232.78000000000003</v>
      </c>
      <c r="Q967" s="116">
        <v>1147.0999999999999</v>
      </c>
      <c r="R967">
        <v>12517</v>
      </c>
    </row>
    <row r="968" spans="1:18" x14ac:dyDescent="0.25">
      <c r="A968" s="170">
        <v>43458</v>
      </c>
      <c r="B968" s="116">
        <v>217.65</v>
      </c>
      <c r="C968" s="116">
        <v>217.65</v>
      </c>
      <c r="D968" s="116">
        <v>214</v>
      </c>
      <c r="E968" s="116">
        <v>214.06</v>
      </c>
      <c r="F968" s="116">
        <v>1088.25</v>
      </c>
      <c r="G968">
        <v>184</v>
      </c>
      <c r="H968" s="116"/>
      <c r="I968" s="116"/>
      <c r="L968" s="170">
        <v>43437</v>
      </c>
      <c r="M968" s="116">
        <v>226.79000000000002</v>
      </c>
      <c r="N968" s="116">
        <v>230.78000000000003</v>
      </c>
      <c r="O968" s="116">
        <v>226.01999999999998</v>
      </c>
      <c r="P968" s="116">
        <v>228.01</v>
      </c>
      <c r="Q968" s="116">
        <v>1133.95</v>
      </c>
      <c r="R968">
        <v>2152</v>
      </c>
    </row>
    <row r="969" spans="1:18" x14ac:dyDescent="0.25">
      <c r="A969" s="170">
        <v>43460</v>
      </c>
      <c r="B969" s="116">
        <v>222.53000000000003</v>
      </c>
      <c r="C969" s="116">
        <v>218.48000000000002</v>
      </c>
      <c r="D969" s="116">
        <v>217.46999999999997</v>
      </c>
      <c r="E969" s="116">
        <v>218.76999999999998</v>
      </c>
      <c r="F969" s="116">
        <v>1092.4000000000001</v>
      </c>
      <c r="G969">
        <v>249</v>
      </c>
      <c r="H969" s="116"/>
      <c r="I969" s="116"/>
      <c r="L969" s="170">
        <v>43438</v>
      </c>
      <c r="M969" s="116">
        <v>223.86999999999998</v>
      </c>
      <c r="N969" s="116">
        <v>231.79000000000002</v>
      </c>
      <c r="O969" s="116">
        <v>221.81</v>
      </c>
      <c r="P969" s="116">
        <v>231.79000000000002</v>
      </c>
      <c r="Q969" s="116">
        <v>1119.3499999999999</v>
      </c>
      <c r="R969">
        <v>3048</v>
      </c>
    </row>
    <row r="970" spans="1:18" x14ac:dyDescent="0.25">
      <c r="A970" s="170">
        <v>43461</v>
      </c>
      <c r="B970" s="116">
        <v>221</v>
      </c>
      <c r="C970" s="116">
        <v>211.33</v>
      </c>
      <c r="D970" s="116">
        <v>210</v>
      </c>
      <c r="E970" s="116">
        <v>218</v>
      </c>
      <c r="F970" s="116">
        <v>1056.6500000000001</v>
      </c>
      <c r="G970">
        <v>1608</v>
      </c>
      <c r="H970" s="116"/>
      <c r="I970" s="116"/>
      <c r="L970" s="170">
        <v>43439</v>
      </c>
      <c r="M970" s="116">
        <v>223.96999999999997</v>
      </c>
      <c r="N970" s="116">
        <v>237.4</v>
      </c>
      <c r="O970" s="116">
        <v>222.60999999999999</v>
      </c>
      <c r="P970" s="116">
        <v>230.23000000000002</v>
      </c>
      <c r="Q970" s="116">
        <v>1119.8499999999999</v>
      </c>
      <c r="R970">
        <v>20033</v>
      </c>
    </row>
    <row r="971" spans="1:18" x14ac:dyDescent="0.25">
      <c r="A971" s="170">
        <v>43462</v>
      </c>
      <c r="B971" s="116">
        <v>216</v>
      </c>
      <c r="C971" s="116">
        <v>216</v>
      </c>
      <c r="D971" s="116">
        <v>216</v>
      </c>
      <c r="E971" s="116">
        <v>216</v>
      </c>
      <c r="F971" s="116">
        <v>1080</v>
      </c>
      <c r="G971">
        <v>6</v>
      </c>
      <c r="H971" s="116"/>
      <c r="I971" s="116"/>
      <c r="L971" s="170">
        <v>43440</v>
      </c>
      <c r="M971" s="116">
        <v>219.84</v>
      </c>
      <c r="N971" s="116">
        <v>224.84</v>
      </c>
      <c r="O971" s="116">
        <v>216.45</v>
      </c>
      <c r="P971" s="116">
        <v>220.23000000000002</v>
      </c>
      <c r="Q971" s="116">
        <v>1099.2</v>
      </c>
      <c r="R971">
        <v>6354</v>
      </c>
    </row>
    <row r="972" spans="1:18" x14ac:dyDescent="0.25">
      <c r="A972" s="170">
        <v>43465</v>
      </c>
      <c r="B972" s="116">
        <v>220.46999999999997</v>
      </c>
      <c r="C972" s="116">
        <v>213.83</v>
      </c>
      <c r="D972" s="116">
        <v>210.82</v>
      </c>
      <c r="E972" s="116">
        <v>216.6</v>
      </c>
      <c r="F972" s="116">
        <v>1069.1500000000001</v>
      </c>
      <c r="G972">
        <v>325</v>
      </c>
      <c r="H972" s="116"/>
      <c r="I972" s="116"/>
      <c r="L972" s="170">
        <v>43441</v>
      </c>
      <c r="M972" s="116">
        <v>218.76</v>
      </c>
      <c r="N972" s="116">
        <v>221.5</v>
      </c>
      <c r="O972" s="116">
        <v>217.04000000000002</v>
      </c>
      <c r="P972" s="116">
        <v>221.5</v>
      </c>
      <c r="Q972" s="116">
        <v>1093.8</v>
      </c>
      <c r="R972">
        <v>3612</v>
      </c>
    </row>
    <row r="973" spans="1:18" x14ac:dyDescent="0.25">
      <c r="A973" s="170">
        <v>43466</v>
      </c>
      <c r="B973" s="116">
        <v>217</v>
      </c>
      <c r="C973" s="116">
        <v>213.82</v>
      </c>
      <c r="D973" s="116">
        <v>211.99</v>
      </c>
      <c r="E973" s="116">
        <v>212.70999999999998</v>
      </c>
      <c r="F973" s="116">
        <v>1069.0999999999999</v>
      </c>
      <c r="G973">
        <v>614</v>
      </c>
      <c r="H973" s="116"/>
      <c r="I973" s="116"/>
      <c r="L973" s="170">
        <v>43444</v>
      </c>
      <c r="M973" s="116">
        <v>215.82</v>
      </c>
      <c r="N973" s="116">
        <v>216.8</v>
      </c>
      <c r="O973" s="116">
        <v>213.2</v>
      </c>
      <c r="P973" s="116">
        <v>213.31</v>
      </c>
      <c r="Q973" s="116">
        <v>1079.0999999999999</v>
      </c>
      <c r="R973">
        <v>2581</v>
      </c>
    </row>
    <row r="974" spans="1:18" x14ac:dyDescent="0.25">
      <c r="A974" s="170">
        <v>43467</v>
      </c>
      <c r="B974" s="116">
        <v>212.98000000000002</v>
      </c>
      <c r="C974" s="116">
        <v>211.85999999999999</v>
      </c>
      <c r="D974" s="116">
        <v>210.23000000000002</v>
      </c>
      <c r="E974" s="116">
        <v>212.42</v>
      </c>
      <c r="F974" s="116">
        <v>1059.3</v>
      </c>
      <c r="G974">
        <v>46</v>
      </c>
      <c r="H974" s="116"/>
      <c r="I974" s="116"/>
      <c r="L974" s="170">
        <v>43445</v>
      </c>
      <c r="M974" s="116">
        <v>218.07</v>
      </c>
      <c r="N974" s="116">
        <v>219.6</v>
      </c>
      <c r="O974" s="116">
        <v>213.4</v>
      </c>
      <c r="P974" s="116">
        <v>215.39000000000001</v>
      </c>
      <c r="Q974" s="116">
        <v>1090.3499999999999</v>
      </c>
      <c r="R974">
        <v>1557</v>
      </c>
    </row>
    <row r="975" spans="1:18" x14ac:dyDescent="0.25">
      <c r="A975" s="170">
        <v>43468</v>
      </c>
      <c r="B975" s="116">
        <v>209.82</v>
      </c>
      <c r="C975" s="116">
        <v>209.24</v>
      </c>
      <c r="D975" s="116">
        <v>208.10999999999999</v>
      </c>
      <c r="E975" s="116">
        <v>209.82</v>
      </c>
      <c r="F975" s="116">
        <v>1046.2</v>
      </c>
      <c r="G975">
        <v>3</v>
      </c>
      <c r="H975" s="116"/>
      <c r="I975" s="116"/>
      <c r="L975" s="170">
        <v>43446</v>
      </c>
      <c r="M975" s="116">
        <v>225.70999999999998</v>
      </c>
      <c r="N975" s="116">
        <v>226.28000000000003</v>
      </c>
      <c r="O975" s="116">
        <v>219.96999999999997</v>
      </c>
      <c r="P975" s="116">
        <v>219.96999999999997</v>
      </c>
      <c r="Q975" s="116">
        <v>1128.55</v>
      </c>
      <c r="R975">
        <v>2574</v>
      </c>
    </row>
    <row r="976" spans="1:18" x14ac:dyDescent="0.25">
      <c r="A976" s="170">
        <v>43469</v>
      </c>
      <c r="B976" s="116">
        <v>211.01</v>
      </c>
      <c r="C976" s="116">
        <v>209.60999999999999</v>
      </c>
      <c r="D976" s="116">
        <v>209</v>
      </c>
      <c r="E976" s="116">
        <v>209.01999999999998</v>
      </c>
      <c r="F976" s="116">
        <v>1048.05</v>
      </c>
      <c r="G976">
        <v>138</v>
      </c>
      <c r="H976" s="116"/>
      <c r="I976" s="116"/>
      <c r="L976" s="170">
        <v>43447</v>
      </c>
      <c r="M976" s="116">
        <v>223.56</v>
      </c>
      <c r="N976" s="116">
        <v>228</v>
      </c>
      <c r="O976" s="116">
        <v>222.2</v>
      </c>
      <c r="P976" s="116">
        <v>226.41</v>
      </c>
      <c r="Q976" s="116">
        <v>1117.8</v>
      </c>
      <c r="R976">
        <v>2058</v>
      </c>
    </row>
    <row r="977" spans="1:18" x14ac:dyDescent="0.25">
      <c r="A977" s="170">
        <v>43473</v>
      </c>
      <c r="B977" s="116">
        <v>223.76</v>
      </c>
      <c r="C977" s="116">
        <v>214.34</v>
      </c>
      <c r="D977" s="116">
        <v>209</v>
      </c>
      <c r="E977" s="116">
        <v>212</v>
      </c>
      <c r="F977" s="116">
        <v>1071.7</v>
      </c>
      <c r="G977">
        <v>1226</v>
      </c>
      <c r="H977" s="116"/>
      <c r="I977" s="116"/>
      <c r="L977" s="170">
        <v>43448</v>
      </c>
      <c r="M977" s="116">
        <v>222.82</v>
      </c>
      <c r="N977" s="116">
        <v>228.73000000000002</v>
      </c>
      <c r="O977" s="116">
        <v>219.99</v>
      </c>
      <c r="P977" s="116">
        <v>223.57</v>
      </c>
      <c r="Q977" s="116">
        <v>1114.0999999999999</v>
      </c>
      <c r="R977">
        <v>6842</v>
      </c>
    </row>
    <row r="978" spans="1:18" x14ac:dyDescent="0.25">
      <c r="A978" s="170">
        <v>43474</v>
      </c>
      <c r="B978" s="116">
        <v>213.74</v>
      </c>
      <c r="C978" s="116">
        <v>212.85</v>
      </c>
      <c r="D978" s="116">
        <v>210.5</v>
      </c>
      <c r="E978" s="116">
        <v>210.5</v>
      </c>
      <c r="F978" s="116">
        <v>1064.25</v>
      </c>
      <c r="G978">
        <v>100</v>
      </c>
      <c r="H978" s="116"/>
      <c r="I978" s="116"/>
      <c r="L978" s="170">
        <v>43451</v>
      </c>
      <c r="M978" s="116">
        <v>223.34</v>
      </c>
      <c r="N978" s="116">
        <v>225.04000000000002</v>
      </c>
      <c r="O978" s="116">
        <v>221.03000000000003</v>
      </c>
      <c r="P978" s="116">
        <v>222.82</v>
      </c>
      <c r="Q978" s="116">
        <v>1116.7</v>
      </c>
      <c r="R978">
        <v>2020</v>
      </c>
    </row>
    <row r="979" spans="1:18" x14ac:dyDescent="0.25">
      <c r="A979" s="170">
        <v>43475</v>
      </c>
      <c r="B979" s="116">
        <v>217.63000000000002</v>
      </c>
      <c r="C979" s="116">
        <v>214.61999999999998</v>
      </c>
      <c r="D979" s="116">
        <v>211.11999999999998</v>
      </c>
      <c r="E979" s="116">
        <v>213</v>
      </c>
      <c r="F979" s="116">
        <v>1073.0999999999999</v>
      </c>
      <c r="G979">
        <v>53</v>
      </c>
      <c r="H979" s="116"/>
      <c r="I979" s="116"/>
      <c r="L979" s="170">
        <v>43452</v>
      </c>
      <c r="M979" s="116">
        <v>220.78000000000003</v>
      </c>
      <c r="N979" s="116">
        <v>224.39000000000001</v>
      </c>
      <c r="O979" s="116">
        <v>219.33</v>
      </c>
      <c r="P979" s="116">
        <v>222.7</v>
      </c>
      <c r="Q979" s="116">
        <v>1103.9000000000001</v>
      </c>
      <c r="R979">
        <v>1389</v>
      </c>
    </row>
    <row r="980" spans="1:18" x14ac:dyDescent="0.25">
      <c r="A980" s="170">
        <v>43476</v>
      </c>
      <c r="B980" s="116">
        <v>213.4</v>
      </c>
      <c r="C980" s="116">
        <v>210.25</v>
      </c>
      <c r="D980" s="116">
        <v>209.01999999999998</v>
      </c>
      <c r="E980" s="116">
        <v>213.4</v>
      </c>
      <c r="F980" s="116">
        <v>1051.25</v>
      </c>
      <c r="G980">
        <v>137</v>
      </c>
      <c r="H980" s="116"/>
      <c r="I980" s="116"/>
      <c r="L980" s="170">
        <v>43453</v>
      </c>
      <c r="M980" s="116">
        <v>220.36999999999998</v>
      </c>
      <c r="N980" s="116">
        <v>223.15</v>
      </c>
      <c r="O980" s="116">
        <v>219.33</v>
      </c>
      <c r="P980" s="116">
        <v>221.21999999999997</v>
      </c>
      <c r="Q980" s="116">
        <v>1101.8499999999999</v>
      </c>
      <c r="R980">
        <v>2695</v>
      </c>
    </row>
    <row r="981" spans="1:18" x14ac:dyDescent="0.25">
      <c r="A981" s="170">
        <v>43479</v>
      </c>
      <c r="B981" s="116">
        <v>210.96999999999997</v>
      </c>
      <c r="C981" s="116">
        <v>209.05</v>
      </c>
      <c r="D981" s="116">
        <v>209</v>
      </c>
      <c r="E981" s="116">
        <v>210.25</v>
      </c>
      <c r="F981" s="116">
        <v>1045.25</v>
      </c>
      <c r="G981">
        <v>62</v>
      </c>
      <c r="H981" s="116"/>
      <c r="I981" s="116"/>
      <c r="L981" s="170">
        <v>43454</v>
      </c>
      <c r="M981" s="116">
        <v>221.20999999999998</v>
      </c>
      <c r="N981" s="116">
        <v>222.86999999999998</v>
      </c>
      <c r="O981" s="116">
        <v>219.8</v>
      </c>
      <c r="P981" s="116">
        <v>219.99</v>
      </c>
      <c r="Q981" s="116">
        <v>1106.05</v>
      </c>
      <c r="R981">
        <v>2235</v>
      </c>
    </row>
    <row r="982" spans="1:18" x14ac:dyDescent="0.25">
      <c r="A982" s="170">
        <v>43480</v>
      </c>
      <c r="B982" s="116">
        <v>210.83</v>
      </c>
      <c r="C982" s="116">
        <v>209</v>
      </c>
      <c r="D982" s="116">
        <v>209</v>
      </c>
      <c r="E982" s="116">
        <v>210.83</v>
      </c>
      <c r="F982" s="116">
        <v>1045</v>
      </c>
      <c r="G982">
        <v>389</v>
      </c>
      <c r="H982" s="116"/>
      <c r="I982" s="116"/>
      <c r="L982" s="170">
        <v>43455</v>
      </c>
      <c r="M982" s="116">
        <v>219.05</v>
      </c>
      <c r="N982" s="116">
        <v>223</v>
      </c>
      <c r="O982" s="116">
        <v>219</v>
      </c>
      <c r="P982" s="116">
        <v>221.24</v>
      </c>
      <c r="Q982" s="116">
        <v>1095.25</v>
      </c>
      <c r="R982">
        <v>2095</v>
      </c>
    </row>
    <row r="983" spans="1:18" x14ac:dyDescent="0.25">
      <c r="A983" s="170">
        <v>43481</v>
      </c>
      <c r="B983" s="116">
        <v>210.03000000000003</v>
      </c>
      <c r="C983" s="116">
        <v>210.03000000000003</v>
      </c>
      <c r="D983" s="116">
        <v>210</v>
      </c>
      <c r="E983" s="116">
        <v>210</v>
      </c>
      <c r="F983" s="116">
        <v>1050.1500000000001</v>
      </c>
      <c r="G983">
        <v>59</v>
      </c>
      <c r="H983" s="116"/>
      <c r="I983" s="116"/>
      <c r="L983" s="170">
        <v>43458</v>
      </c>
      <c r="M983" s="116">
        <v>217.20999999999998</v>
      </c>
      <c r="N983" s="116">
        <v>218.29000000000002</v>
      </c>
      <c r="O983" s="116">
        <v>215</v>
      </c>
      <c r="P983" s="116">
        <v>215</v>
      </c>
      <c r="Q983" s="116">
        <v>1086.05</v>
      </c>
      <c r="R983">
        <v>1150</v>
      </c>
    </row>
    <row r="984" spans="1:18" x14ac:dyDescent="0.25">
      <c r="A984" s="170">
        <v>43482</v>
      </c>
      <c r="B984" s="116">
        <v>209.10999999999999</v>
      </c>
      <c r="C984" s="116">
        <v>209</v>
      </c>
      <c r="D984" s="116">
        <v>209</v>
      </c>
      <c r="E984" s="116">
        <v>209.10999999999999</v>
      </c>
      <c r="F984" s="116">
        <v>1045</v>
      </c>
      <c r="G984">
        <v>1509</v>
      </c>
      <c r="H984" s="116"/>
      <c r="I984" s="116"/>
      <c r="L984" s="170">
        <v>43460</v>
      </c>
      <c r="M984" s="116">
        <v>218.32</v>
      </c>
      <c r="N984" s="116">
        <v>221.08</v>
      </c>
      <c r="O984" s="116">
        <v>215.06</v>
      </c>
      <c r="P984" s="116">
        <v>215.59</v>
      </c>
      <c r="Q984" s="116">
        <v>1091.5999999999999</v>
      </c>
      <c r="R984">
        <v>1197</v>
      </c>
    </row>
    <row r="985" spans="1:18" x14ac:dyDescent="0.25">
      <c r="A985" s="170">
        <v>43483</v>
      </c>
      <c r="B985" s="116">
        <v>209.20999999999998</v>
      </c>
      <c r="C985" s="116">
        <v>209.20999999999998</v>
      </c>
      <c r="D985" s="116">
        <v>209</v>
      </c>
      <c r="E985" s="116">
        <v>209.01</v>
      </c>
      <c r="F985" s="116">
        <v>1046.05</v>
      </c>
      <c r="G985">
        <v>88</v>
      </c>
      <c r="H985" s="116"/>
      <c r="I985" s="116"/>
      <c r="L985" s="170">
        <v>43461</v>
      </c>
      <c r="M985" s="116">
        <v>216.60999999999999</v>
      </c>
      <c r="N985" s="116">
        <v>219.6</v>
      </c>
      <c r="O985" s="116">
        <v>214.21999999999997</v>
      </c>
      <c r="P985" s="116">
        <v>219.59</v>
      </c>
      <c r="Q985" s="116">
        <v>1083.05</v>
      </c>
      <c r="R985">
        <v>1540</v>
      </c>
    </row>
    <row r="986" spans="1:18" x14ac:dyDescent="0.25">
      <c r="A986" s="170">
        <v>43486</v>
      </c>
      <c r="B986" s="116">
        <v>224.79000000000002</v>
      </c>
      <c r="C986" s="116">
        <v>219.94</v>
      </c>
      <c r="D986" s="116">
        <v>207.44</v>
      </c>
      <c r="E986" s="116">
        <v>209.60999999999999</v>
      </c>
      <c r="F986" s="116">
        <v>1099.7</v>
      </c>
      <c r="G986">
        <v>2062</v>
      </c>
      <c r="H986" s="116"/>
      <c r="I986" s="116"/>
      <c r="L986" s="170">
        <v>43462</v>
      </c>
      <c r="M986" s="116">
        <v>215.59</v>
      </c>
      <c r="N986" s="116">
        <v>225.26999999999998</v>
      </c>
      <c r="O986" s="116">
        <v>213.05</v>
      </c>
      <c r="P986" s="116">
        <v>225.26999999999998</v>
      </c>
      <c r="Q986" s="116">
        <v>1077.95</v>
      </c>
      <c r="R986">
        <v>1950</v>
      </c>
    </row>
    <row r="987" spans="1:18" x14ac:dyDescent="0.25">
      <c r="A987" s="170">
        <v>43487</v>
      </c>
      <c r="B987" s="116">
        <v>217.94</v>
      </c>
      <c r="C987" s="116">
        <v>216.36999999999998</v>
      </c>
      <c r="D987" s="116">
        <v>213</v>
      </c>
      <c r="E987" s="116">
        <v>217</v>
      </c>
      <c r="F987" s="116">
        <v>1081.8499999999999</v>
      </c>
      <c r="G987">
        <v>109</v>
      </c>
      <c r="H987" s="116"/>
      <c r="I987" s="116"/>
      <c r="L987" s="170">
        <v>43465</v>
      </c>
      <c r="M987" s="116">
        <v>210.85999999999999</v>
      </c>
      <c r="N987" s="116">
        <v>217.55</v>
      </c>
      <c r="O987" s="116">
        <v>209.01999999999998</v>
      </c>
      <c r="P987" s="116">
        <v>216.01</v>
      </c>
      <c r="Q987" s="116">
        <v>1054.3</v>
      </c>
      <c r="R987">
        <v>5728</v>
      </c>
    </row>
    <row r="988" spans="1:18" x14ac:dyDescent="0.25">
      <c r="A988" s="170">
        <v>43488</v>
      </c>
      <c r="B988" s="116">
        <v>217.56</v>
      </c>
      <c r="C988" s="116">
        <v>212.35</v>
      </c>
      <c r="D988" s="116">
        <v>209</v>
      </c>
      <c r="E988" s="116">
        <v>212</v>
      </c>
      <c r="F988" s="116">
        <v>1061.75</v>
      </c>
      <c r="G988">
        <v>95</v>
      </c>
      <c r="H988" s="116"/>
      <c r="I988" s="116"/>
      <c r="L988" s="170">
        <v>43466</v>
      </c>
      <c r="M988" s="116">
        <v>212.24</v>
      </c>
      <c r="N988" s="116">
        <v>216</v>
      </c>
      <c r="O988" s="116">
        <v>209.92</v>
      </c>
      <c r="P988" s="116">
        <v>212.26</v>
      </c>
      <c r="Q988" s="116">
        <v>1061.2</v>
      </c>
      <c r="R988">
        <v>5462</v>
      </c>
    </row>
    <row r="989" spans="1:18" x14ac:dyDescent="0.25">
      <c r="A989" s="170">
        <v>43489</v>
      </c>
      <c r="B989" s="116">
        <v>212.53000000000003</v>
      </c>
      <c r="C989" s="116">
        <v>209</v>
      </c>
      <c r="D989" s="116">
        <v>208.95999999999998</v>
      </c>
      <c r="E989" s="116">
        <v>209.01</v>
      </c>
      <c r="F989" s="116">
        <v>1045</v>
      </c>
      <c r="G989">
        <v>656</v>
      </c>
      <c r="H989" s="116"/>
      <c r="I989" s="116"/>
      <c r="L989" s="170">
        <v>43467</v>
      </c>
      <c r="M989" s="116">
        <v>210.18</v>
      </c>
      <c r="N989" s="116">
        <v>214.6</v>
      </c>
      <c r="O989" s="116">
        <v>209.99</v>
      </c>
      <c r="P989" s="116">
        <v>213.66</v>
      </c>
      <c r="Q989" s="116">
        <v>1050.9000000000001</v>
      </c>
      <c r="R989">
        <v>1854</v>
      </c>
    </row>
    <row r="990" spans="1:18" x14ac:dyDescent="0.25">
      <c r="A990" s="170">
        <v>43490</v>
      </c>
      <c r="B990" s="116">
        <v>211.58</v>
      </c>
      <c r="C990" s="116">
        <v>209.98000000000002</v>
      </c>
      <c r="D990" s="116">
        <v>209</v>
      </c>
      <c r="E990" s="116">
        <v>209.01</v>
      </c>
      <c r="F990" s="116">
        <v>1049.9000000000001</v>
      </c>
      <c r="G990">
        <v>169</v>
      </c>
      <c r="H990" s="116"/>
      <c r="I990" s="116"/>
      <c r="L990" s="170">
        <v>43468</v>
      </c>
      <c r="M990" s="116">
        <v>211.81</v>
      </c>
      <c r="N990" s="116">
        <v>213.83</v>
      </c>
      <c r="O990" s="116">
        <v>210.2</v>
      </c>
      <c r="P990" s="116">
        <v>211.96999999999997</v>
      </c>
      <c r="Q990" s="116">
        <v>1059.05</v>
      </c>
      <c r="R990">
        <v>2203</v>
      </c>
    </row>
    <row r="991" spans="1:18" x14ac:dyDescent="0.25">
      <c r="A991" s="170">
        <v>43493</v>
      </c>
      <c r="B991" s="116">
        <v>209.2</v>
      </c>
      <c r="C991" s="116">
        <v>208.89000000000001</v>
      </c>
      <c r="D991" s="116">
        <v>206.6</v>
      </c>
      <c r="E991" s="116">
        <v>208.01</v>
      </c>
      <c r="F991" s="116">
        <v>1044.45</v>
      </c>
      <c r="G991">
        <v>725</v>
      </c>
      <c r="H991" s="116"/>
      <c r="I991" s="116"/>
      <c r="L991" s="170">
        <v>43469</v>
      </c>
      <c r="M991" s="116">
        <v>209.03000000000003</v>
      </c>
      <c r="N991" s="116">
        <v>212</v>
      </c>
      <c r="O991" s="116">
        <v>208.6</v>
      </c>
      <c r="P991" s="116">
        <v>211.14000000000001</v>
      </c>
      <c r="Q991" s="116">
        <v>1045.1500000000001</v>
      </c>
      <c r="R991">
        <v>8529</v>
      </c>
    </row>
    <row r="992" spans="1:18" x14ac:dyDescent="0.25">
      <c r="A992" s="170">
        <v>43494</v>
      </c>
      <c r="B992" s="116">
        <v>207.2</v>
      </c>
      <c r="C992" s="116">
        <v>201.04000000000002</v>
      </c>
      <c r="D992" s="116">
        <v>199.05</v>
      </c>
      <c r="E992" s="116">
        <v>206</v>
      </c>
      <c r="F992" s="116">
        <v>1005.2</v>
      </c>
      <c r="G992">
        <v>529</v>
      </c>
      <c r="H992" s="116"/>
      <c r="I992" s="116"/>
      <c r="L992" s="170">
        <v>43472</v>
      </c>
      <c r="M992" s="116">
        <v>209.06</v>
      </c>
      <c r="N992" s="116">
        <v>211.8</v>
      </c>
      <c r="O992" s="116">
        <v>209</v>
      </c>
      <c r="P992" s="116">
        <v>210.09</v>
      </c>
      <c r="Q992" s="116">
        <v>1045.3</v>
      </c>
      <c r="R992">
        <v>820</v>
      </c>
    </row>
    <row r="993" spans="1:18" x14ac:dyDescent="0.25">
      <c r="A993" s="170">
        <v>43495</v>
      </c>
      <c r="B993" s="116">
        <v>204.5</v>
      </c>
      <c r="C993" s="116">
        <v>201.62</v>
      </c>
      <c r="D993" s="116">
        <v>196.8</v>
      </c>
      <c r="E993" s="116">
        <v>201</v>
      </c>
      <c r="F993" s="116">
        <v>1008.1</v>
      </c>
      <c r="G993">
        <v>517</v>
      </c>
      <c r="H993" s="116"/>
      <c r="I993" s="116"/>
      <c r="L993" s="170">
        <v>43473</v>
      </c>
      <c r="M993" s="116">
        <v>213.21999999999997</v>
      </c>
      <c r="N993" s="116">
        <v>216</v>
      </c>
      <c r="O993" s="116">
        <v>210.01999999999998</v>
      </c>
      <c r="P993" s="116">
        <v>213</v>
      </c>
      <c r="Q993" s="116">
        <v>1066.0999999999999</v>
      </c>
      <c r="R993">
        <v>5427</v>
      </c>
    </row>
    <row r="994" spans="1:18" x14ac:dyDescent="0.25">
      <c r="A994" s="170">
        <v>43496</v>
      </c>
      <c r="B994" s="116">
        <v>208</v>
      </c>
      <c r="C994" s="116">
        <v>205.08</v>
      </c>
      <c r="D994" s="116">
        <v>199.02</v>
      </c>
      <c r="E994" s="116">
        <v>201.6</v>
      </c>
      <c r="F994" s="116">
        <v>1025.4000000000001</v>
      </c>
      <c r="G994">
        <v>1573</v>
      </c>
      <c r="H994" s="116"/>
      <c r="I994" s="116"/>
      <c r="L994" s="170">
        <v>43474</v>
      </c>
      <c r="M994" s="116">
        <v>210.73000000000002</v>
      </c>
      <c r="N994" s="116">
        <v>214.01</v>
      </c>
      <c r="O994" s="116">
        <v>209.6</v>
      </c>
      <c r="P994" s="116">
        <v>214.01</v>
      </c>
      <c r="Q994" s="116">
        <v>1053.6500000000001</v>
      </c>
      <c r="R994">
        <v>2324</v>
      </c>
    </row>
    <row r="995" spans="1:18" x14ac:dyDescent="0.25">
      <c r="A995" s="170">
        <v>43497</v>
      </c>
      <c r="B995" s="116">
        <v>208</v>
      </c>
      <c r="C995" s="116">
        <v>203.85999999999999</v>
      </c>
      <c r="D995" s="116">
        <v>201.14000000000001</v>
      </c>
      <c r="E995" s="116">
        <v>206</v>
      </c>
      <c r="F995" s="116">
        <v>1019.3</v>
      </c>
      <c r="G995">
        <v>106</v>
      </c>
      <c r="H995" s="116"/>
      <c r="I995" s="116"/>
      <c r="L995" s="170">
        <v>43475</v>
      </c>
      <c r="M995" s="116">
        <v>214.17</v>
      </c>
      <c r="N995" s="116">
        <v>216.8</v>
      </c>
      <c r="O995" s="116">
        <v>209.51</v>
      </c>
      <c r="P995" s="116">
        <v>212.15</v>
      </c>
      <c r="Q995" s="116">
        <v>1070.8499999999999</v>
      </c>
      <c r="R995">
        <v>3547</v>
      </c>
    </row>
    <row r="996" spans="1:18" x14ac:dyDescent="0.25">
      <c r="A996" s="170">
        <v>43500</v>
      </c>
      <c r="B996" s="116">
        <v>204.77</v>
      </c>
      <c r="C996" s="116">
        <v>199.39000000000001</v>
      </c>
      <c r="D996" s="116">
        <v>196.22</v>
      </c>
      <c r="E996" s="116">
        <v>203.6</v>
      </c>
      <c r="F996" s="116">
        <v>996.95</v>
      </c>
      <c r="G996">
        <v>528</v>
      </c>
      <c r="H996" s="116"/>
      <c r="I996" s="116"/>
      <c r="L996" s="170">
        <v>43476</v>
      </c>
      <c r="M996" s="116">
        <v>212.09</v>
      </c>
      <c r="N996" s="116">
        <v>219.79000000000002</v>
      </c>
      <c r="O996" s="116">
        <v>210.26</v>
      </c>
      <c r="P996" s="116">
        <v>219.79000000000002</v>
      </c>
      <c r="Q996" s="116">
        <v>1060.45</v>
      </c>
      <c r="R996">
        <v>3301</v>
      </c>
    </row>
    <row r="997" spans="1:18" x14ac:dyDescent="0.25">
      <c r="A997" s="170">
        <v>43501</v>
      </c>
      <c r="B997" s="116">
        <v>208.21999999999997</v>
      </c>
      <c r="C997" s="116">
        <v>193.57</v>
      </c>
      <c r="D997" s="116">
        <v>190.4</v>
      </c>
      <c r="E997" s="116">
        <v>205.21999999999997</v>
      </c>
      <c r="F997" s="116">
        <v>967.85</v>
      </c>
      <c r="G997">
        <v>2069</v>
      </c>
      <c r="H997" s="116"/>
      <c r="I997" s="116"/>
      <c r="L997" s="170">
        <v>43479</v>
      </c>
      <c r="M997" s="116">
        <v>209.15</v>
      </c>
      <c r="N997" s="116">
        <v>212.32</v>
      </c>
      <c r="O997" s="116">
        <v>209</v>
      </c>
      <c r="P997" s="116">
        <v>212.32</v>
      </c>
      <c r="Q997" s="116">
        <v>1045.75</v>
      </c>
      <c r="R997">
        <v>1428</v>
      </c>
    </row>
    <row r="998" spans="1:18" x14ac:dyDescent="0.25">
      <c r="A998" s="170">
        <v>43502</v>
      </c>
      <c r="B998" s="116">
        <v>193.05</v>
      </c>
      <c r="C998" s="116">
        <v>188.55</v>
      </c>
      <c r="D998" s="116">
        <v>188.4</v>
      </c>
      <c r="E998" s="116">
        <v>192.23</v>
      </c>
      <c r="F998" s="116">
        <v>942.75</v>
      </c>
      <c r="G998">
        <v>160</v>
      </c>
      <c r="H998" s="116"/>
      <c r="I998" s="116"/>
      <c r="L998" s="170">
        <v>43480</v>
      </c>
      <c r="M998" s="116">
        <v>209.70999999999998</v>
      </c>
      <c r="N998" s="116">
        <v>212.99</v>
      </c>
      <c r="O998" s="116">
        <v>205</v>
      </c>
      <c r="P998" s="116">
        <v>205</v>
      </c>
      <c r="Q998" s="116">
        <v>1048.55</v>
      </c>
      <c r="R998">
        <v>862</v>
      </c>
    </row>
    <row r="999" spans="1:18" x14ac:dyDescent="0.25">
      <c r="A999" s="170">
        <v>43503</v>
      </c>
      <c r="B999" s="116">
        <v>190.6</v>
      </c>
      <c r="C999" s="116">
        <v>190.6</v>
      </c>
      <c r="D999" s="116">
        <v>190.6</v>
      </c>
      <c r="E999" s="116">
        <v>190.6</v>
      </c>
      <c r="F999" s="116">
        <v>953</v>
      </c>
      <c r="G999">
        <v>19</v>
      </c>
      <c r="H999" s="116"/>
      <c r="I999" s="116"/>
      <c r="L999" s="170">
        <v>43481</v>
      </c>
      <c r="M999" s="116">
        <v>210.98000000000002</v>
      </c>
      <c r="N999" s="116">
        <v>212</v>
      </c>
      <c r="O999" s="116">
        <v>209.25</v>
      </c>
      <c r="P999" s="116">
        <v>209.99</v>
      </c>
      <c r="Q999" s="116">
        <v>1054.9000000000001</v>
      </c>
      <c r="R999">
        <v>3030</v>
      </c>
    </row>
    <row r="1000" spans="1:18" x14ac:dyDescent="0.25">
      <c r="A1000" s="170">
        <v>43504</v>
      </c>
      <c r="B1000" s="116">
        <v>195.8</v>
      </c>
      <c r="C1000" s="116">
        <v>192.4</v>
      </c>
      <c r="D1000" s="116">
        <v>192</v>
      </c>
      <c r="E1000" s="116">
        <v>195.2</v>
      </c>
      <c r="F1000" s="116">
        <v>962</v>
      </c>
      <c r="G1000">
        <v>317</v>
      </c>
      <c r="H1000" s="116"/>
      <c r="I1000" s="116"/>
      <c r="L1000" s="170">
        <v>43482</v>
      </c>
      <c r="M1000" s="116">
        <v>209.07</v>
      </c>
      <c r="N1000" s="116">
        <v>211.9</v>
      </c>
      <c r="O1000" s="116">
        <v>208.9</v>
      </c>
      <c r="P1000" s="116">
        <v>209.18</v>
      </c>
      <c r="Q1000" s="116">
        <v>1045.3499999999999</v>
      </c>
      <c r="R1000">
        <v>3752</v>
      </c>
    </row>
    <row r="1001" spans="1:18" x14ac:dyDescent="0.25">
      <c r="A1001" s="170">
        <v>43507</v>
      </c>
      <c r="B1001" s="116">
        <v>201.99</v>
      </c>
      <c r="C1001" s="116">
        <v>196.47</v>
      </c>
      <c r="D1001" s="116">
        <v>190.23</v>
      </c>
      <c r="E1001" s="116">
        <v>200</v>
      </c>
      <c r="F1001" s="116">
        <v>982.35</v>
      </c>
      <c r="G1001">
        <v>385</v>
      </c>
      <c r="H1001" s="116"/>
      <c r="I1001" s="116"/>
      <c r="L1001" s="170">
        <v>43483</v>
      </c>
      <c r="M1001" s="116">
        <v>210.35</v>
      </c>
      <c r="N1001" s="116">
        <v>211.94</v>
      </c>
      <c r="O1001" s="116">
        <v>208.8</v>
      </c>
      <c r="P1001" s="116">
        <v>209.45999999999998</v>
      </c>
      <c r="Q1001" s="116">
        <v>1051.75</v>
      </c>
      <c r="R1001">
        <v>3700</v>
      </c>
    </row>
    <row r="1002" spans="1:18" x14ac:dyDescent="0.25">
      <c r="A1002" s="170">
        <v>43508</v>
      </c>
      <c r="B1002" s="116">
        <v>196</v>
      </c>
      <c r="C1002" s="116">
        <v>190.70999999999998</v>
      </c>
      <c r="D1002" s="116">
        <v>190</v>
      </c>
      <c r="E1002" s="116">
        <v>195.85</v>
      </c>
      <c r="F1002" s="116">
        <v>953.55</v>
      </c>
      <c r="G1002">
        <v>169</v>
      </c>
      <c r="H1002" s="116"/>
      <c r="I1002" s="116"/>
      <c r="L1002" s="170">
        <v>43486</v>
      </c>
      <c r="M1002" s="116">
        <v>218.88000000000002</v>
      </c>
      <c r="N1002" s="116">
        <v>224.39000000000001</v>
      </c>
      <c r="O1002" s="116">
        <v>210.01</v>
      </c>
      <c r="P1002" s="116">
        <v>212.4</v>
      </c>
      <c r="Q1002" s="116">
        <v>1094.4000000000001</v>
      </c>
      <c r="R1002">
        <v>23644</v>
      </c>
    </row>
    <row r="1003" spans="1:18" x14ac:dyDescent="0.25">
      <c r="A1003" s="170">
        <v>43509</v>
      </c>
      <c r="B1003" s="116">
        <v>191.70999999999998</v>
      </c>
      <c r="C1003" s="116">
        <v>183.92000000000002</v>
      </c>
      <c r="D1003" s="116">
        <v>183</v>
      </c>
      <c r="E1003" s="116">
        <v>191.70999999999998</v>
      </c>
      <c r="F1003" s="116">
        <v>919.6</v>
      </c>
      <c r="G1003">
        <v>238</v>
      </c>
      <c r="H1003" s="116"/>
      <c r="I1003" s="116"/>
      <c r="L1003" s="170">
        <v>43487</v>
      </c>
      <c r="M1003" s="116">
        <v>213.6</v>
      </c>
      <c r="N1003" s="116">
        <v>228.4</v>
      </c>
      <c r="O1003" s="116">
        <v>212.58</v>
      </c>
      <c r="P1003" s="116">
        <v>217.6</v>
      </c>
      <c r="Q1003" s="116">
        <v>1068</v>
      </c>
      <c r="R1003">
        <v>2346</v>
      </c>
    </row>
    <row r="1004" spans="1:18" x14ac:dyDescent="0.25">
      <c r="A1004" s="170">
        <v>43510</v>
      </c>
      <c r="B1004" s="116">
        <v>186.79000000000002</v>
      </c>
      <c r="C1004" s="116">
        <v>181.69</v>
      </c>
      <c r="D1004" s="116">
        <v>178.01</v>
      </c>
      <c r="E1004" s="116">
        <v>182.8</v>
      </c>
      <c r="F1004" s="116">
        <v>908.45</v>
      </c>
      <c r="G1004">
        <v>957</v>
      </c>
      <c r="H1004" s="116"/>
      <c r="I1004" s="116"/>
      <c r="L1004" s="170">
        <v>43488</v>
      </c>
      <c r="M1004" s="116">
        <v>212.31</v>
      </c>
      <c r="N1004" s="116">
        <v>213.98000000000002</v>
      </c>
      <c r="O1004" s="116">
        <v>210.8</v>
      </c>
      <c r="P1004" s="116">
        <v>211.67</v>
      </c>
      <c r="Q1004" s="116">
        <v>1061.55</v>
      </c>
      <c r="R1004">
        <v>1113</v>
      </c>
    </row>
    <row r="1005" spans="1:18" x14ac:dyDescent="0.25">
      <c r="A1005" s="170">
        <v>43511</v>
      </c>
      <c r="B1005" s="116">
        <v>180.95999999999998</v>
      </c>
      <c r="C1005" s="116">
        <v>170.06</v>
      </c>
      <c r="D1005" s="116">
        <v>169.4</v>
      </c>
      <c r="E1005" s="116">
        <v>180.95999999999998</v>
      </c>
      <c r="F1005" s="116">
        <v>850.3</v>
      </c>
      <c r="G1005">
        <v>2891</v>
      </c>
      <c r="H1005" s="116"/>
      <c r="I1005" s="116"/>
      <c r="L1005" s="170">
        <v>43489</v>
      </c>
      <c r="M1005" s="116">
        <v>209.07</v>
      </c>
      <c r="N1005" s="116">
        <v>217.79000000000002</v>
      </c>
      <c r="O1005" s="116">
        <v>208.95</v>
      </c>
      <c r="P1005" s="116">
        <v>210.2</v>
      </c>
      <c r="Q1005" s="116">
        <v>1045.3499999999999</v>
      </c>
      <c r="R1005">
        <v>4138</v>
      </c>
    </row>
    <row r="1006" spans="1:18" x14ac:dyDescent="0.25">
      <c r="A1006" s="170">
        <v>43514</v>
      </c>
      <c r="B1006" s="116">
        <v>170.19</v>
      </c>
      <c r="C1006" s="116">
        <v>167</v>
      </c>
      <c r="D1006" s="116">
        <v>164.38</v>
      </c>
      <c r="E1006" s="116">
        <v>170.01</v>
      </c>
      <c r="F1006" s="116">
        <v>835</v>
      </c>
      <c r="G1006">
        <v>1168</v>
      </c>
      <c r="H1006" s="116"/>
      <c r="I1006" s="116"/>
      <c r="L1006" s="170">
        <v>43490</v>
      </c>
      <c r="M1006" s="116">
        <v>209.25</v>
      </c>
      <c r="N1006" s="116">
        <v>210</v>
      </c>
      <c r="O1006" s="116">
        <v>208.8</v>
      </c>
      <c r="P1006" s="116">
        <v>210</v>
      </c>
      <c r="Q1006" s="116">
        <v>1046.25</v>
      </c>
      <c r="R1006">
        <v>5965</v>
      </c>
    </row>
    <row r="1007" spans="1:18" x14ac:dyDescent="0.25">
      <c r="A1007" s="170">
        <v>43515</v>
      </c>
      <c r="B1007" s="116">
        <v>172</v>
      </c>
      <c r="C1007" s="116">
        <v>172</v>
      </c>
      <c r="D1007" s="116">
        <v>170</v>
      </c>
      <c r="E1007" s="116">
        <v>170</v>
      </c>
      <c r="F1007" s="116">
        <v>860</v>
      </c>
      <c r="G1007">
        <v>30</v>
      </c>
      <c r="H1007" s="116"/>
      <c r="I1007" s="116"/>
      <c r="L1007" s="170">
        <v>43493</v>
      </c>
      <c r="M1007" s="116">
        <v>208.88000000000002</v>
      </c>
      <c r="N1007" s="116">
        <v>211.10999999999999</v>
      </c>
      <c r="O1007" s="116">
        <v>208</v>
      </c>
      <c r="P1007" s="116">
        <v>209.2</v>
      </c>
      <c r="Q1007" s="116">
        <v>1044.4000000000001</v>
      </c>
      <c r="R1007">
        <v>4906</v>
      </c>
    </row>
    <row r="1008" spans="1:18" x14ac:dyDescent="0.25">
      <c r="A1008" s="170">
        <v>43516</v>
      </c>
      <c r="B1008" s="116">
        <v>176.37</v>
      </c>
      <c r="C1008" s="116">
        <v>173.43</v>
      </c>
      <c r="D1008" s="116">
        <v>170.2</v>
      </c>
      <c r="E1008" s="116">
        <v>175.82999999999998</v>
      </c>
      <c r="F1008" s="116">
        <v>867.15</v>
      </c>
      <c r="G1008">
        <v>647</v>
      </c>
      <c r="H1008" s="116"/>
      <c r="I1008" s="116"/>
      <c r="L1008" s="170">
        <v>43494</v>
      </c>
      <c r="M1008" s="116">
        <v>200.53</v>
      </c>
      <c r="N1008" s="116">
        <v>208.89000000000001</v>
      </c>
      <c r="O1008" s="116">
        <v>200.02</v>
      </c>
      <c r="P1008" s="116">
        <v>208.86999999999998</v>
      </c>
      <c r="Q1008" s="116">
        <v>1002.65</v>
      </c>
      <c r="R1008">
        <v>2822</v>
      </c>
    </row>
    <row r="1009" spans="1:18" x14ac:dyDescent="0.25">
      <c r="A1009" s="170">
        <v>43517</v>
      </c>
      <c r="B1009" s="116">
        <v>175.10999999999999</v>
      </c>
      <c r="C1009" s="116">
        <v>175.10999999999999</v>
      </c>
      <c r="D1009" s="116">
        <v>172</v>
      </c>
      <c r="E1009" s="116">
        <v>172.01</v>
      </c>
      <c r="F1009" s="116">
        <v>875.55</v>
      </c>
      <c r="G1009">
        <v>27</v>
      </c>
      <c r="H1009" s="116"/>
      <c r="I1009" s="116"/>
      <c r="L1009" s="170">
        <v>43495</v>
      </c>
      <c r="M1009" s="116">
        <v>198.75</v>
      </c>
      <c r="N1009" s="116">
        <v>202.26</v>
      </c>
      <c r="O1009" s="116">
        <v>195.60999999999999</v>
      </c>
      <c r="P1009" s="116">
        <v>200.52</v>
      </c>
      <c r="Q1009" s="116">
        <v>993.75</v>
      </c>
      <c r="R1009">
        <v>3510</v>
      </c>
    </row>
    <row r="1010" spans="1:18" x14ac:dyDescent="0.25">
      <c r="A1010" s="170">
        <v>43518</v>
      </c>
      <c r="B1010" s="116">
        <v>181.4</v>
      </c>
      <c r="C1010" s="116">
        <v>179.42000000000002</v>
      </c>
      <c r="D1010" s="116">
        <v>174.81</v>
      </c>
      <c r="E1010" s="116">
        <v>176</v>
      </c>
      <c r="F1010" s="116">
        <v>897.1</v>
      </c>
      <c r="G1010">
        <v>338</v>
      </c>
      <c r="H1010" s="116"/>
      <c r="I1010" s="116"/>
      <c r="L1010" s="170">
        <v>43496</v>
      </c>
      <c r="M1010" s="116">
        <v>206.35</v>
      </c>
      <c r="N1010" s="116">
        <v>208.76999999999998</v>
      </c>
      <c r="O1010" s="116">
        <v>201.51</v>
      </c>
      <c r="P1010" s="116">
        <v>202.2</v>
      </c>
      <c r="Q1010" s="116">
        <v>1031.75</v>
      </c>
      <c r="R1010">
        <v>3935</v>
      </c>
    </row>
    <row r="1011" spans="1:18" x14ac:dyDescent="0.25">
      <c r="A1011" s="170">
        <v>43521</v>
      </c>
      <c r="B1011" s="116">
        <v>182.3</v>
      </c>
      <c r="C1011" s="116">
        <v>179.6</v>
      </c>
      <c r="D1011" s="116">
        <v>178.2</v>
      </c>
      <c r="E1011" s="116">
        <v>180.2</v>
      </c>
      <c r="F1011" s="116">
        <v>898</v>
      </c>
      <c r="G1011">
        <v>94</v>
      </c>
      <c r="H1011" s="116"/>
      <c r="I1011" s="116"/>
      <c r="L1011" s="170">
        <v>43497</v>
      </c>
      <c r="M1011" s="116">
        <v>205.53000000000003</v>
      </c>
      <c r="N1011" s="116">
        <v>208.18</v>
      </c>
      <c r="O1011" s="116">
        <v>204.02</v>
      </c>
      <c r="P1011" s="116">
        <v>205.99</v>
      </c>
      <c r="Q1011" s="116">
        <v>1027.6500000000001</v>
      </c>
      <c r="R1011">
        <v>1608</v>
      </c>
    </row>
    <row r="1012" spans="1:18" x14ac:dyDescent="0.25">
      <c r="A1012" s="170">
        <v>43522</v>
      </c>
      <c r="B1012" s="116">
        <v>177.2</v>
      </c>
      <c r="C1012" s="116">
        <v>176.1</v>
      </c>
      <c r="D1012" s="116">
        <v>176.01</v>
      </c>
      <c r="E1012" s="116">
        <v>177.2</v>
      </c>
      <c r="F1012" s="116">
        <v>880.5</v>
      </c>
      <c r="G1012">
        <v>104</v>
      </c>
      <c r="H1012" s="116"/>
      <c r="I1012" s="116"/>
      <c r="L1012" s="170">
        <v>43500</v>
      </c>
      <c r="M1012" s="116">
        <v>201.44</v>
      </c>
      <c r="N1012" s="116">
        <v>207.89000000000001</v>
      </c>
      <c r="O1012" s="116">
        <v>199.6</v>
      </c>
      <c r="P1012" s="116">
        <v>205.53000000000003</v>
      </c>
      <c r="Q1012" s="116">
        <v>1007.2</v>
      </c>
      <c r="R1012">
        <v>1133</v>
      </c>
    </row>
    <row r="1013" spans="1:18" x14ac:dyDescent="0.25">
      <c r="A1013" s="170">
        <v>43523</v>
      </c>
      <c r="B1013" s="116">
        <v>176.22</v>
      </c>
      <c r="C1013" s="116">
        <v>174.2</v>
      </c>
      <c r="D1013" s="116">
        <v>174.2</v>
      </c>
      <c r="E1013" s="116">
        <v>176.22</v>
      </c>
      <c r="F1013" s="116">
        <v>871</v>
      </c>
      <c r="G1013">
        <v>72</v>
      </c>
      <c r="H1013" s="116"/>
      <c r="I1013" s="116"/>
      <c r="L1013" s="170">
        <v>43501</v>
      </c>
      <c r="M1013" s="116">
        <v>194.82</v>
      </c>
      <c r="N1013" s="116">
        <v>202.69</v>
      </c>
      <c r="O1013" s="116">
        <v>192.45</v>
      </c>
      <c r="P1013" s="116">
        <v>201</v>
      </c>
      <c r="Q1013" s="116">
        <v>974.1</v>
      </c>
      <c r="R1013">
        <v>6293</v>
      </c>
    </row>
    <row r="1014" spans="1:18" x14ac:dyDescent="0.25">
      <c r="A1014" s="170">
        <v>43524</v>
      </c>
      <c r="B1014" s="116">
        <v>175.45999999999998</v>
      </c>
      <c r="C1014" s="116">
        <v>174.04000000000002</v>
      </c>
      <c r="D1014" s="116">
        <v>173.2</v>
      </c>
      <c r="E1014" s="116">
        <v>175</v>
      </c>
      <c r="F1014" s="116">
        <v>870.2</v>
      </c>
      <c r="G1014">
        <v>262</v>
      </c>
      <c r="H1014" s="116"/>
      <c r="I1014" s="116"/>
      <c r="L1014" s="170">
        <v>43502</v>
      </c>
      <c r="M1014" s="116">
        <v>191.45999999999998</v>
      </c>
      <c r="N1014" s="116">
        <v>197.59</v>
      </c>
      <c r="O1014" s="116">
        <v>189.41</v>
      </c>
      <c r="P1014" s="116">
        <v>197.59</v>
      </c>
      <c r="Q1014" s="116">
        <v>957.3</v>
      </c>
      <c r="R1014">
        <v>2589</v>
      </c>
    </row>
    <row r="1015" spans="1:18" x14ac:dyDescent="0.25">
      <c r="A1015" s="170">
        <v>43525</v>
      </c>
      <c r="B1015" s="116">
        <v>187.70999999999998</v>
      </c>
      <c r="C1015" s="116">
        <v>185.5</v>
      </c>
      <c r="D1015" s="116">
        <v>179.4</v>
      </c>
      <c r="E1015" s="116">
        <v>179.7</v>
      </c>
      <c r="F1015" s="116">
        <v>927.5</v>
      </c>
      <c r="G1015">
        <v>169</v>
      </c>
      <c r="H1015" s="116"/>
      <c r="I1015" s="116"/>
      <c r="L1015" s="170">
        <v>43503</v>
      </c>
      <c r="M1015" s="116">
        <v>196.28</v>
      </c>
      <c r="N1015" s="116">
        <v>197.4</v>
      </c>
      <c r="O1015" s="116">
        <v>193.98</v>
      </c>
      <c r="P1015" s="116">
        <v>197.4</v>
      </c>
      <c r="Q1015" s="116">
        <v>981.4</v>
      </c>
      <c r="R1015">
        <v>1885</v>
      </c>
    </row>
    <row r="1016" spans="1:18" x14ac:dyDescent="0.25">
      <c r="A1016" s="170">
        <v>43529</v>
      </c>
      <c r="B1016" s="116">
        <v>197.8</v>
      </c>
      <c r="C1016" s="116">
        <v>195.9</v>
      </c>
      <c r="D1016" s="116">
        <v>189.8</v>
      </c>
      <c r="E1016" s="116">
        <v>189.8</v>
      </c>
      <c r="F1016" s="116">
        <v>979.5</v>
      </c>
      <c r="G1016">
        <v>215</v>
      </c>
      <c r="H1016" s="116"/>
      <c r="I1016" s="116"/>
      <c r="L1016" s="170">
        <v>43504</v>
      </c>
      <c r="M1016" s="116">
        <v>195.13</v>
      </c>
      <c r="N1016" s="116">
        <v>198</v>
      </c>
      <c r="O1016" s="116">
        <v>193</v>
      </c>
      <c r="P1016" s="116">
        <v>197.41</v>
      </c>
      <c r="Q1016" s="116">
        <v>975.65</v>
      </c>
      <c r="R1016">
        <v>2647</v>
      </c>
    </row>
    <row r="1017" spans="1:18" x14ac:dyDescent="0.25">
      <c r="A1017" s="170">
        <v>43530</v>
      </c>
      <c r="B1017" s="116">
        <v>199.01</v>
      </c>
      <c r="C1017" s="116">
        <v>191.65</v>
      </c>
      <c r="D1017" s="116">
        <v>190.8</v>
      </c>
      <c r="E1017" s="116">
        <v>199</v>
      </c>
      <c r="F1017" s="116">
        <v>958.25</v>
      </c>
      <c r="G1017">
        <v>288</v>
      </c>
      <c r="H1017" s="116"/>
      <c r="I1017" s="116"/>
      <c r="L1017" s="170">
        <v>43507</v>
      </c>
      <c r="M1017" s="116">
        <v>195.06</v>
      </c>
      <c r="N1017" s="116">
        <v>204</v>
      </c>
      <c r="O1017" s="116">
        <v>190.2</v>
      </c>
      <c r="P1017" s="116">
        <v>200</v>
      </c>
      <c r="Q1017" s="116">
        <v>975.3</v>
      </c>
      <c r="R1017">
        <v>8062</v>
      </c>
    </row>
    <row r="1018" spans="1:18" x14ac:dyDescent="0.25">
      <c r="A1018" s="170">
        <v>43531</v>
      </c>
      <c r="B1018" s="116">
        <v>191.56</v>
      </c>
      <c r="C1018" s="116">
        <v>190.84</v>
      </c>
      <c r="D1018" s="116">
        <v>188.6</v>
      </c>
      <c r="E1018" s="116">
        <v>191.01</v>
      </c>
      <c r="F1018" s="116">
        <v>954.2</v>
      </c>
      <c r="G1018">
        <v>47</v>
      </c>
      <c r="H1018" s="116"/>
      <c r="I1018" s="116"/>
      <c r="L1018" s="170">
        <v>43508</v>
      </c>
      <c r="M1018" s="116">
        <v>190.18</v>
      </c>
      <c r="N1018" s="116">
        <v>196.49</v>
      </c>
      <c r="O1018" s="116">
        <v>190.02</v>
      </c>
      <c r="P1018" s="116">
        <v>195</v>
      </c>
      <c r="Q1018" s="116">
        <v>950.9</v>
      </c>
      <c r="R1018">
        <v>4649</v>
      </c>
    </row>
    <row r="1019" spans="1:18" x14ac:dyDescent="0.25">
      <c r="A1019" s="170">
        <v>43532</v>
      </c>
      <c r="B1019" s="116">
        <v>191.04000000000002</v>
      </c>
      <c r="C1019" s="116">
        <v>188.32</v>
      </c>
      <c r="D1019" s="116">
        <v>186.4</v>
      </c>
      <c r="E1019" s="116">
        <v>190.82</v>
      </c>
      <c r="F1019" s="116">
        <v>941.6</v>
      </c>
      <c r="G1019">
        <v>47</v>
      </c>
      <c r="H1019" s="116"/>
      <c r="I1019" s="116"/>
      <c r="L1019" s="170">
        <v>43509</v>
      </c>
      <c r="M1019" s="116">
        <v>186.13</v>
      </c>
      <c r="N1019" s="116">
        <v>193.48</v>
      </c>
      <c r="O1019" s="116">
        <v>185.02</v>
      </c>
      <c r="P1019" s="116">
        <v>193.02</v>
      </c>
      <c r="Q1019" s="116">
        <v>930.65</v>
      </c>
      <c r="R1019">
        <v>1753</v>
      </c>
    </row>
    <row r="1020" spans="1:18" x14ac:dyDescent="0.25">
      <c r="A1020" s="170">
        <v>43535</v>
      </c>
      <c r="B1020" s="116">
        <v>196.39000000000001</v>
      </c>
      <c r="C1020" s="116">
        <v>192</v>
      </c>
      <c r="D1020" s="116">
        <v>191</v>
      </c>
      <c r="E1020" s="116">
        <v>196.39000000000001</v>
      </c>
      <c r="F1020" s="116">
        <v>960</v>
      </c>
      <c r="G1020">
        <v>11</v>
      </c>
      <c r="H1020" s="116"/>
      <c r="I1020" s="116"/>
      <c r="L1020" s="170">
        <v>43510</v>
      </c>
      <c r="M1020" s="116">
        <v>179.48</v>
      </c>
      <c r="N1020" s="116">
        <v>187</v>
      </c>
      <c r="O1020" s="116">
        <v>177.20999999999998</v>
      </c>
      <c r="P1020" s="116">
        <v>187</v>
      </c>
      <c r="Q1020" s="116">
        <v>897.4</v>
      </c>
      <c r="R1020">
        <v>5230</v>
      </c>
    </row>
    <row r="1021" spans="1:18" x14ac:dyDescent="0.25">
      <c r="A1021" s="170">
        <v>43536</v>
      </c>
      <c r="B1021" s="116">
        <v>203</v>
      </c>
      <c r="C1021" s="116">
        <v>197.19</v>
      </c>
      <c r="D1021" s="116">
        <v>196</v>
      </c>
      <c r="E1021" s="116">
        <v>202.59</v>
      </c>
      <c r="F1021" s="116">
        <v>985.95</v>
      </c>
      <c r="G1021">
        <v>185</v>
      </c>
      <c r="H1021" s="116"/>
      <c r="I1021" s="116"/>
      <c r="L1021" s="170">
        <v>43511</v>
      </c>
      <c r="M1021" s="116">
        <v>170.48</v>
      </c>
      <c r="N1021" s="116">
        <v>180.2</v>
      </c>
      <c r="O1021" s="116">
        <v>167</v>
      </c>
      <c r="P1021" s="116">
        <v>180.2</v>
      </c>
      <c r="Q1021" s="116">
        <v>852.4</v>
      </c>
      <c r="R1021">
        <v>5458</v>
      </c>
    </row>
    <row r="1022" spans="1:18" x14ac:dyDescent="0.25">
      <c r="A1022" s="170">
        <v>43537</v>
      </c>
      <c r="B1022" s="116">
        <v>199.2</v>
      </c>
      <c r="C1022" s="116">
        <v>194.8</v>
      </c>
      <c r="D1022" s="116">
        <v>194.4</v>
      </c>
      <c r="E1022" s="116">
        <v>199.2</v>
      </c>
      <c r="F1022" s="116">
        <v>974</v>
      </c>
      <c r="G1022">
        <v>4</v>
      </c>
      <c r="H1022" s="116"/>
      <c r="I1022" s="116"/>
      <c r="L1022" s="170">
        <v>43514</v>
      </c>
      <c r="M1022" s="116">
        <v>165.54000000000002</v>
      </c>
      <c r="N1022" s="116">
        <v>170</v>
      </c>
      <c r="O1022" s="116">
        <v>163.6</v>
      </c>
      <c r="P1022" s="116">
        <v>168.01</v>
      </c>
      <c r="Q1022" s="116">
        <v>827.7</v>
      </c>
      <c r="R1022">
        <v>4348</v>
      </c>
    </row>
    <row r="1023" spans="1:18" x14ac:dyDescent="0.25">
      <c r="A1023" s="170">
        <v>43538</v>
      </c>
      <c r="B1023" s="116">
        <v>194.10999999999999</v>
      </c>
      <c r="C1023" s="116">
        <v>192.98</v>
      </c>
      <c r="D1023" s="116">
        <v>192.2</v>
      </c>
      <c r="E1023" s="116">
        <v>193.2</v>
      </c>
      <c r="F1023" s="116">
        <v>964.9</v>
      </c>
      <c r="G1023">
        <v>77</v>
      </c>
      <c r="H1023" s="116"/>
      <c r="I1023" s="116"/>
      <c r="L1023" s="170">
        <v>43515</v>
      </c>
      <c r="M1023" s="116">
        <v>170.84</v>
      </c>
      <c r="N1023" s="116">
        <v>173</v>
      </c>
      <c r="O1023" s="116">
        <v>165.29000000000002</v>
      </c>
      <c r="P1023" s="116">
        <v>165.29000000000002</v>
      </c>
      <c r="Q1023" s="116">
        <v>854.2</v>
      </c>
      <c r="R1023">
        <v>5341</v>
      </c>
    </row>
    <row r="1024" spans="1:18" x14ac:dyDescent="0.25">
      <c r="A1024" s="170">
        <v>43539</v>
      </c>
      <c r="B1024" s="116">
        <v>200.59</v>
      </c>
      <c r="C1024" s="116">
        <v>192.91</v>
      </c>
      <c r="D1024" s="116">
        <v>190.99</v>
      </c>
      <c r="E1024" s="116">
        <v>200.59</v>
      </c>
      <c r="F1024" s="116">
        <v>964.55</v>
      </c>
      <c r="G1024">
        <v>87</v>
      </c>
      <c r="H1024" s="116"/>
      <c r="I1024" s="116"/>
      <c r="L1024" s="170">
        <v>43516</v>
      </c>
      <c r="M1024" s="116">
        <v>171.62</v>
      </c>
      <c r="N1024" s="116">
        <v>177.59</v>
      </c>
      <c r="O1024" s="116">
        <v>170.7</v>
      </c>
      <c r="P1024" s="116">
        <v>177.59</v>
      </c>
      <c r="Q1024" s="116">
        <v>858.1</v>
      </c>
      <c r="R1024">
        <v>1723</v>
      </c>
    </row>
    <row r="1025" spans="1:18" x14ac:dyDescent="0.25">
      <c r="A1025" s="170">
        <v>43542</v>
      </c>
      <c r="B1025" s="116">
        <v>195</v>
      </c>
      <c r="C1025" s="116">
        <v>195</v>
      </c>
      <c r="D1025" s="116">
        <v>186.41</v>
      </c>
      <c r="E1025" s="116">
        <v>195</v>
      </c>
      <c r="F1025" s="116">
        <v>975</v>
      </c>
      <c r="G1025">
        <v>115</v>
      </c>
      <c r="H1025" s="116"/>
      <c r="I1025" s="116"/>
      <c r="L1025" s="170">
        <v>43517</v>
      </c>
      <c r="M1025" s="116">
        <v>173.65</v>
      </c>
      <c r="N1025" s="116">
        <v>175.98</v>
      </c>
      <c r="O1025" s="116">
        <v>171.31</v>
      </c>
      <c r="P1025" s="116">
        <v>172.34</v>
      </c>
      <c r="Q1025" s="116">
        <v>868.25</v>
      </c>
      <c r="R1025">
        <v>3766</v>
      </c>
    </row>
    <row r="1026" spans="1:18" x14ac:dyDescent="0.25">
      <c r="A1026" s="170">
        <v>43543</v>
      </c>
      <c r="B1026" s="116">
        <v>196.06</v>
      </c>
      <c r="C1026" s="116">
        <v>192.59</v>
      </c>
      <c r="D1026" s="116">
        <v>191</v>
      </c>
      <c r="E1026" s="116">
        <v>191</v>
      </c>
      <c r="F1026" s="116">
        <v>962.95</v>
      </c>
      <c r="G1026">
        <v>57</v>
      </c>
      <c r="H1026" s="116"/>
      <c r="I1026" s="116"/>
      <c r="L1026" s="170">
        <v>43518</v>
      </c>
      <c r="M1026" s="116">
        <v>179.84</v>
      </c>
      <c r="N1026" s="116">
        <v>180.06</v>
      </c>
      <c r="O1026" s="116">
        <v>173.4</v>
      </c>
      <c r="P1026" s="116">
        <v>174.4</v>
      </c>
      <c r="Q1026" s="116">
        <v>899.2</v>
      </c>
      <c r="R1026">
        <v>4388</v>
      </c>
    </row>
    <row r="1027" spans="1:18" x14ac:dyDescent="0.25">
      <c r="A1027" s="170">
        <v>43544</v>
      </c>
      <c r="B1027" s="116">
        <v>192</v>
      </c>
      <c r="C1027" s="116">
        <v>189.3</v>
      </c>
      <c r="D1027" s="116">
        <v>189.2</v>
      </c>
      <c r="E1027" s="116">
        <v>192</v>
      </c>
      <c r="F1027" s="116">
        <v>946.5</v>
      </c>
      <c r="G1027">
        <v>32</v>
      </c>
      <c r="H1027" s="116"/>
      <c r="I1027" s="116"/>
      <c r="L1027" s="170">
        <v>43521</v>
      </c>
      <c r="M1027" s="116">
        <v>179.87</v>
      </c>
      <c r="N1027" s="116">
        <v>181.18</v>
      </c>
      <c r="O1027" s="116">
        <v>178</v>
      </c>
      <c r="P1027" s="116">
        <v>178.4</v>
      </c>
      <c r="Q1027" s="116">
        <v>899.35</v>
      </c>
      <c r="R1027">
        <v>2631</v>
      </c>
    </row>
    <row r="1028" spans="1:18" x14ac:dyDescent="0.25">
      <c r="A1028" s="170">
        <v>43546</v>
      </c>
      <c r="B1028" s="116">
        <v>192</v>
      </c>
      <c r="C1028" s="116">
        <v>187.10999999999999</v>
      </c>
      <c r="D1028" s="116">
        <v>186.22</v>
      </c>
      <c r="E1028" s="116">
        <v>192</v>
      </c>
      <c r="F1028" s="116">
        <v>935.55</v>
      </c>
      <c r="G1028">
        <v>34</v>
      </c>
      <c r="H1028" s="116"/>
      <c r="I1028" s="116"/>
      <c r="L1028" s="170">
        <v>43522</v>
      </c>
      <c r="M1028" s="116">
        <v>176.45</v>
      </c>
      <c r="N1028" s="116">
        <v>177.82999999999998</v>
      </c>
      <c r="O1028" s="116">
        <v>174.01</v>
      </c>
      <c r="P1028" s="116">
        <v>175.38</v>
      </c>
      <c r="Q1028" s="116">
        <v>882.25</v>
      </c>
      <c r="R1028">
        <v>945</v>
      </c>
    </row>
    <row r="1029" spans="1:18" x14ac:dyDescent="0.25">
      <c r="A1029" s="170">
        <v>43549</v>
      </c>
      <c r="B1029" s="116">
        <v>188.07</v>
      </c>
      <c r="C1029" s="116">
        <v>180.44</v>
      </c>
      <c r="D1029" s="116">
        <v>175.74</v>
      </c>
      <c r="E1029" s="116">
        <v>185.2</v>
      </c>
      <c r="F1029" s="116">
        <v>902.2</v>
      </c>
      <c r="G1029">
        <v>375</v>
      </c>
      <c r="H1029" s="116"/>
      <c r="I1029" s="116"/>
      <c r="L1029" s="170">
        <v>43523</v>
      </c>
      <c r="M1029" s="116">
        <v>173.74</v>
      </c>
      <c r="N1029" s="116">
        <v>178</v>
      </c>
      <c r="O1029" s="116">
        <v>173</v>
      </c>
      <c r="P1029" s="116">
        <v>177.6</v>
      </c>
      <c r="Q1029" s="116">
        <v>868.7</v>
      </c>
      <c r="R1029">
        <v>824</v>
      </c>
    </row>
    <row r="1030" spans="1:18" x14ac:dyDescent="0.25">
      <c r="A1030" s="170">
        <v>43550</v>
      </c>
      <c r="B1030" s="116">
        <v>185.51</v>
      </c>
      <c r="C1030" s="116">
        <v>182.6</v>
      </c>
      <c r="D1030" s="116">
        <v>179.2</v>
      </c>
      <c r="E1030" s="116">
        <v>181.8</v>
      </c>
      <c r="F1030" s="116">
        <v>913</v>
      </c>
      <c r="G1030">
        <v>1584</v>
      </c>
      <c r="H1030" s="116"/>
      <c r="I1030" s="116"/>
      <c r="L1030" s="170">
        <v>43524</v>
      </c>
      <c r="M1030" s="116">
        <v>172.82999999999998</v>
      </c>
      <c r="N1030" s="116">
        <v>174.95</v>
      </c>
      <c r="O1030" s="116">
        <v>171.32</v>
      </c>
      <c r="P1030" s="116">
        <v>174.59</v>
      </c>
      <c r="Q1030" s="116">
        <v>864.15</v>
      </c>
      <c r="R1030">
        <v>1293</v>
      </c>
    </row>
    <row r="1031" spans="1:18" x14ac:dyDescent="0.25">
      <c r="A1031" s="170">
        <v>43551</v>
      </c>
      <c r="B1031" s="116">
        <v>192.4</v>
      </c>
      <c r="C1031" s="116">
        <v>191.4</v>
      </c>
      <c r="D1031" s="116">
        <v>180.6</v>
      </c>
      <c r="E1031" s="116">
        <v>180.6</v>
      </c>
      <c r="F1031" s="116">
        <v>957</v>
      </c>
      <c r="G1031">
        <v>585</v>
      </c>
      <c r="H1031" s="116"/>
      <c r="I1031" s="116"/>
      <c r="L1031" s="170">
        <v>43525</v>
      </c>
      <c r="M1031" s="116">
        <v>185.32</v>
      </c>
      <c r="N1031" s="116">
        <v>187.77</v>
      </c>
      <c r="O1031" s="116">
        <v>172.82999999999998</v>
      </c>
      <c r="P1031" s="116">
        <v>172.82999999999998</v>
      </c>
      <c r="Q1031" s="116">
        <v>926.6</v>
      </c>
      <c r="R1031">
        <v>9503</v>
      </c>
    </row>
    <row r="1032" spans="1:18" x14ac:dyDescent="0.25">
      <c r="A1032" s="170">
        <v>43552</v>
      </c>
      <c r="B1032" s="116">
        <v>194.79000000000002</v>
      </c>
      <c r="C1032" s="116">
        <v>186.4</v>
      </c>
      <c r="D1032" s="116">
        <v>185.6</v>
      </c>
      <c r="E1032" s="116">
        <v>194.79000000000002</v>
      </c>
      <c r="F1032" s="116">
        <v>932</v>
      </c>
      <c r="G1032">
        <v>85</v>
      </c>
      <c r="H1032" s="116"/>
      <c r="I1032" s="116"/>
      <c r="L1032" s="170">
        <v>43529</v>
      </c>
      <c r="M1032" s="116">
        <v>195.65</v>
      </c>
      <c r="N1032" s="116">
        <v>197.99</v>
      </c>
      <c r="O1032" s="116">
        <v>186.4</v>
      </c>
      <c r="P1032" s="116">
        <v>187.76</v>
      </c>
      <c r="Q1032" s="116">
        <v>978.25</v>
      </c>
      <c r="R1032">
        <v>7336</v>
      </c>
    </row>
    <row r="1033" spans="1:18" x14ac:dyDescent="0.25">
      <c r="A1033" s="170">
        <v>43556</v>
      </c>
      <c r="B1033" s="116">
        <v>190</v>
      </c>
      <c r="C1033" s="116">
        <v>187.25</v>
      </c>
      <c r="D1033" s="116">
        <v>186.6</v>
      </c>
      <c r="E1033" s="116">
        <v>189</v>
      </c>
      <c r="F1033" s="116">
        <v>936.25</v>
      </c>
      <c r="G1033">
        <v>168</v>
      </c>
      <c r="H1033" s="116"/>
      <c r="I1033" s="116"/>
      <c r="L1033" s="170">
        <v>43530</v>
      </c>
      <c r="M1033" s="116">
        <v>194.1</v>
      </c>
      <c r="N1033" s="116">
        <v>199</v>
      </c>
      <c r="O1033" s="116">
        <v>191.25</v>
      </c>
      <c r="P1033" s="116">
        <v>197.95999999999998</v>
      </c>
      <c r="Q1033" s="116">
        <v>970.5</v>
      </c>
      <c r="R1033">
        <v>5526</v>
      </c>
    </row>
    <row r="1034" spans="1:18" x14ac:dyDescent="0.25">
      <c r="A1034" s="170">
        <v>43557</v>
      </c>
      <c r="B1034" s="116">
        <v>192</v>
      </c>
      <c r="C1034" s="116">
        <v>192</v>
      </c>
      <c r="D1034" s="116">
        <v>191.35999999999999</v>
      </c>
      <c r="E1034" s="116">
        <v>191.4</v>
      </c>
      <c r="F1034" s="116">
        <v>960</v>
      </c>
      <c r="G1034">
        <v>60</v>
      </c>
      <c r="H1034" s="116"/>
      <c r="I1034" s="116"/>
      <c r="L1034" s="170">
        <v>43531</v>
      </c>
      <c r="M1034" s="116">
        <v>191.37</v>
      </c>
      <c r="N1034" s="116">
        <v>194.1</v>
      </c>
      <c r="O1034" s="116">
        <v>188.66</v>
      </c>
      <c r="P1034" s="116">
        <v>194.1</v>
      </c>
      <c r="Q1034" s="116">
        <v>956.85</v>
      </c>
      <c r="R1034">
        <v>1331</v>
      </c>
    </row>
    <row r="1035" spans="1:18" x14ac:dyDescent="0.25">
      <c r="A1035" s="170">
        <v>43558</v>
      </c>
      <c r="B1035" s="116">
        <v>195</v>
      </c>
      <c r="C1035" s="116">
        <v>189.75</v>
      </c>
      <c r="D1035" s="116">
        <v>187.74</v>
      </c>
      <c r="E1035" s="116">
        <v>195</v>
      </c>
      <c r="F1035" s="116">
        <v>948.75</v>
      </c>
      <c r="G1035">
        <v>89</v>
      </c>
      <c r="H1035" s="116"/>
      <c r="I1035" s="116"/>
      <c r="L1035" s="170">
        <v>43532</v>
      </c>
      <c r="M1035" s="116">
        <v>188.95999999999998</v>
      </c>
      <c r="N1035" s="116">
        <v>190.8</v>
      </c>
      <c r="O1035" s="116">
        <v>188.3</v>
      </c>
      <c r="P1035" s="116">
        <v>190.2</v>
      </c>
      <c r="Q1035" s="116">
        <v>944.8</v>
      </c>
      <c r="R1035">
        <v>1049</v>
      </c>
    </row>
    <row r="1036" spans="1:18" x14ac:dyDescent="0.25">
      <c r="A1036" s="170">
        <v>43559</v>
      </c>
      <c r="B1036" s="116">
        <v>192</v>
      </c>
      <c r="C1036" s="116">
        <v>185.14000000000001</v>
      </c>
      <c r="D1036" s="116">
        <v>184</v>
      </c>
      <c r="E1036" s="116">
        <v>184</v>
      </c>
      <c r="F1036" s="116">
        <v>925.7</v>
      </c>
      <c r="G1036">
        <v>125</v>
      </c>
      <c r="H1036" s="116"/>
      <c r="I1036" s="116"/>
      <c r="L1036" s="170">
        <v>43535</v>
      </c>
      <c r="M1036" s="116">
        <v>193.17000000000002</v>
      </c>
      <c r="N1036" s="116">
        <v>194.4</v>
      </c>
      <c r="O1036" s="116">
        <v>189</v>
      </c>
      <c r="P1036" s="116">
        <v>189</v>
      </c>
      <c r="Q1036" s="116">
        <v>965.85</v>
      </c>
      <c r="R1036">
        <v>1641</v>
      </c>
    </row>
    <row r="1037" spans="1:18" x14ac:dyDescent="0.25">
      <c r="A1037" s="170">
        <v>43560</v>
      </c>
      <c r="B1037" s="116">
        <v>197.8</v>
      </c>
      <c r="C1037" s="116">
        <v>192</v>
      </c>
      <c r="D1037" s="116">
        <v>190.2</v>
      </c>
      <c r="E1037" s="116">
        <v>197.8</v>
      </c>
      <c r="F1037" s="116">
        <v>960</v>
      </c>
      <c r="G1037">
        <v>30</v>
      </c>
      <c r="H1037" s="116"/>
      <c r="I1037" s="116"/>
      <c r="L1037" s="170">
        <v>43536</v>
      </c>
      <c r="M1037" s="116">
        <v>198.49</v>
      </c>
      <c r="N1037" s="116">
        <v>205.98000000000002</v>
      </c>
      <c r="O1037" s="116">
        <v>195.67000000000002</v>
      </c>
      <c r="P1037" s="116">
        <v>195.67000000000002</v>
      </c>
      <c r="Q1037" s="116">
        <v>992.45</v>
      </c>
      <c r="R1037">
        <v>3688</v>
      </c>
    </row>
    <row r="1038" spans="1:18" x14ac:dyDescent="0.25">
      <c r="A1038" s="170">
        <v>43563</v>
      </c>
      <c r="B1038" s="116">
        <v>194.6</v>
      </c>
      <c r="C1038" s="116">
        <v>188.77</v>
      </c>
      <c r="D1038" s="116">
        <v>187.2</v>
      </c>
      <c r="E1038" s="116">
        <v>194.38</v>
      </c>
      <c r="F1038" s="116">
        <v>943.85</v>
      </c>
      <c r="G1038">
        <v>1204</v>
      </c>
      <c r="H1038" s="116"/>
      <c r="I1038" s="116"/>
      <c r="L1038" s="170">
        <v>43537</v>
      </c>
      <c r="M1038" s="116">
        <v>196.3</v>
      </c>
      <c r="N1038" s="116">
        <v>201.98</v>
      </c>
      <c r="O1038" s="116">
        <v>194.03</v>
      </c>
      <c r="P1038" s="116">
        <v>201.97</v>
      </c>
      <c r="Q1038" s="116">
        <v>981.5</v>
      </c>
      <c r="R1038">
        <v>1627</v>
      </c>
    </row>
    <row r="1039" spans="1:18" x14ac:dyDescent="0.25">
      <c r="A1039" s="170">
        <v>43564</v>
      </c>
      <c r="B1039" s="116">
        <v>195</v>
      </c>
      <c r="C1039" s="116">
        <v>193.6</v>
      </c>
      <c r="D1039" s="116">
        <v>192</v>
      </c>
      <c r="E1039" s="116">
        <v>192</v>
      </c>
      <c r="F1039" s="116">
        <v>968</v>
      </c>
      <c r="G1039">
        <v>285</v>
      </c>
      <c r="H1039" s="116"/>
      <c r="I1039" s="116"/>
      <c r="L1039" s="170">
        <v>43538</v>
      </c>
      <c r="M1039" s="116">
        <v>192.76</v>
      </c>
      <c r="N1039" s="116">
        <v>196.98</v>
      </c>
      <c r="O1039" s="116">
        <v>192.52</v>
      </c>
      <c r="P1039" s="116">
        <v>194.92000000000002</v>
      </c>
      <c r="Q1039" s="116">
        <v>963.8</v>
      </c>
      <c r="R1039">
        <v>1633</v>
      </c>
    </row>
    <row r="1040" spans="1:18" x14ac:dyDescent="0.25">
      <c r="A1040" s="170">
        <v>43565</v>
      </c>
      <c r="B1040" s="116">
        <v>193</v>
      </c>
      <c r="C1040" s="116">
        <v>191.5</v>
      </c>
      <c r="D1040" s="116">
        <v>191.39000000000001</v>
      </c>
      <c r="E1040" s="116">
        <v>193</v>
      </c>
      <c r="F1040" s="116">
        <v>957.5</v>
      </c>
      <c r="G1040">
        <v>83</v>
      </c>
      <c r="H1040" s="116"/>
      <c r="I1040" s="116"/>
      <c r="L1040" s="170">
        <v>43539</v>
      </c>
      <c r="M1040" s="116">
        <v>191.89000000000001</v>
      </c>
      <c r="N1040" s="116">
        <v>197.41</v>
      </c>
      <c r="O1040" s="116">
        <v>190.59</v>
      </c>
      <c r="P1040" s="116">
        <v>195.5</v>
      </c>
      <c r="Q1040" s="116">
        <v>959.45</v>
      </c>
      <c r="R1040">
        <v>2938</v>
      </c>
    </row>
    <row r="1041" spans="1:18" x14ac:dyDescent="0.25">
      <c r="A1041" s="170">
        <v>43566</v>
      </c>
      <c r="B1041" s="116">
        <v>190.8</v>
      </c>
      <c r="C1041" s="116">
        <v>187.43</v>
      </c>
      <c r="D1041" s="116">
        <v>186</v>
      </c>
      <c r="E1041" s="116">
        <v>189.6</v>
      </c>
      <c r="F1041" s="116">
        <v>937.15</v>
      </c>
      <c r="G1041">
        <v>219</v>
      </c>
      <c r="H1041" s="116"/>
      <c r="I1041" s="116"/>
      <c r="L1041" s="170">
        <v>43542</v>
      </c>
      <c r="M1041" s="116">
        <v>193.10999999999999</v>
      </c>
      <c r="N1041" s="116">
        <v>195.01</v>
      </c>
      <c r="O1041" s="116">
        <v>190.62</v>
      </c>
      <c r="P1041" s="116">
        <v>193.2</v>
      </c>
      <c r="Q1041" s="116">
        <v>965.55</v>
      </c>
      <c r="R1041">
        <v>4117</v>
      </c>
    </row>
    <row r="1042" spans="1:18" x14ac:dyDescent="0.25">
      <c r="A1042" s="170">
        <v>43567</v>
      </c>
      <c r="B1042" s="116">
        <v>190.68</v>
      </c>
      <c r="C1042" s="116">
        <v>188.53</v>
      </c>
      <c r="D1042" s="116">
        <v>184</v>
      </c>
      <c r="E1042" s="116">
        <v>184</v>
      </c>
      <c r="F1042" s="116">
        <v>942.65</v>
      </c>
      <c r="G1042">
        <v>42</v>
      </c>
      <c r="H1042" s="116"/>
      <c r="I1042" s="116"/>
      <c r="L1042" s="170">
        <v>43543</v>
      </c>
      <c r="M1042" s="116">
        <v>194.67000000000002</v>
      </c>
      <c r="N1042" s="116">
        <v>195</v>
      </c>
      <c r="O1042" s="116">
        <v>191</v>
      </c>
      <c r="P1042" s="116">
        <v>191</v>
      </c>
      <c r="Q1042" s="116">
        <v>973.35</v>
      </c>
      <c r="R1042">
        <v>689</v>
      </c>
    </row>
    <row r="1043" spans="1:18" x14ac:dyDescent="0.25">
      <c r="A1043" s="170">
        <v>43570</v>
      </c>
      <c r="B1043" s="116">
        <v>191.22</v>
      </c>
      <c r="C1043" s="116">
        <v>189.12</v>
      </c>
      <c r="D1043" s="116">
        <v>188</v>
      </c>
      <c r="E1043" s="116">
        <v>190.99</v>
      </c>
      <c r="F1043" s="116">
        <v>945.6</v>
      </c>
      <c r="G1043">
        <v>163</v>
      </c>
      <c r="H1043" s="116"/>
      <c r="I1043" s="116"/>
      <c r="L1043" s="170">
        <v>43544</v>
      </c>
      <c r="M1043" s="116">
        <v>189.94</v>
      </c>
      <c r="N1043" s="116">
        <v>194.23</v>
      </c>
      <c r="O1043" s="116">
        <v>188.82</v>
      </c>
      <c r="P1043" s="116">
        <v>192</v>
      </c>
      <c r="Q1043" s="116">
        <v>949.7</v>
      </c>
      <c r="R1043">
        <v>1244</v>
      </c>
    </row>
    <row r="1044" spans="1:18" x14ac:dyDescent="0.25">
      <c r="A1044" s="170">
        <v>43571</v>
      </c>
      <c r="B1044" s="116">
        <v>191</v>
      </c>
      <c r="C1044" s="116">
        <v>191</v>
      </c>
      <c r="D1044" s="116">
        <v>191</v>
      </c>
      <c r="E1044" s="116">
        <v>191</v>
      </c>
      <c r="F1044" s="116">
        <v>955</v>
      </c>
      <c r="G1044">
        <v>39</v>
      </c>
      <c r="H1044" s="116"/>
      <c r="I1044" s="116"/>
      <c r="L1044" s="170">
        <v>43546</v>
      </c>
      <c r="M1044" s="116">
        <v>189.79000000000002</v>
      </c>
      <c r="N1044" s="116">
        <v>191.74</v>
      </c>
      <c r="O1044" s="116">
        <v>187.8</v>
      </c>
      <c r="P1044" s="116">
        <v>190.01</v>
      </c>
      <c r="Q1044" s="116">
        <v>948.95</v>
      </c>
      <c r="R1044">
        <v>1691</v>
      </c>
    </row>
    <row r="1045" spans="1:18" x14ac:dyDescent="0.25">
      <c r="A1045" s="170">
        <v>43573</v>
      </c>
      <c r="B1045" s="116">
        <v>195.8</v>
      </c>
      <c r="C1045" s="116">
        <v>191.01</v>
      </c>
      <c r="D1045" s="116">
        <v>191</v>
      </c>
      <c r="E1045" s="116">
        <v>195.8</v>
      </c>
      <c r="F1045" s="116">
        <v>955.05</v>
      </c>
      <c r="G1045">
        <v>137</v>
      </c>
      <c r="H1045" s="116"/>
      <c r="I1045" s="116"/>
      <c r="L1045" s="170">
        <v>43549</v>
      </c>
      <c r="M1045" s="116">
        <v>183.84</v>
      </c>
      <c r="N1045" s="116">
        <v>188</v>
      </c>
      <c r="O1045" s="116">
        <v>181.03</v>
      </c>
      <c r="P1045" s="116">
        <v>188</v>
      </c>
      <c r="Q1045" s="116">
        <v>919.2</v>
      </c>
      <c r="R1045">
        <v>2730</v>
      </c>
    </row>
    <row r="1046" spans="1:18" x14ac:dyDescent="0.25">
      <c r="A1046" s="170">
        <v>43577</v>
      </c>
      <c r="B1046" s="116">
        <v>191.93</v>
      </c>
      <c r="C1046" s="116">
        <v>186.53</v>
      </c>
      <c r="D1046" s="116">
        <v>185.2</v>
      </c>
      <c r="E1046" s="116">
        <v>191</v>
      </c>
      <c r="F1046" s="116">
        <v>932.65</v>
      </c>
      <c r="G1046">
        <v>314</v>
      </c>
      <c r="H1046" s="116"/>
      <c r="I1046" s="116"/>
      <c r="L1046" s="170">
        <v>43550</v>
      </c>
      <c r="M1046" s="116">
        <v>184.12</v>
      </c>
      <c r="N1046" s="116">
        <v>187.59</v>
      </c>
      <c r="O1046" s="116">
        <v>181</v>
      </c>
      <c r="P1046" s="116">
        <v>182</v>
      </c>
      <c r="Q1046" s="116">
        <v>920.6</v>
      </c>
      <c r="R1046">
        <v>3252</v>
      </c>
    </row>
    <row r="1047" spans="1:18" x14ac:dyDescent="0.25">
      <c r="A1047" s="170">
        <v>43578</v>
      </c>
      <c r="B1047" s="116">
        <v>189.2</v>
      </c>
      <c r="C1047" s="116">
        <v>189.04000000000002</v>
      </c>
      <c r="D1047" s="116">
        <v>187.5</v>
      </c>
      <c r="E1047" s="116">
        <v>187.5</v>
      </c>
      <c r="F1047" s="116">
        <v>945.2</v>
      </c>
      <c r="G1047">
        <v>60</v>
      </c>
      <c r="H1047" s="116"/>
      <c r="I1047" s="116"/>
      <c r="L1047" s="170">
        <v>43551</v>
      </c>
      <c r="M1047" s="116">
        <v>189.64000000000001</v>
      </c>
      <c r="N1047" s="116">
        <v>191.79000000000002</v>
      </c>
      <c r="O1047" s="116">
        <v>183.12</v>
      </c>
      <c r="P1047" s="116">
        <v>183.12</v>
      </c>
      <c r="Q1047" s="116">
        <v>948.2</v>
      </c>
      <c r="R1047">
        <v>4071</v>
      </c>
    </row>
    <row r="1048" spans="1:18" x14ac:dyDescent="0.25">
      <c r="A1048" s="170">
        <v>43579</v>
      </c>
      <c r="B1048" s="116">
        <v>188.4</v>
      </c>
      <c r="C1048" s="116">
        <v>187.09</v>
      </c>
      <c r="D1048" s="116">
        <v>187</v>
      </c>
      <c r="E1048" s="116">
        <v>188.4</v>
      </c>
      <c r="F1048" s="116">
        <v>935.45</v>
      </c>
      <c r="G1048">
        <v>23</v>
      </c>
      <c r="H1048" s="116"/>
      <c r="I1048" s="116"/>
      <c r="L1048" s="170">
        <v>43552</v>
      </c>
      <c r="M1048" s="116">
        <v>186.95</v>
      </c>
      <c r="N1048" s="116">
        <v>192.09</v>
      </c>
      <c r="O1048" s="116">
        <v>186.01</v>
      </c>
      <c r="P1048" s="116">
        <v>191.20999999999998</v>
      </c>
      <c r="Q1048" s="116">
        <v>934.75</v>
      </c>
      <c r="R1048">
        <v>2069</v>
      </c>
    </row>
    <row r="1049" spans="1:18" x14ac:dyDescent="0.25">
      <c r="A1049" s="170">
        <v>43580</v>
      </c>
      <c r="B1049" s="116">
        <v>188.4</v>
      </c>
      <c r="C1049" s="116">
        <v>187.29000000000002</v>
      </c>
      <c r="D1049" s="116">
        <v>184.93</v>
      </c>
      <c r="E1049" s="116">
        <v>184.93</v>
      </c>
      <c r="F1049" s="116">
        <v>936.45</v>
      </c>
      <c r="G1049">
        <v>278</v>
      </c>
      <c r="H1049" s="116"/>
      <c r="I1049" s="116"/>
      <c r="L1049" s="170">
        <v>43553</v>
      </c>
      <c r="M1049" s="116">
        <v>187.87</v>
      </c>
      <c r="N1049" s="116">
        <v>189.6</v>
      </c>
      <c r="O1049" s="116">
        <v>186.6</v>
      </c>
      <c r="P1049" s="116">
        <v>189.6</v>
      </c>
      <c r="Q1049" s="116">
        <v>939.35</v>
      </c>
      <c r="R1049">
        <v>579</v>
      </c>
    </row>
    <row r="1050" spans="1:18" x14ac:dyDescent="0.25">
      <c r="A1050" s="170">
        <v>43585</v>
      </c>
      <c r="B1050" s="116">
        <v>186</v>
      </c>
      <c r="C1050" s="116">
        <v>178.54000000000002</v>
      </c>
      <c r="D1050" s="116">
        <v>176</v>
      </c>
      <c r="E1050" s="116">
        <v>185.2</v>
      </c>
      <c r="F1050" s="116">
        <v>892.7</v>
      </c>
      <c r="G1050">
        <v>158</v>
      </c>
      <c r="H1050" s="116"/>
      <c r="I1050" s="116"/>
      <c r="L1050" s="170">
        <v>43556</v>
      </c>
      <c r="M1050" s="116">
        <v>187.77</v>
      </c>
      <c r="N1050" s="116">
        <v>190.3</v>
      </c>
      <c r="O1050" s="116">
        <v>187.02</v>
      </c>
      <c r="P1050" s="116">
        <v>190.12</v>
      </c>
      <c r="Q1050" s="116">
        <v>938.85</v>
      </c>
      <c r="R1050">
        <v>1286</v>
      </c>
    </row>
    <row r="1051" spans="1:18" x14ac:dyDescent="0.25">
      <c r="A1051" s="170">
        <v>43587</v>
      </c>
      <c r="B1051" s="116">
        <v>188.4</v>
      </c>
      <c r="C1051" s="116">
        <v>179</v>
      </c>
      <c r="D1051" s="116">
        <v>179</v>
      </c>
      <c r="E1051" s="116">
        <v>188</v>
      </c>
      <c r="F1051" s="116">
        <v>895</v>
      </c>
      <c r="G1051">
        <v>26</v>
      </c>
      <c r="H1051" s="116"/>
      <c r="I1051" s="116"/>
      <c r="L1051" s="170">
        <v>43557</v>
      </c>
      <c r="M1051" s="116">
        <v>191.44</v>
      </c>
      <c r="N1051" s="116">
        <v>192</v>
      </c>
      <c r="O1051" s="116">
        <v>187.79000000000002</v>
      </c>
      <c r="P1051" s="116">
        <v>187.79000000000002</v>
      </c>
      <c r="Q1051" s="116">
        <v>957.2</v>
      </c>
      <c r="R1051">
        <v>2496</v>
      </c>
    </row>
    <row r="1052" spans="1:18" x14ac:dyDescent="0.25">
      <c r="A1052" s="170">
        <v>43592</v>
      </c>
      <c r="B1052" s="116">
        <v>182</v>
      </c>
      <c r="C1052" s="116">
        <v>182</v>
      </c>
      <c r="D1052" s="116">
        <v>182</v>
      </c>
      <c r="E1052" s="116">
        <v>182</v>
      </c>
      <c r="F1052" s="116">
        <v>910</v>
      </c>
      <c r="G1052">
        <v>200</v>
      </c>
      <c r="H1052" s="116"/>
      <c r="I1052" s="116"/>
      <c r="L1052" s="170">
        <v>43558</v>
      </c>
      <c r="M1052" s="116">
        <v>191.56</v>
      </c>
      <c r="N1052" s="116">
        <v>192.66</v>
      </c>
      <c r="O1052" s="116">
        <v>190.5</v>
      </c>
      <c r="P1052" s="116">
        <v>192.66</v>
      </c>
      <c r="Q1052" s="116">
        <v>957.8</v>
      </c>
      <c r="R1052">
        <v>389</v>
      </c>
    </row>
    <row r="1053" spans="1:18" x14ac:dyDescent="0.25">
      <c r="A1053" s="170">
        <v>43593</v>
      </c>
      <c r="B1053" s="116">
        <v>180.25</v>
      </c>
      <c r="C1053" s="116">
        <v>180.24</v>
      </c>
      <c r="D1053" s="116">
        <v>180.2</v>
      </c>
      <c r="E1053" s="116">
        <v>180.2</v>
      </c>
      <c r="F1053" s="116">
        <v>901.2</v>
      </c>
      <c r="G1053">
        <v>60</v>
      </c>
      <c r="H1053" s="116"/>
      <c r="I1053" s="116"/>
      <c r="L1053" s="170">
        <v>43559</v>
      </c>
      <c r="M1053" s="116">
        <v>189.15</v>
      </c>
      <c r="N1053" s="116">
        <v>192.01</v>
      </c>
      <c r="O1053" s="116">
        <v>187.6</v>
      </c>
      <c r="P1053" s="116">
        <v>190</v>
      </c>
      <c r="Q1053" s="116">
        <v>945.75</v>
      </c>
      <c r="R1053">
        <v>1559</v>
      </c>
    </row>
    <row r="1054" spans="1:18" x14ac:dyDescent="0.25">
      <c r="A1054" s="170">
        <v>43594</v>
      </c>
      <c r="B1054" s="116">
        <v>188.8</v>
      </c>
      <c r="C1054" s="116">
        <v>185.53</v>
      </c>
      <c r="D1054" s="116">
        <v>177.6</v>
      </c>
      <c r="E1054" s="116">
        <v>177.6</v>
      </c>
      <c r="F1054" s="116">
        <v>927.65</v>
      </c>
      <c r="G1054">
        <v>59</v>
      </c>
      <c r="H1054" s="116"/>
      <c r="I1054" s="116"/>
      <c r="L1054" s="170">
        <v>43560</v>
      </c>
      <c r="M1054" s="116">
        <v>191.16</v>
      </c>
      <c r="N1054" s="116">
        <v>194.39000000000001</v>
      </c>
      <c r="O1054" s="116">
        <v>188.04000000000002</v>
      </c>
      <c r="P1054" s="116">
        <v>194.39000000000001</v>
      </c>
      <c r="Q1054" s="116">
        <v>955.8</v>
      </c>
      <c r="R1054">
        <v>526</v>
      </c>
    </row>
    <row r="1055" spans="1:18" x14ac:dyDescent="0.25">
      <c r="A1055" s="170">
        <v>43595</v>
      </c>
      <c r="B1055" s="116">
        <v>190.19</v>
      </c>
      <c r="C1055" s="116">
        <v>184.59</v>
      </c>
      <c r="D1055" s="116">
        <v>183.4</v>
      </c>
      <c r="E1055" s="116">
        <v>190.19</v>
      </c>
      <c r="F1055" s="116">
        <v>922.95</v>
      </c>
      <c r="G1055">
        <v>26</v>
      </c>
      <c r="H1055" s="116"/>
      <c r="I1055" s="116"/>
      <c r="L1055" s="170">
        <v>43563</v>
      </c>
      <c r="M1055" s="116">
        <v>189.49</v>
      </c>
      <c r="N1055" s="116">
        <v>193.57999999999998</v>
      </c>
      <c r="O1055" s="116">
        <v>188</v>
      </c>
      <c r="P1055" s="116">
        <v>190.49</v>
      </c>
      <c r="Q1055" s="116">
        <v>947.45</v>
      </c>
      <c r="R1055">
        <v>2002</v>
      </c>
    </row>
    <row r="1056" spans="1:18" x14ac:dyDescent="0.25">
      <c r="A1056" s="170">
        <v>43598</v>
      </c>
      <c r="B1056" s="116">
        <v>185.85</v>
      </c>
      <c r="C1056" s="116">
        <v>180.28</v>
      </c>
      <c r="D1056" s="116">
        <v>180</v>
      </c>
      <c r="E1056" s="116">
        <v>185</v>
      </c>
      <c r="F1056" s="116">
        <v>901.4</v>
      </c>
      <c r="G1056">
        <v>377</v>
      </c>
      <c r="H1056" s="116"/>
      <c r="I1056" s="116"/>
      <c r="L1056" s="170">
        <v>43564</v>
      </c>
      <c r="M1056" s="116">
        <v>192.7</v>
      </c>
      <c r="N1056" s="116">
        <v>193.99</v>
      </c>
      <c r="O1056" s="116">
        <v>190.25</v>
      </c>
      <c r="P1056" s="116">
        <v>193.4</v>
      </c>
      <c r="Q1056" s="116">
        <v>963.5</v>
      </c>
      <c r="R1056">
        <v>3056</v>
      </c>
    </row>
    <row r="1057" spans="1:18" x14ac:dyDescent="0.25">
      <c r="A1057" s="170">
        <v>43599</v>
      </c>
      <c r="B1057" s="116">
        <v>184.4</v>
      </c>
      <c r="C1057" s="116">
        <v>183.24</v>
      </c>
      <c r="D1057" s="116">
        <v>180</v>
      </c>
      <c r="E1057" s="116">
        <v>182</v>
      </c>
      <c r="F1057" s="116">
        <v>916.2</v>
      </c>
      <c r="G1057">
        <v>402</v>
      </c>
      <c r="H1057" s="116"/>
      <c r="I1057" s="116"/>
      <c r="L1057" s="170">
        <v>43565</v>
      </c>
      <c r="M1057" s="116">
        <v>190.81</v>
      </c>
      <c r="N1057" s="116">
        <v>192.70999999999998</v>
      </c>
      <c r="O1057" s="116">
        <v>189.13</v>
      </c>
      <c r="P1057" s="116">
        <v>192.70999999999998</v>
      </c>
      <c r="Q1057" s="116">
        <v>954.05</v>
      </c>
      <c r="R1057">
        <v>800</v>
      </c>
    </row>
    <row r="1058" spans="1:18" x14ac:dyDescent="0.25">
      <c r="A1058" s="170">
        <v>43600</v>
      </c>
      <c r="B1058" s="116">
        <v>195.4</v>
      </c>
      <c r="C1058" s="116">
        <v>188</v>
      </c>
      <c r="D1058" s="116">
        <v>185.69</v>
      </c>
      <c r="E1058" s="116">
        <v>195.4</v>
      </c>
      <c r="F1058" s="116">
        <v>940</v>
      </c>
      <c r="G1058">
        <v>835</v>
      </c>
      <c r="H1058" s="116"/>
      <c r="I1058" s="116"/>
      <c r="L1058" s="170">
        <v>43566</v>
      </c>
      <c r="M1058" s="116">
        <v>188.39000000000001</v>
      </c>
      <c r="N1058" s="116">
        <v>192.6</v>
      </c>
      <c r="O1058" s="116">
        <v>187.6</v>
      </c>
      <c r="P1058" s="116">
        <v>191.42000000000002</v>
      </c>
      <c r="Q1058" s="116">
        <v>941.95</v>
      </c>
      <c r="R1058">
        <v>3325</v>
      </c>
    </row>
    <row r="1059" spans="1:18" x14ac:dyDescent="0.25">
      <c r="A1059" s="170">
        <v>43601</v>
      </c>
      <c r="B1059" s="116">
        <v>188</v>
      </c>
      <c r="C1059" s="116">
        <v>185</v>
      </c>
      <c r="D1059" s="116">
        <v>185</v>
      </c>
      <c r="E1059" s="116">
        <v>188</v>
      </c>
      <c r="F1059" s="116">
        <v>925</v>
      </c>
      <c r="G1059">
        <v>12</v>
      </c>
      <c r="H1059" s="116"/>
      <c r="I1059" s="116"/>
      <c r="L1059" s="170">
        <v>43567</v>
      </c>
      <c r="M1059" s="116">
        <v>188.77</v>
      </c>
      <c r="N1059" s="116">
        <v>189.8</v>
      </c>
      <c r="O1059" s="116">
        <v>187.20999999999998</v>
      </c>
      <c r="P1059" s="116">
        <v>187.20999999999998</v>
      </c>
      <c r="Q1059" s="116">
        <v>943.85</v>
      </c>
      <c r="R1059">
        <v>444</v>
      </c>
    </row>
    <row r="1060" spans="1:18" x14ac:dyDescent="0.25">
      <c r="A1060" s="170">
        <v>43602</v>
      </c>
      <c r="B1060" s="116">
        <v>187.2</v>
      </c>
      <c r="C1060" s="116">
        <v>187.19</v>
      </c>
      <c r="D1060" s="116">
        <v>183</v>
      </c>
      <c r="E1060" s="116">
        <v>183</v>
      </c>
      <c r="F1060" s="116">
        <v>935.95</v>
      </c>
      <c r="G1060">
        <v>102</v>
      </c>
      <c r="H1060" s="116"/>
      <c r="I1060" s="116"/>
      <c r="L1060" s="170">
        <v>43570</v>
      </c>
      <c r="M1060" s="116">
        <v>189.77</v>
      </c>
      <c r="N1060" s="116">
        <v>191.59</v>
      </c>
      <c r="O1060" s="116">
        <v>186.02</v>
      </c>
      <c r="P1060" s="116">
        <v>191.59</v>
      </c>
      <c r="Q1060" s="116">
        <v>948.85</v>
      </c>
      <c r="R1060">
        <v>1664</v>
      </c>
    </row>
    <row r="1061" spans="1:18" x14ac:dyDescent="0.25">
      <c r="A1061" s="170">
        <v>43605</v>
      </c>
      <c r="B1061" s="116">
        <v>188.70999999999998</v>
      </c>
      <c r="C1061" s="116">
        <v>188.56</v>
      </c>
      <c r="D1061" s="116">
        <v>186</v>
      </c>
      <c r="E1061" s="116">
        <v>188.05</v>
      </c>
      <c r="F1061" s="116">
        <v>942.8</v>
      </c>
      <c r="G1061">
        <v>419</v>
      </c>
      <c r="H1061" s="116"/>
      <c r="I1061" s="116"/>
      <c r="L1061" s="170">
        <v>43571</v>
      </c>
      <c r="M1061" s="116">
        <v>192.07999999999998</v>
      </c>
      <c r="N1061" s="116">
        <v>192.5</v>
      </c>
      <c r="O1061" s="116">
        <v>188.76</v>
      </c>
      <c r="P1061" s="116">
        <v>189.78</v>
      </c>
      <c r="Q1061" s="116">
        <v>960.4</v>
      </c>
      <c r="R1061">
        <v>2996</v>
      </c>
    </row>
    <row r="1062" spans="1:18" x14ac:dyDescent="0.25">
      <c r="A1062" s="170">
        <v>43606</v>
      </c>
      <c r="B1062" s="116">
        <v>194.6</v>
      </c>
      <c r="C1062" s="116">
        <v>187.59</v>
      </c>
      <c r="D1062" s="116">
        <v>187.19</v>
      </c>
      <c r="E1062" s="116">
        <v>194.6</v>
      </c>
      <c r="F1062" s="116">
        <v>937.95</v>
      </c>
      <c r="G1062">
        <v>111</v>
      </c>
      <c r="H1062" s="116"/>
      <c r="I1062" s="116"/>
      <c r="L1062" s="170">
        <v>43573</v>
      </c>
      <c r="M1062" s="116">
        <v>192.41</v>
      </c>
      <c r="N1062" s="116">
        <v>193.70999999999998</v>
      </c>
      <c r="O1062" s="116">
        <v>191.59</v>
      </c>
      <c r="P1062" s="116">
        <v>192.4</v>
      </c>
      <c r="Q1062" s="116">
        <v>962.05</v>
      </c>
      <c r="R1062">
        <v>1835</v>
      </c>
    </row>
    <row r="1063" spans="1:18" x14ac:dyDescent="0.25">
      <c r="A1063" s="170">
        <v>43607</v>
      </c>
      <c r="B1063" s="116">
        <v>184.60999999999999</v>
      </c>
      <c r="C1063" s="116">
        <v>184.6</v>
      </c>
      <c r="D1063" s="116">
        <v>184.6</v>
      </c>
      <c r="E1063" s="116">
        <v>184.60999999999999</v>
      </c>
      <c r="F1063" s="116">
        <v>923</v>
      </c>
      <c r="G1063">
        <v>34</v>
      </c>
      <c r="H1063" s="116"/>
      <c r="I1063" s="116"/>
      <c r="L1063" s="170">
        <v>43577</v>
      </c>
      <c r="M1063" s="116">
        <v>188.79000000000002</v>
      </c>
      <c r="N1063" s="116">
        <v>191.98</v>
      </c>
      <c r="O1063" s="116">
        <v>187.6</v>
      </c>
      <c r="P1063" s="116">
        <v>190.01</v>
      </c>
      <c r="Q1063" s="116">
        <v>943.95</v>
      </c>
      <c r="R1063">
        <v>1283</v>
      </c>
    </row>
    <row r="1064" spans="1:18" x14ac:dyDescent="0.25">
      <c r="A1064" s="170">
        <v>43608</v>
      </c>
      <c r="B1064" s="116">
        <v>194</v>
      </c>
      <c r="C1064" s="116">
        <v>190</v>
      </c>
      <c r="D1064" s="116">
        <v>186</v>
      </c>
      <c r="E1064" s="116">
        <v>189.45999999999998</v>
      </c>
      <c r="F1064" s="116">
        <v>950</v>
      </c>
      <c r="G1064">
        <v>120</v>
      </c>
      <c r="H1064" s="116"/>
      <c r="I1064" s="116"/>
      <c r="L1064" s="170">
        <v>43578</v>
      </c>
      <c r="M1064" s="116">
        <v>189.4</v>
      </c>
      <c r="N1064" s="116">
        <v>189.95999999999998</v>
      </c>
      <c r="O1064" s="116">
        <v>188.6</v>
      </c>
      <c r="P1064" s="116">
        <v>188.74</v>
      </c>
      <c r="Q1064" s="116">
        <v>947</v>
      </c>
      <c r="R1064">
        <v>2029</v>
      </c>
    </row>
    <row r="1065" spans="1:18" x14ac:dyDescent="0.25">
      <c r="A1065" s="170">
        <v>43609</v>
      </c>
      <c r="B1065" s="116">
        <v>190</v>
      </c>
      <c r="C1065" s="116">
        <v>188.2</v>
      </c>
      <c r="D1065" s="116">
        <v>186.2</v>
      </c>
      <c r="E1065" s="116">
        <v>189.2</v>
      </c>
      <c r="F1065" s="116">
        <v>941</v>
      </c>
      <c r="G1065">
        <v>910</v>
      </c>
      <c r="H1065" s="116"/>
      <c r="I1065" s="116"/>
      <c r="L1065" s="170">
        <v>43579</v>
      </c>
      <c r="M1065" s="116">
        <v>188.17000000000002</v>
      </c>
      <c r="N1065" s="116">
        <v>191.8</v>
      </c>
      <c r="O1065" s="116">
        <v>186.01</v>
      </c>
      <c r="P1065" s="116">
        <v>190.02</v>
      </c>
      <c r="Q1065" s="116">
        <v>940.85</v>
      </c>
      <c r="R1065">
        <v>1878</v>
      </c>
    </row>
    <row r="1066" spans="1:18" x14ac:dyDescent="0.25">
      <c r="A1066" s="170">
        <v>43612</v>
      </c>
      <c r="B1066" s="116">
        <v>202</v>
      </c>
      <c r="C1066" s="116">
        <v>200.31</v>
      </c>
      <c r="D1066" s="116">
        <v>196.68</v>
      </c>
      <c r="E1066" s="116">
        <v>199.8</v>
      </c>
      <c r="F1066" s="116">
        <v>1001.55</v>
      </c>
      <c r="G1066">
        <v>3299</v>
      </c>
      <c r="H1066" s="116"/>
      <c r="I1066" s="116"/>
      <c r="L1066" s="170">
        <v>43580</v>
      </c>
      <c r="M1066" s="116">
        <v>188.25</v>
      </c>
      <c r="N1066" s="116">
        <v>189.60999999999999</v>
      </c>
      <c r="O1066" s="116">
        <v>188</v>
      </c>
      <c r="P1066" s="116">
        <v>188.9</v>
      </c>
      <c r="Q1066" s="116">
        <v>941.25</v>
      </c>
      <c r="R1066">
        <v>716</v>
      </c>
    </row>
    <row r="1067" spans="1:18" x14ac:dyDescent="0.25">
      <c r="A1067" s="170">
        <v>43613</v>
      </c>
      <c r="B1067" s="116">
        <v>203</v>
      </c>
      <c r="C1067" s="116">
        <v>199.84</v>
      </c>
      <c r="D1067" s="116">
        <v>198</v>
      </c>
      <c r="E1067" s="116">
        <v>198</v>
      </c>
      <c r="F1067" s="116">
        <v>999.2</v>
      </c>
      <c r="G1067">
        <v>262</v>
      </c>
      <c r="H1067" s="116"/>
      <c r="I1067" s="116"/>
      <c r="L1067" s="170">
        <v>43581</v>
      </c>
      <c r="M1067" s="116">
        <v>188.28</v>
      </c>
      <c r="N1067" s="116">
        <v>189.35</v>
      </c>
      <c r="O1067" s="116">
        <v>187.99</v>
      </c>
      <c r="P1067" s="116">
        <v>188.85999999999999</v>
      </c>
      <c r="Q1067" s="116">
        <v>941.4</v>
      </c>
      <c r="R1067">
        <v>2323</v>
      </c>
    </row>
    <row r="1068" spans="1:18" x14ac:dyDescent="0.25">
      <c r="A1068" s="170">
        <v>43614</v>
      </c>
      <c r="B1068" s="116">
        <v>199.8</v>
      </c>
      <c r="C1068" s="116">
        <v>196.49</v>
      </c>
      <c r="D1068" s="116">
        <v>195.1</v>
      </c>
      <c r="E1068" s="116">
        <v>195.2</v>
      </c>
      <c r="F1068" s="116">
        <v>982.45</v>
      </c>
      <c r="G1068">
        <v>142</v>
      </c>
      <c r="H1068" s="116"/>
      <c r="I1068" s="116"/>
      <c r="L1068" s="170">
        <v>43585</v>
      </c>
      <c r="M1068" s="116">
        <v>180.6</v>
      </c>
      <c r="N1068" s="116">
        <v>188.4</v>
      </c>
      <c r="O1068" s="116">
        <v>180.02</v>
      </c>
      <c r="P1068" s="116">
        <v>188.39000000000001</v>
      </c>
      <c r="Q1068" s="116">
        <v>903</v>
      </c>
      <c r="R1068">
        <v>2022</v>
      </c>
    </row>
    <row r="1069" spans="1:18" x14ac:dyDescent="0.25">
      <c r="A1069" s="170">
        <v>43615</v>
      </c>
      <c r="B1069" s="116">
        <v>201.57999999999998</v>
      </c>
      <c r="C1069" s="116">
        <v>201</v>
      </c>
      <c r="D1069" s="116">
        <v>197.9</v>
      </c>
      <c r="E1069" s="116">
        <v>200.8</v>
      </c>
      <c r="F1069" s="116">
        <v>1005</v>
      </c>
      <c r="G1069">
        <v>78</v>
      </c>
      <c r="H1069" s="116"/>
      <c r="I1069" s="116"/>
      <c r="L1069" s="170">
        <v>43587</v>
      </c>
      <c r="M1069" s="116">
        <v>179.91</v>
      </c>
      <c r="N1069" s="116">
        <v>183.77</v>
      </c>
      <c r="O1069" s="116">
        <v>177.43</v>
      </c>
      <c r="P1069" s="116">
        <v>183.57999999999998</v>
      </c>
      <c r="Q1069" s="116">
        <v>899.55</v>
      </c>
      <c r="R1069">
        <v>1191</v>
      </c>
    </row>
    <row r="1070" spans="1:18" x14ac:dyDescent="0.25">
      <c r="A1070" s="170">
        <v>43616</v>
      </c>
      <c r="B1070" s="116">
        <v>201.4</v>
      </c>
      <c r="C1070" s="116">
        <v>199.56</v>
      </c>
      <c r="D1070" s="116">
        <v>198</v>
      </c>
      <c r="E1070" s="116">
        <v>200</v>
      </c>
      <c r="F1070" s="116">
        <v>997.8</v>
      </c>
      <c r="G1070">
        <v>563</v>
      </c>
      <c r="H1070" s="116"/>
      <c r="I1070" s="116"/>
      <c r="L1070" s="170">
        <v>43588</v>
      </c>
      <c r="M1070" s="116">
        <v>187.38</v>
      </c>
      <c r="N1070" s="116">
        <v>188.99</v>
      </c>
      <c r="O1070" s="116">
        <v>181.8</v>
      </c>
      <c r="P1070" s="116">
        <v>181.8</v>
      </c>
      <c r="Q1070" s="116">
        <v>936.9</v>
      </c>
      <c r="R1070">
        <v>2845</v>
      </c>
    </row>
    <row r="1071" spans="1:18" x14ac:dyDescent="0.25">
      <c r="A1071" s="170">
        <v>43619</v>
      </c>
      <c r="B1071" s="116">
        <v>200</v>
      </c>
      <c r="C1071" s="116">
        <v>200</v>
      </c>
      <c r="D1071" s="116">
        <v>198.2</v>
      </c>
      <c r="E1071" s="116">
        <v>198.2</v>
      </c>
      <c r="F1071" s="116">
        <v>1000</v>
      </c>
      <c r="G1071">
        <v>352</v>
      </c>
      <c r="H1071" s="116"/>
      <c r="I1071" s="116"/>
      <c r="L1071" s="170">
        <v>43591</v>
      </c>
      <c r="M1071" s="116">
        <v>183.94</v>
      </c>
      <c r="N1071" s="116">
        <v>190.73</v>
      </c>
      <c r="O1071" s="116">
        <v>183.1</v>
      </c>
      <c r="P1071" s="116">
        <v>190.73</v>
      </c>
      <c r="Q1071" s="116">
        <v>919.7</v>
      </c>
      <c r="R1071">
        <v>138</v>
      </c>
    </row>
    <row r="1072" spans="1:18" x14ac:dyDescent="0.25">
      <c r="A1072" s="170">
        <v>43620</v>
      </c>
      <c r="B1072" s="116">
        <v>201.6</v>
      </c>
      <c r="C1072" s="116">
        <v>196.2</v>
      </c>
      <c r="D1072" s="116">
        <v>195.48</v>
      </c>
      <c r="E1072" s="116">
        <v>201.6</v>
      </c>
      <c r="F1072" s="116">
        <v>981</v>
      </c>
      <c r="G1072">
        <v>94</v>
      </c>
      <c r="H1072" s="116"/>
      <c r="I1072" s="116"/>
      <c r="L1072" s="170">
        <v>43592</v>
      </c>
      <c r="M1072" s="116">
        <v>182.32999999999998</v>
      </c>
      <c r="N1072" s="116">
        <v>185.05</v>
      </c>
      <c r="O1072" s="116">
        <v>181.73</v>
      </c>
      <c r="P1072" s="116">
        <v>185.05</v>
      </c>
      <c r="Q1072" s="116">
        <v>911.65</v>
      </c>
      <c r="R1072">
        <v>496</v>
      </c>
    </row>
    <row r="1073" spans="1:18" x14ac:dyDescent="0.25">
      <c r="A1073" s="170">
        <v>43622</v>
      </c>
      <c r="B1073" s="116">
        <v>199</v>
      </c>
      <c r="C1073" s="116">
        <v>194.31</v>
      </c>
      <c r="D1073" s="116">
        <v>192.4</v>
      </c>
      <c r="E1073" s="116">
        <v>196.2</v>
      </c>
      <c r="F1073" s="116">
        <v>971.55</v>
      </c>
      <c r="G1073">
        <v>95</v>
      </c>
      <c r="H1073" s="116"/>
      <c r="I1073" s="116"/>
      <c r="L1073" s="170">
        <v>43593</v>
      </c>
      <c r="M1073" s="116">
        <v>180.25</v>
      </c>
      <c r="N1073" s="116">
        <v>182.6</v>
      </c>
      <c r="O1073" s="116">
        <v>179.41</v>
      </c>
      <c r="P1073" s="116">
        <v>179.42000000000002</v>
      </c>
      <c r="Q1073" s="116">
        <v>901.25</v>
      </c>
      <c r="R1073">
        <v>731</v>
      </c>
    </row>
    <row r="1074" spans="1:18" x14ac:dyDescent="0.25">
      <c r="A1074" s="170">
        <v>43623</v>
      </c>
      <c r="B1074" s="116">
        <v>196</v>
      </c>
      <c r="C1074" s="116">
        <v>195.6</v>
      </c>
      <c r="D1074" s="116">
        <v>193</v>
      </c>
      <c r="E1074" s="116">
        <v>193</v>
      </c>
      <c r="F1074" s="116">
        <v>978</v>
      </c>
      <c r="G1074">
        <v>37</v>
      </c>
      <c r="H1074" s="116"/>
      <c r="I1074" s="116"/>
      <c r="L1074" s="170">
        <v>43594</v>
      </c>
      <c r="M1074" s="116">
        <v>185.49</v>
      </c>
      <c r="N1074" s="116">
        <v>187.6</v>
      </c>
      <c r="O1074" s="116">
        <v>178.1</v>
      </c>
      <c r="P1074" s="116">
        <v>178.1</v>
      </c>
      <c r="Q1074" s="116">
        <v>927.45</v>
      </c>
      <c r="R1074">
        <v>1063</v>
      </c>
    </row>
    <row r="1075" spans="1:18" x14ac:dyDescent="0.25">
      <c r="A1075" s="170">
        <v>43626</v>
      </c>
      <c r="B1075" s="116">
        <v>199.76</v>
      </c>
      <c r="C1075" s="116">
        <v>196.49</v>
      </c>
      <c r="D1075" s="116">
        <v>194.41</v>
      </c>
      <c r="E1075" s="116">
        <v>199.76</v>
      </c>
      <c r="F1075" s="116">
        <v>982.45</v>
      </c>
      <c r="G1075">
        <v>13</v>
      </c>
      <c r="H1075" s="116"/>
      <c r="I1075" s="116"/>
      <c r="L1075" s="170">
        <v>43595</v>
      </c>
      <c r="M1075" s="116">
        <v>185.41</v>
      </c>
      <c r="N1075" s="116">
        <v>189.24</v>
      </c>
      <c r="O1075" s="116">
        <v>184.26</v>
      </c>
      <c r="P1075" s="116">
        <v>187.6</v>
      </c>
      <c r="Q1075" s="116">
        <v>927.05</v>
      </c>
      <c r="R1075">
        <v>307</v>
      </c>
    </row>
    <row r="1076" spans="1:18" x14ac:dyDescent="0.25">
      <c r="A1076" s="170">
        <v>43627</v>
      </c>
      <c r="B1076" s="116">
        <v>200</v>
      </c>
      <c r="C1076" s="116">
        <v>197.70999999999998</v>
      </c>
      <c r="D1076" s="116">
        <v>192.3</v>
      </c>
      <c r="E1076" s="116">
        <v>192.3</v>
      </c>
      <c r="F1076" s="116">
        <v>988.55</v>
      </c>
      <c r="G1076">
        <v>96</v>
      </c>
      <c r="H1076" s="116"/>
      <c r="I1076" s="116"/>
      <c r="L1076" s="170">
        <v>43598</v>
      </c>
      <c r="M1076" s="116">
        <v>180.05</v>
      </c>
      <c r="N1076" s="116">
        <v>185.77</v>
      </c>
      <c r="O1076" s="116">
        <v>180</v>
      </c>
      <c r="P1076" s="116">
        <v>185.77</v>
      </c>
      <c r="Q1076" s="116">
        <v>900.25</v>
      </c>
      <c r="R1076">
        <v>1636</v>
      </c>
    </row>
    <row r="1077" spans="1:18" x14ac:dyDescent="0.25">
      <c r="A1077" s="170">
        <v>43628</v>
      </c>
      <c r="B1077" s="116">
        <v>197</v>
      </c>
      <c r="C1077" s="116">
        <v>194.56</v>
      </c>
      <c r="D1077" s="116">
        <v>193.8</v>
      </c>
      <c r="E1077" s="116">
        <v>194.2</v>
      </c>
      <c r="F1077" s="116">
        <v>972.8</v>
      </c>
      <c r="G1077">
        <v>68</v>
      </c>
      <c r="H1077" s="116"/>
      <c r="I1077" s="116"/>
      <c r="L1077" s="170">
        <v>43599</v>
      </c>
      <c r="M1077" s="116">
        <v>185.67000000000002</v>
      </c>
      <c r="N1077" s="116">
        <v>187</v>
      </c>
      <c r="O1077" s="116">
        <v>179.79000000000002</v>
      </c>
      <c r="P1077" s="116">
        <v>183.82</v>
      </c>
      <c r="Q1077" s="116">
        <v>928.35</v>
      </c>
      <c r="R1077">
        <v>2375</v>
      </c>
    </row>
    <row r="1078" spans="1:18" x14ac:dyDescent="0.25">
      <c r="A1078" s="170">
        <v>43629</v>
      </c>
      <c r="B1078" s="116">
        <v>196.54000000000002</v>
      </c>
      <c r="C1078" s="116">
        <v>196.54000000000002</v>
      </c>
      <c r="D1078" s="116">
        <v>194</v>
      </c>
      <c r="E1078" s="116">
        <v>194</v>
      </c>
      <c r="F1078" s="116">
        <v>982.7</v>
      </c>
      <c r="G1078">
        <v>29</v>
      </c>
      <c r="H1078" s="116"/>
      <c r="I1078" s="116"/>
      <c r="L1078" s="170">
        <v>43600</v>
      </c>
      <c r="M1078" s="116">
        <v>185.28</v>
      </c>
      <c r="N1078" s="116">
        <v>190.49</v>
      </c>
      <c r="O1078" s="116">
        <v>185.02</v>
      </c>
      <c r="P1078" s="116">
        <v>188.39000000000001</v>
      </c>
      <c r="Q1078" s="116">
        <v>926.4</v>
      </c>
      <c r="R1078">
        <v>2140</v>
      </c>
    </row>
    <row r="1079" spans="1:18" x14ac:dyDescent="0.25">
      <c r="A1079" s="170">
        <v>43630</v>
      </c>
      <c r="B1079" s="116">
        <v>196.59</v>
      </c>
      <c r="C1079" s="116">
        <v>196.45999999999998</v>
      </c>
      <c r="D1079" s="116">
        <v>194.75</v>
      </c>
      <c r="E1079" s="116">
        <v>196</v>
      </c>
      <c r="F1079" s="116">
        <v>982.3</v>
      </c>
      <c r="G1079">
        <v>450</v>
      </c>
      <c r="H1079" s="116"/>
      <c r="I1079" s="116"/>
      <c r="L1079" s="170">
        <v>43601</v>
      </c>
      <c r="M1079" s="116">
        <v>186.6</v>
      </c>
      <c r="N1079" s="116">
        <v>188.01</v>
      </c>
      <c r="O1079" s="116">
        <v>183.85999999999999</v>
      </c>
      <c r="P1079" s="116">
        <v>185.19</v>
      </c>
      <c r="Q1079" s="116">
        <v>933</v>
      </c>
      <c r="R1079">
        <v>9261</v>
      </c>
    </row>
    <row r="1080" spans="1:18" x14ac:dyDescent="0.25">
      <c r="A1080" s="170">
        <v>43633</v>
      </c>
      <c r="B1080" s="116">
        <v>194.35</v>
      </c>
      <c r="C1080" s="116">
        <v>194.2</v>
      </c>
      <c r="D1080" s="116">
        <v>194.2</v>
      </c>
      <c r="E1080" s="116">
        <v>194.2</v>
      </c>
      <c r="F1080" s="116">
        <v>971</v>
      </c>
      <c r="G1080">
        <v>43</v>
      </c>
      <c r="H1080" s="116"/>
      <c r="I1080" s="116"/>
      <c r="L1080" s="170">
        <v>43602</v>
      </c>
      <c r="M1080" s="116">
        <v>185.47</v>
      </c>
      <c r="N1080" s="116">
        <v>188.2</v>
      </c>
      <c r="O1080" s="116">
        <v>184.85999999999999</v>
      </c>
      <c r="P1080" s="116">
        <v>185</v>
      </c>
      <c r="Q1080" s="116">
        <v>927.35</v>
      </c>
      <c r="R1080">
        <v>4197</v>
      </c>
    </row>
    <row r="1081" spans="1:18" x14ac:dyDescent="0.25">
      <c r="A1081" s="170">
        <v>43634</v>
      </c>
      <c r="B1081" s="116">
        <v>193</v>
      </c>
      <c r="C1081" s="116">
        <v>192.4</v>
      </c>
      <c r="D1081" s="116">
        <v>192.4</v>
      </c>
      <c r="E1081" s="116">
        <v>193</v>
      </c>
      <c r="F1081" s="116">
        <v>962</v>
      </c>
      <c r="G1081">
        <v>9</v>
      </c>
      <c r="H1081" s="116"/>
      <c r="I1081" s="116"/>
      <c r="L1081" s="170">
        <v>43605</v>
      </c>
      <c r="M1081" s="116">
        <v>188.8</v>
      </c>
      <c r="N1081" s="116">
        <v>194</v>
      </c>
      <c r="O1081" s="116">
        <v>185.47</v>
      </c>
      <c r="P1081" s="116">
        <v>185.47</v>
      </c>
      <c r="Q1081" s="116">
        <v>944</v>
      </c>
      <c r="R1081">
        <v>3341</v>
      </c>
    </row>
    <row r="1082" spans="1:18" x14ac:dyDescent="0.25">
      <c r="A1082" s="170">
        <v>43635</v>
      </c>
      <c r="B1082" s="116">
        <v>191.75</v>
      </c>
      <c r="C1082" s="116">
        <v>188.2</v>
      </c>
      <c r="D1082" s="116">
        <v>187</v>
      </c>
      <c r="E1082" s="116">
        <v>187.8</v>
      </c>
      <c r="F1082" s="116">
        <v>941</v>
      </c>
      <c r="G1082">
        <v>198</v>
      </c>
      <c r="H1082" s="116"/>
      <c r="I1082" s="116"/>
      <c r="L1082" s="170">
        <v>43606</v>
      </c>
      <c r="M1082" s="116">
        <v>186.82999999999998</v>
      </c>
      <c r="N1082" s="116">
        <v>190.27</v>
      </c>
      <c r="O1082" s="116">
        <v>185.26</v>
      </c>
      <c r="P1082" s="116">
        <v>188.8</v>
      </c>
      <c r="Q1082" s="116">
        <v>934.15</v>
      </c>
      <c r="R1082">
        <v>1875</v>
      </c>
    </row>
    <row r="1083" spans="1:18" x14ac:dyDescent="0.25">
      <c r="A1083" s="170">
        <v>43636</v>
      </c>
      <c r="B1083" s="116">
        <v>186</v>
      </c>
      <c r="C1083" s="116">
        <v>186</v>
      </c>
      <c r="D1083" s="116">
        <v>186</v>
      </c>
      <c r="E1083" s="116">
        <v>186</v>
      </c>
      <c r="F1083" s="116">
        <v>930</v>
      </c>
      <c r="G1083">
        <v>68</v>
      </c>
      <c r="H1083" s="116"/>
      <c r="I1083" s="116"/>
      <c r="L1083" s="170">
        <v>43607</v>
      </c>
      <c r="M1083" s="116">
        <v>184.70999999999998</v>
      </c>
      <c r="N1083" s="116">
        <v>187.6</v>
      </c>
      <c r="O1083" s="116">
        <v>184.6</v>
      </c>
      <c r="P1083" s="116">
        <v>185.01</v>
      </c>
      <c r="Q1083" s="116">
        <v>923.55</v>
      </c>
      <c r="R1083">
        <v>1784</v>
      </c>
    </row>
    <row r="1084" spans="1:18" x14ac:dyDescent="0.25">
      <c r="A1084" s="170">
        <v>43637</v>
      </c>
      <c r="B1084" s="116">
        <v>188.37</v>
      </c>
      <c r="C1084" s="116">
        <v>185</v>
      </c>
      <c r="D1084" s="116">
        <v>182.6</v>
      </c>
      <c r="E1084" s="116">
        <v>185</v>
      </c>
      <c r="F1084" s="116">
        <v>925</v>
      </c>
      <c r="G1084">
        <v>158</v>
      </c>
      <c r="H1084" s="116"/>
      <c r="I1084" s="116"/>
      <c r="L1084" s="170">
        <v>43608</v>
      </c>
      <c r="M1084" s="116">
        <v>184.79000000000002</v>
      </c>
      <c r="N1084" s="116">
        <v>187</v>
      </c>
      <c r="O1084" s="116">
        <v>184.6</v>
      </c>
      <c r="P1084" s="116">
        <v>184.85999999999999</v>
      </c>
      <c r="Q1084" s="116">
        <v>923.95</v>
      </c>
      <c r="R1084">
        <v>1908</v>
      </c>
    </row>
    <row r="1085" spans="1:18" x14ac:dyDescent="0.25">
      <c r="A1085" s="170">
        <v>43640</v>
      </c>
      <c r="B1085" s="116">
        <v>185.2</v>
      </c>
      <c r="C1085" s="116">
        <v>182.73</v>
      </c>
      <c r="D1085" s="116">
        <v>182.1</v>
      </c>
      <c r="E1085" s="116">
        <v>185.2</v>
      </c>
      <c r="F1085" s="116">
        <v>913.65</v>
      </c>
      <c r="G1085">
        <v>60</v>
      </c>
      <c r="H1085" s="116"/>
      <c r="I1085" s="116"/>
      <c r="L1085" s="170">
        <v>43609</v>
      </c>
      <c r="M1085" s="116">
        <v>187.48</v>
      </c>
      <c r="N1085" s="116">
        <v>190.4</v>
      </c>
      <c r="O1085" s="116">
        <v>185.3</v>
      </c>
      <c r="P1085" s="116">
        <v>190.39000000000001</v>
      </c>
      <c r="Q1085" s="116">
        <v>937.4</v>
      </c>
      <c r="R1085">
        <v>2493</v>
      </c>
    </row>
    <row r="1086" spans="1:18" x14ac:dyDescent="0.25">
      <c r="A1086" s="170">
        <v>43641</v>
      </c>
      <c r="B1086" s="116">
        <v>193</v>
      </c>
      <c r="C1086" s="116">
        <v>182.02</v>
      </c>
      <c r="D1086" s="116">
        <v>182</v>
      </c>
      <c r="E1086" s="116">
        <v>186.94</v>
      </c>
      <c r="F1086" s="116">
        <v>910.1</v>
      </c>
      <c r="G1086">
        <v>198</v>
      </c>
      <c r="H1086" s="116"/>
      <c r="I1086" s="116"/>
      <c r="L1086" s="170">
        <v>43612</v>
      </c>
      <c r="M1086" s="116">
        <v>200.78</v>
      </c>
      <c r="N1086" s="116">
        <v>201.6</v>
      </c>
      <c r="O1086" s="116">
        <v>194.8</v>
      </c>
      <c r="P1086" s="116">
        <v>194.8</v>
      </c>
      <c r="Q1086" s="116">
        <v>1003.9</v>
      </c>
      <c r="R1086">
        <v>16170</v>
      </c>
    </row>
    <row r="1087" spans="1:18" x14ac:dyDescent="0.25">
      <c r="A1087" s="170">
        <v>43642</v>
      </c>
      <c r="B1087" s="116">
        <v>184.6</v>
      </c>
      <c r="C1087" s="116">
        <v>182.84</v>
      </c>
      <c r="D1087" s="116">
        <v>180.69</v>
      </c>
      <c r="E1087" s="116">
        <v>184</v>
      </c>
      <c r="F1087" s="116">
        <v>914.2</v>
      </c>
      <c r="G1087">
        <v>158</v>
      </c>
      <c r="H1087" s="116"/>
      <c r="I1087" s="116"/>
      <c r="L1087" s="170">
        <v>43613</v>
      </c>
      <c r="M1087" s="116">
        <v>199.9</v>
      </c>
      <c r="N1087" s="116">
        <v>205</v>
      </c>
      <c r="O1087" s="116">
        <v>198.31</v>
      </c>
      <c r="P1087" s="116">
        <v>205</v>
      </c>
      <c r="Q1087" s="116">
        <v>999.5</v>
      </c>
      <c r="R1087">
        <v>3607</v>
      </c>
    </row>
    <row r="1088" spans="1:18" x14ac:dyDescent="0.25">
      <c r="A1088" s="170">
        <v>43644</v>
      </c>
      <c r="B1088" s="116">
        <v>185</v>
      </c>
      <c r="C1088" s="116">
        <v>182.82999999999998</v>
      </c>
      <c r="D1088" s="116">
        <v>182.32999999999998</v>
      </c>
      <c r="E1088" s="116">
        <v>185</v>
      </c>
      <c r="F1088" s="116">
        <v>914.15</v>
      </c>
      <c r="G1088">
        <v>90</v>
      </c>
      <c r="H1088" s="116"/>
      <c r="I1088" s="116"/>
      <c r="L1088" s="170">
        <v>43614</v>
      </c>
      <c r="M1088" s="116">
        <v>197.35999999999999</v>
      </c>
      <c r="N1088" s="116">
        <v>199.9</v>
      </c>
      <c r="O1088" s="116">
        <v>195</v>
      </c>
      <c r="P1088" s="116">
        <v>199.9</v>
      </c>
      <c r="Q1088" s="116">
        <v>986.8</v>
      </c>
      <c r="R1088">
        <v>6500</v>
      </c>
    </row>
    <row r="1089" spans="1:18" x14ac:dyDescent="0.25">
      <c r="A1089" s="170">
        <v>43647</v>
      </c>
      <c r="B1089" s="116">
        <v>188.87</v>
      </c>
      <c r="C1089" s="116">
        <v>188.75</v>
      </c>
      <c r="D1089" s="116">
        <v>184.4</v>
      </c>
      <c r="E1089" s="116">
        <v>184.4</v>
      </c>
      <c r="F1089" s="116">
        <v>943.75</v>
      </c>
      <c r="G1089">
        <v>206</v>
      </c>
      <c r="H1089" s="116"/>
      <c r="I1089" s="116"/>
      <c r="L1089" s="170">
        <v>43615</v>
      </c>
      <c r="M1089" s="116">
        <v>200.09</v>
      </c>
      <c r="N1089" s="116">
        <v>202.01</v>
      </c>
      <c r="O1089" s="116">
        <v>196.4</v>
      </c>
      <c r="P1089" s="116">
        <v>198.87</v>
      </c>
      <c r="Q1089" s="116">
        <v>1000.45</v>
      </c>
      <c r="R1089">
        <v>4736</v>
      </c>
    </row>
    <row r="1090" spans="1:18" x14ac:dyDescent="0.25">
      <c r="A1090" s="170">
        <v>43648</v>
      </c>
      <c r="B1090" s="116">
        <v>195.99</v>
      </c>
      <c r="C1090" s="116">
        <v>193.96</v>
      </c>
      <c r="D1090" s="116">
        <v>188</v>
      </c>
      <c r="E1090" s="116">
        <v>188</v>
      </c>
      <c r="F1090" s="116">
        <v>969.8</v>
      </c>
      <c r="G1090">
        <v>46</v>
      </c>
      <c r="H1090" s="116"/>
      <c r="I1090" s="116"/>
      <c r="L1090" s="170">
        <v>43616</v>
      </c>
      <c r="M1090" s="116">
        <v>200.64000000000001</v>
      </c>
      <c r="N1090" s="116">
        <v>202.99</v>
      </c>
      <c r="O1090" s="116">
        <v>198.22</v>
      </c>
      <c r="P1090" s="116">
        <v>200.07999999999998</v>
      </c>
      <c r="Q1090" s="116">
        <v>1003.2</v>
      </c>
      <c r="R1090">
        <v>5239</v>
      </c>
    </row>
    <row r="1091" spans="1:18" x14ac:dyDescent="0.25">
      <c r="A1091" s="170">
        <v>43649</v>
      </c>
      <c r="B1091" s="116">
        <v>201.95</v>
      </c>
      <c r="C1091" s="116">
        <v>198.22</v>
      </c>
      <c r="D1091" s="116">
        <v>195.38</v>
      </c>
      <c r="E1091" s="116">
        <v>195.38</v>
      </c>
      <c r="F1091" s="116">
        <v>991.1</v>
      </c>
      <c r="G1091">
        <v>227</v>
      </c>
      <c r="H1091" s="116"/>
      <c r="I1091" s="116"/>
      <c r="L1091" s="170">
        <v>43619</v>
      </c>
      <c r="M1091" s="116">
        <v>198.15</v>
      </c>
      <c r="N1091" s="116">
        <v>203.03</v>
      </c>
      <c r="O1091" s="116">
        <v>198</v>
      </c>
      <c r="P1091" s="116">
        <v>200.59</v>
      </c>
      <c r="Q1091" s="116">
        <v>990.75</v>
      </c>
      <c r="R1091">
        <v>2635</v>
      </c>
    </row>
    <row r="1092" spans="1:18" x14ac:dyDescent="0.25">
      <c r="A1092" s="170">
        <v>43650</v>
      </c>
      <c r="B1092" s="116">
        <v>199</v>
      </c>
      <c r="C1092" s="116">
        <v>196.56</v>
      </c>
      <c r="D1092" s="116">
        <v>196.4</v>
      </c>
      <c r="E1092" s="116">
        <v>199</v>
      </c>
      <c r="F1092" s="116">
        <v>982.8</v>
      </c>
      <c r="G1092">
        <v>186</v>
      </c>
      <c r="H1092" s="116"/>
      <c r="I1092" s="116"/>
      <c r="L1092" s="170">
        <v>43620</v>
      </c>
      <c r="M1092" s="116">
        <v>197.52</v>
      </c>
      <c r="N1092" s="116">
        <v>199.15</v>
      </c>
      <c r="O1092" s="116">
        <v>197</v>
      </c>
      <c r="P1092" s="116">
        <v>197.84</v>
      </c>
      <c r="Q1092" s="116">
        <v>987.6</v>
      </c>
      <c r="R1092">
        <v>2119</v>
      </c>
    </row>
    <row r="1093" spans="1:18" x14ac:dyDescent="0.25">
      <c r="A1093" s="170">
        <v>43651</v>
      </c>
      <c r="B1093" s="116">
        <v>195.4</v>
      </c>
      <c r="C1093" s="116">
        <v>194.42</v>
      </c>
      <c r="D1093" s="116">
        <v>193.71</v>
      </c>
      <c r="E1093" s="116">
        <v>195.4</v>
      </c>
      <c r="F1093" s="116">
        <v>972.1</v>
      </c>
      <c r="G1093">
        <v>30</v>
      </c>
      <c r="H1093" s="116"/>
      <c r="I1093" s="116"/>
      <c r="L1093" s="170">
        <v>43622</v>
      </c>
      <c r="M1093" s="116">
        <v>194.27</v>
      </c>
      <c r="N1093" s="116">
        <v>197.84</v>
      </c>
      <c r="O1093" s="116">
        <v>193.56</v>
      </c>
      <c r="P1093" s="116">
        <v>197.51</v>
      </c>
      <c r="Q1093" s="116">
        <v>971.35</v>
      </c>
      <c r="R1093">
        <v>2147</v>
      </c>
    </row>
    <row r="1094" spans="1:18" x14ac:dyDescent="0.25">
      <c r="A1094" s="170">
        <v>43654</v>
      </c>
      <c r="B1094" s="116">
        <v>200.85</v>
      </c>
      <c r="C1094" s="116">
        <v>197.72</v>
      </c>
      <c r="D1094" s="116">
        <v>193.32</v>
      </c>
      <c r="E1094" s="116">
        <v>193.32</v>
      </c>
      <c r="F1094" s="116">
        <v>988.6</v>
      </c>
      <c r="G1094">
        <v>271</v>
      </c>
      <c r="H1094" s="116"/>
      <c r="I1094" s="116"/>
      <c r="L1094" s="170">
        <v>43623</v>
      </c>
      <c r="M1094" s="116">
        <v>195.77</v>
      </c>
      <c r="N1094" s="116">
        <v>197</v>
      </c>
      <c r="O1094" s="116">
        <v>193.68</v>
      </c>
      <c r="P1094" s="116">
        <v>196.8</v>
      </c>
      <c r="Q1094" s="116">
        <v>978.85</v>
      </c>
      <c r="R1094">
        <v>4016</v>
      </c>
    </row>
    <row r="1095" spans="1:18" x14ac:dyDescent="0.25">
      <c r="A1095" s="170">
        <v>43655</v>
      </c>
      <c r="B1095" s="116">
        <v>196.67</v>
      </c>
      <c r="C1095" s="116">
        <v>195.01</v>
      </c>
      <c r="D1095" s="116">
        <v>193.4</v>
      </c>
      <c r="E1095" s="116">
        <v>193.4</v>
      </c>
      <c r="F1095" s="116">
        <v>975.05</v>
      </c>
      <c r="G1095">
        <v>662</v>
      </c>
      <c r="H1095" s="116"/>
      <c r="I1095" s="116"/>
      <c r="L1095" s="170">
        <v>43626</v>
      </c>
      <c r="M1095" s="116">
        <v>195.89000000000001</v>
      </c>
      <c r="N1095" s="116">
        <v>197.32999999999998</v>
      </c>
      <c r="O1095" s="116">
        <v>194.3</v>
      </c>
      <c r="P1095" s="116">
        <v>195.39000000000001</v>
      </c>
      <c r="Q1095" s="116">
        <v>979.45</v>
      </c>
      <c r="R1095">
        <v>1123</v>
      </c>
    </row>
    <row r="1096" spans="1:18" x14ac:dyDescent="0.25">
      <c r="A1096" s="170">
        <v>43656</v>
      </c>
      <c r="B1096" s="116">
        <v>197</v>
      </c>
      <c r="C1096" s="116">
        <v>195</v>
      </c>
      <c r="D1096" s="116">
        <v>195</v>
      </c>
      <c r="E1096" s="116">
        <v>197</v>
      </c>
      <c r="F1096" s="116">
        <v>975</v>
      </c>
      <c r="G1096">
        <v>16</v>
      </c>
      <c r="H1096" s="116"/>
      <c r="I1096" s="116"/>
      <c r="L1096" s="170">
        <v>43627</v>
      </c>
      <c r="M1096" s="116">
        <v>195</v>
      </c>
      <c r="N1096" s="116">
        <v>197.01</v>
      </c>
      <c r="O1096" s="116">
        <v>194.60999999999999</v>
      </c>
      <c r="P1096" s="116">
        <v>197.01</v>
      </c>
      <c r="Q1096" s="116">
        <v>975</v>
      </c>
      <c r="R1096">
        <v>2778</v>
      </c>
    </row>
    <row r="1097" spans="1:18" x14ac:dyDescent="0.25">
      <c r="A1097" s="170">
        <v>43657</v>
      </c>
      <c r="B1097" s="116">
        <v>196</v>
      </c>
      <c r="C1097" s="116">
        <v>195.01</v>
      </c>
      <c r="D1097" s="116">
        <v>194.6</v>
      </c>
      <c r="E1097" s="116">
        <v>196</v>
      </c>
      <c r="F1097" s="116">
        <v>975.05</v>
      </c>
      <c r="G1097">
        <v>556</v>
      </c>
      <c r="H1097" s="116"/>
      <c r="I1097" s="116"/>
      <c r="L1097" s="170">
        <v>43628</v>
      </c>
      <c r="M1097" s="116">
        <v>195.12</v>
      </c>
      <c r="N1097" s="116">
        <v>195.69</v>
      </c>
      <c r="O1097" s="116">
        <v>194</v>
      </c>
      <c r="P1097" s="116">
        <v>195.69</v>
      </c>
      <c r="Q1097" s="116">
        <v>975.6</v>
      </c>
      <c r="R1097">
        <v>1090</v>
      </c>
    </row>
    <row r="1098" spans="1:18" x14ac:dyDescent="0.25">
      <c r="A1098" s="170">
        <v>43658</v>
      </c>
      <c r="B1098" s="116">
        <v>196</v>
      </c>
      <c r="C1098" s="116">
        <v>195.67</v>
      </c>
      <c r="D1098" s="116">
        <v>195</v>
      </c>
      <c r="E1098" s="116">
        <v>196</v>
      </c>
      <c r="F1098" s="116">
        <v>978.35</v>
      </c>
      <c r="G1098">
        <v>469</v>
      </c>
      <c r="H1098" s="116"/>
      <c r="I1098" s="116"/>
      <c r="L1098" s="170">
        <v>43629</v>
      </c>
      <c r="M1098" s="116">
        <v>195.85999999999999</v>
      </c>
      <c r="N1098" s="116">
        <v>199.54000000000002</v>
      </c>
      <c r="O1098" s="116">
        <v>194.02</v>
      </c>
      <c r="P1098" s="116">
        <v>199.53</v>
      </c>
      <c r="Q1098" s="116">
        <v>979.3</v>
      </c>
      <c r="R1098">
        <v>643</v>
      </c>
    </row>
    <row r="1099" spans="1:18" x14ac:dyDescent="0.25">
      <c r="A1099" s="170">
        <v>43661</v>
      </c>
      <c r="B1099" s="116">
        <v>196.25</v>
      </c>
      <c r="C1099" s="116">
        <v>194.9</v>
      </c>
      <c r="D1099" s="116">
        <v>193.16</v>
      </c>
      <c r="E1099" s="116">
        <v>196</v>
      </c>
      <c r="F1099" s="116">
        <v>974.5</v>
      </c>
      <c r="G1099">
        <v>254</v>
      </c>
      <c r="H1099" s="116"/>
      <c r="I1099" s="116"/>
      <c r="L1099" s="170">
        <v>43630</v>
      </c>
      <c r="M1099" s="116">
        <v>195.69</v>
      </c>
      <c r="N1099" s="116">
        <v>196.54000000000002</v>
      </c>
      <c r="O1099" s="116">
        <v>194.6</v>
      </c>
      <c r="P1099" s="116">
        <v>194.60999999999999</v>
      </c>
      <c r="Q1099" s="116">
        <v>978.45</v>
      </c>
      <c r="R1099">
        <v>616</v>
      </c>
    </row>
    <row r="1100" spans="1:18" x14ac:dyDescent="0.25">
      <c r="A1100" s="170">
        <v>43662</v>
      </c>
      <c r="B1100" s="116">
        <v>195.78</v>
      </c>
      <c r="C1100" s="116">
        <v>193.84</v>
      </c>
      <c r="D1100" s="116">
        <v>192</v>
      </c>
      <c r="E1100" s="116">
        <v>193</v>
      </c>
      <c r="F1100" s="116">
        <v>969.2</v>
      </c>
      <c r="G1100">
        <v>206</v>
      </c>
      <c r="H1100" s="116"/>
      <c r="I1100" s="116"/>
      <c r="L1100" s="170">
        <v>43633</v>
      </c>
      <c r="M1100" s="116">
        <v>194.27</v>
      </c>
      <c r="N1100" s="116">
        <v>195.95999999999998</v>
      </c>
      <c r="O1100" s="116">
        <v>193</v>
      </c>
      <c r="P1100" s="116">
        <v>194.76</v>
      </c>
      <c r="Q1100" s="116">
        <v>971.35</v>
      </c>
      <c r="R1100">
        <v>2682</v>
      </c>
    </row>
    <row r="1101" spans="1:18" x14ac:dyDescent="0.25">
      <c r="A1101" s="170">
        <v>43663</v>
      </c>
      <c r="B1101" s="116">
        <v>193.4</v>
      </c>
      <c r="C1101" s="116">
        <v>192.4</v>
      </c>
      <c r="D1101" s="116">
        <v>190.16</v>
      </c>
      <c r="E1101" s="116">
        <v>191.12</v>
      </c>
      <c r="F1101" s="116">
        <v>962</v>
      </c>
      <c r="G1101">
        <v>41</v>
      </c>
      <c r="H1101" s="116"/>
      <c r="I1101" s="116"/>
      <c r="L1101" s="170">
        <v>43634</v>
      </c>
      <c r="M1101" s="116">
        <v>191.55</v>
      </c>
      <c r="N1101" s="116">
        <v>196</v>
      </c>
      <c r="O1101" s="116">
        <v>190.2</v>
      </c>
      <c r="P1101" s="116">
        <v>196</v>
      </c>
      <c r="Q1101" s="116">
        <v>957.75</v>
      </c>
      <c r="R1101">
        <v>1002</v>
      </c>
    </row>
    <row r="1102" spans="1:18" x14ac:dyDescent="0.25">
      <c r="A1102" s="170">
        <v>43664</v>
      </c>
      <c r="B1102" s="116">
        <v>191.78</v>
      </c>
      <c r="C1102" s="116">
        <v>187.02</v>
      </c>
      <c r="D1102" s="116">
        <v>185.94</v>
      </c>
      <c r="E1102" s="116">
        <v>190</v>
      </c>
      <c r="F1102" s="116">
        <v>935.1</v>
      </c>
      <c r="G1102">
        <v>108</v>
      </c>
      <c r="H1102" s="116"/>
      <c r="I1102" s="116"/>
      <c r="L1102" s="170">
        <v>43635</v>
      </c>
      <c r="M1102" s="116">
        <v>187.68</v>
      </c>
      <c r="N1102" s="116">
        <v>193</v>
      </c>
      <c r="O1102" s="116">
        <v>185.01</v>
      </c>
      <c r="P1102" s="116">
        <v>192.13</v>
      </c>
      <c r="Q1102" s="116">
        <v>938.4</v>
      </c>
      <c r="R1102">
        <v>1055</v>
      </c>
    </row>
    <row r="1103" spans="1:18" x14ac:dyDescent="0.25">
      <c r="A1103" s="170">
        <v>43665</v>
      </c>
      <c r="B1103" s="116">
        <v>189.12</v>
      </c>
      <c r="C1103" s="116">
        <v>184.64</v>
      </c>
      <c r="D1103" s="116">
        <v>183.98</v>
      </c>
      <c r="E1103" s="116">
        <v>189.12</v>
      </c>
      <c r="F1103" s="116">
        <v>923.2</v>
      </c>
      <c r="G1103">
        <v>240</v>
      </c>
      <c r="H1103" s="116"/>
      <c r="I1103" s="116"/>
      <c r="L1103" s="170">
        <v>43636</v>
      </c>
      <c r="M1103" s="116">
        <v>185.45999999999998</v>
      </c>
      <c r="N1103" s="116">
        <v>187.8</v>
      </c>
      <c r="O1103" s="116">
        <v>182.60999999999999</v>
      </c>
      <c r="P1103" s="116">
        <v>186.05</v>
      </c>
      <c r="Q1103" s="116">
        <v>927.3</v>
      </c>
      <c r="R1103">
        <v>1113</v>
      </c>
    </row>
    <row r="1104" spans="1:18" x14ac:dyDescent="0.25">
      <c r="A1104" s="170">
        <v>43668</v>
      </c>
      <c r="B1104" s="116">
        <v>183.45</v>
      </c>
      <c r="C1104" s="116">
        <v>180.26</v>
      </c>
      <c r="D1104" s="116">
        <v>179.8</v>
      </c>
      <c r="E1104" s="116">
        <v>183.45</v>
      </c>
      <c r="F1104" s="116">
        <v>901.3</v>
      </c>
      <c r="G1104">
        <v>71</v>
      </c>
      <c r="H1104" s="116"/>
      <c r="I1104" s="116"/>
      <c r="L1104" s="170">
        <v>43637</v>
      </c>
      <c r="M1104" s="116">
        <v>183.37</v>
      </c>
      <c r="N1104" s="116">
        <v>186</v>
      </c>
      <c r="O1104" s="116">
        <v>182.2</v>
      </c>
      <c r="P1104" s="116">
        <v>185</v>
      </c>
      <c r="Q1104" s="116">
        <v>916.85</v>
      </c>
      <c r="R1104">
        <v>1441</v>
      </c>
    </row>
    <row r="1105" spans="1:18" x14ac:dyDescent="0.25">
      <c r="A1105" s="170">
        <v>43669</v>
      </c>
      <c r="B1105" s="116">
        <v>180.71</v>
      </c>
      <c r="C1105" s="116">
        <v>176.76</v>
      </c>
      <c r="D1105" s="116">
        <v>175.42</v>
      </c>
      <c r="E1105" s="116">
        <v>175.44</v>
      </c>
      <c r="F1105" s="116">
        <v>883.8</v>
      </c>
      <c r="G1105">
        <v>161</v>
      </c>
      <c r="H1105" s="116"/>
      <c r="I1105" s="116"/>
      <c r="L1105" s="170">
        <v>43640</v>
      </c>
      <c r="M1105" s="116">
        <v>183.53</v>
      </c>
      <c r="N1105" s="116">
        <v>186.59</v>
      </c>
      <c r="O1105" s="116">
        <v>183.2</v>
      </c>
      <c r="P1105" s="116">
        <v>183.2</v>
      </c>
      <c r="Q1105" s="116">
        <v>917.65</v>
      </c>
      <c r="R1105">
        <v>904</v>
      </c>
    </row>
    <row r="1106" spans="1:18" x14ac:dyDescent="0.25">
      <c r="A1106" s="170">
        <v>43670</v>
      </c>
      <c r="B1106" s="116">
        <v>184.64</v>
      </c>
      <c r="C1106" s="116">
        <v>176.75</v>
      </c>
      <c r="D1106" s="116">
        <v>174.02</v>
      </c>
      <c r="E1106" s="116">
        <v>176.8</v>
      </c>
      <c r="F1106" s="116">
        <v>883.75</v>
      </c>
      <c r="G1106">
        <v>387</v>
      </c>
      <c r="H1106" s="116"/>
      <c r="I1106" s="116"/>
      <c r="L1106" s="170">
        <v>43641</v>
      </c>
      <c r="M1106" s="116">
        <v>182.1</v>
      </c>
      <c r="N1106" s="116">
        <v>183.94</v>
      </c>
      <c r="O1106" s="116">
        <v>181.64000000000001</v>
      </c>
      <c r="P1106" s="116">
        <v>182.6</v>
      </c>
      <c r="Q1106" s="116">
        <v>910.5</v>
      </c>
      <c r="R1106">
        <v>833</v>
      </c>
    </row>
    <row r="1107" spans="1:18" x14ac:dyDescent="0.25">
      <c r="A1107" s="170">
        <v>43671</v>
      </c>
      <c r="B1107" s="116">
        <v>183.58</v>
      </c>
      <c r="C1107" s="116">
        <v>176.29</v>
      </c>
      <c r="D1107" s="116">
        <v>173.4</v>
      </c>
      <c r="E1107" s="116">
        <v>176</v>
      </c>
      <c r="F1107" s="116">
        <v>881.45</v>
      </c>
      <c r="G1107">
        <v>197</v>
      </c>
      <c r="H1107" s="116"/>
      <c r="I1107" s="116"/>
      <c r="L1107" s="170">
        <v>43642</v>
      </c>
      <c r="M1107" s="116">
        <v>182.22</v>
      </c>
      <c r="N1107" s="116">
        <v>185.99</v>
      </c>
      <c r="O1107" s="116">
        <v>181.64000000000001</v>
      </c>
      <c r="P1107" s="116">
        <v>185.99</v>
      </c>
      <c r="Q1107" s="116">
        <v>911.1</v>
      </c>
      <c r="R1107">
        <v>882</v>
      </c>
    </row>
    <row r="1108" spans="1:18" x14ac:dyDescent="0.25">
      <c r="A1108" s="170">
        <v>43672</v>
      </c>
      <c r="B1108" s="116">
        <v>178.1</v>
      </c>
      <c r="C1108" s="116">
        <v>177.54</v>
      </c>
      <c r="D1108" s="116">
        <v>173.2</v>
      </c>
      <c r="E1108" s="116">
        <v>173.2</v>
      </c>
      <c r="F1108" s="116">
        <v>887.7</v>
      </c>
      <c r="G1108">
        <v>197</v>
      </c>
      <c r="H1108" s="116"/>
      <c r="I1108" s="116"/>
      <c r="L1108" s="170">
        <v>43643</v>
      </c>
      <c r="M1108" s="116">
        <v>184.45</v>
      </c>
      <c r="N1108" s="116">
        <v>185.87</v>
      </c>
      <c r="O1108" s="116">
        <v>182.6</v>
      </c>
      <c r="P1108" s="116">
        <v>184.97</v>
      </c>
      <c r="Q1108" s="116">
        <v>922.25</v>
      </c>
      <c r="R1108">
        <v>1507</v>
      </c>
    </row>
    <row r="1109" spans="1:18" x14ac:dyDescent="0.25">
      <c r="A1109" s="170">
        <v>43675</v>
      </c>
      <c r="B1109" s="116">
        <v>182.26</v>
      </c>
      <c r="C1109" s="116">
        <v>172.3</v>
      </c>
      <c r="D1109" s="116">
        <v>170.88</v>
      </c>
      <c r="E1109" s="116">
        <v>179.8</v>
      </c>
      <c r="F1109" s="116">
        <v>861.5</v>
      </c>
      <c r="G1109">
        <v>1379</v>
      </c>
      <c r="H1109" s="116"/>
      <c r="I1109" s="116"/>
      <c r="L1109" s="170">
        <v>43644</v>
      </c>
      <c r="M1109" s="116">
        <v>183.92000000000002</v>
      </c>
      <c r="N1109" s="116">
        <v>186.6</v>
      </c>
      <c r="O1109" s="116">
        <v>183.6</v>
      </c>
      <c r="P1109" s="116">
        <v>184.01</v>
      </c>
      <c r="Q1109" s="116">
        <v>919.6</v>
      </c>
      <c r="R1109">
        <v>231</v>
      </c>
    </row>
    <row r="1110" spans="1:18" x14ac:dyDescent="0.25">
      <c r="A1110" s="170">
        <v>43676</v>
      </c>
      <c r="B1110" s="116">
        <v>175.99</v>
      </c>
      <c r="C1110" s="116">
        <v>166.16</v>
      </c>
      <c r="D1110" s="116">
        <v>164.83</v>
      </c>
      <c r="E1110" s="116">
        <v>174</v>
      </c>
      <c r="F1110" s="116">
        <v>830.8</v>
      </c>
      <c r="G1110">
        <v>509</v>
      </c>
      <c r="H1110" s="116"/>
      <c r="I1110" s="116"/>
      <c r="L1110" s="170">
        <v>43647</v>
      </c>
      <c r="M1110" s="116">
        <v>187.21</v>
      </c>
      <c r="N1110" s="116">
        <v>188</v>
      </c>
      <c r="O1110" s="116">
        <v>184.58</v>
      </c>
      <c r="P1110" s="116">
        <v>188</v>
      </c>
      <c r="Q1110" s="116">
        <v>936.05</v>
      </c>
      <c r="R1110">
        <v>1402</v>
      </c>
    </row>
    <row r="1111" spans="1:18" x14ac:dyDescent="0.25">
      <c r="A1111" s="170">
        <v>43677</v>
      </c>
      <c r="B1111" s="116">
        <v>178.79</v>
      </c>
      <c r="C1111" s="116">
        <v>175.05</v>
      </c>
      <c r="D1111" s="116">
        <v>163.1</v>
      </c>
      <c r="E1111" s="116">
        <v>163.1</v>
      </c>
      <c r="F1111" s="116">
        <v>875.25</v>
      </c>
      <c r="G1111">
        <v>316</v>
      </c>
      <c r="H1111" s="116"/>
      <c r="I1111" s="116"/>
      <c r="L1111" s="170">
        <v>43648</v>
      </c>
      <c r="M1111" s="116">
        <v>192.58</v>
      </c>
      <c r="N1111" s="116">
        <v>194</v>
      </c>
      <c r="O1111" s="116">
        <v>186.81</v>
      </c>
      <c r="P1111" s="116">
        <v>188.38</v>
      </c>
      <c r="Q1111" s="116">
        <v>962.9</v>
      </c>
      <c r="R1111">
        <v>1579</v>
      </c>
    </row>
    <row r="1112" spans="1:18" x14ac:dyDescent="0.25">
      <c r="A1112" s="170">
        <v>43678</v>
      </c>
      <c r="B1112" s="116">
        <v>176.04</v>
      </c>
      <c r="C1112" s="116">
        <v>169.31</v>
      </c>
      <c r="D1112" s="116">
        <v>168.88</v>
      </c>
      <c r="E1112" s="116">
        <v>172.4</v>
      </c>
      <c r="F1112" s="116">
        <v>846.55</v>
      </c>
      <c r="G1112">
        <v>183</v>
      </c>
      <c r="H1112" s="116"/>
      <c r="I1112" s="116"/>
      <c r="L1112" s="170">
        <v>43649</v>
      </c>
      <c r="M1112" s="116">
        <v>196.91</v>
      </c>
      <c r="N1112" s="116">
        <v>200.2</v>
      </c>
      <c r="O1112" s="116">
        <v>193</v>
      </c>
      <c r="P1112" s="116">
        <v>194.99</v>
      </c>
      <c r="Q1112" s="116">
        <v>984.55</v>
      </c>
      <c r="R1112">
        <v>2748</v>
      </c>
    </row>
    <row r="1113" spans="1:18" x14ac:dyDescent="0.25">
      <c r="A1113" s="170">
        <v>43679</v>
      </c>
      <c r="B1113" s="116">
        <v>171.58</v>
      </c>
      <c r="C1113" s="116">
        <v>169.01</v>
      </c>
      <c r="D1113" s="116">
        <v>165</v>
      </c>
      <c r="E1113" s="116">
        <v>171.58</v>
      </c>
      <c r="F1113" s="116">
        <v>845.05</v>
      </c>
      <c r="G1113">
        <v>124</v>
      </c>
      <c r="H1113" s="116"/>
      <c r="I1113" s="116"/>
      <c r="L1113" s="170">
        <v>43650</v>
      </c>
      <c r="M1113" s="116">
        <v>195.77</v>
      </c>
      <c r="N1113" s="116">
        <v>199.74</v>
      </c>
      <c r="O1113" s="116">
        <v>195</v>
      </c>
      <c r="P1113" s="116">
        <v>195</v>
      </c>
      <c r="Q1113" s="116">
        <v>978.85</v>
      </c>
      <c r="R1113">
        <v>1673</v>
      </c>
    </row>
    <row r="1114" spans="1:18" x14ac:dyDescent="0.25">
      <c r="A1114" s="170">
        <v>43682</v>
      </c>
      <c r="B1114" s="116">
        <v>164.96</v>
      </c>
      <c r="C1114" s="116">
        <v>163.6</v>
      </c>
      <c r="D1114" s="116">
        <v>160.4</v>
      </c>
      <c r="E1114" s="116">
        <v>160.4</v>
      </c>
      <c r="F1114" s="116">
        <v>818</v>
      </c>
      <c r="G1114">
        <v>247</v>
      </c>
      <c r="H1114" s="116"/>
      <c r="I1114" s="116"/>
      <c r="L1114" s="170">
        <v>43651</v>
      </c>
      <c r="M1114" s="116">
        <v>194.81</v>
      </c>
      <c r="N1114" s="116">
        <v>197.02</v>
      </c>
      <c r="O1114" s="116">
        <v>194.3</v>
      </c>
      <c r="P1114" s="116">
        <v>197.02</v>
      </c>
      <c r="Q1114" s="116">
        <v>974.05</v>
      </c>
      <c r="R1114">
        <v>560</v>
      </c>
    </row>
    <row r="1115" spans="1:18" x14ac:dyDescent="0.25">
      <c r="A1115" s="170">
        <v>43683</v>
      </c>
      <c r="B1115" s="116">
        <v>170.67</v>
      </c>
      <c r="C1115" s="116">
        <v>166.75</v>
      </c>
      <c r="D1115" s="116">
        <v>160.01</v>
      </c>
      <c r="E1115" s="116">
        <v>163.72</v>
      </c>
      <c r="F1115" s="116">
        <v>833.75</v>
      </c>
      <c r="G1115">
        <v>371</v>
      </c>
      <c r="H1115" s="116"/>
      <c r="I1115" s="116"/>
      <c r="L1115" s="170">
        <v>43654</v>
      </c>
      <c r="M1115" s="116">
        <v>194.38</v>
      </c>
      <c r="N1115" s="116">
        <v>196.99</v>
      </c>
      <c r="O1115" s="116">
        <v>194</v>
      </c>
      <c r="P1115" s="116">
        <v>194.03</v>
      </c>
      <c r="Q1115" s="116">
        <v>971.9</v>
      </c>
      <c r="R1115">
        <v>3034</v>
      </c>
    </row>
    <row r="1116" spans="1:18" x14ac:dyDescent="0.25">
      <c r="A1116" s="170">
        <v>43684</v>
      </c>
      <c r="B1116" s="116">
        <v>169.6</v>
      </c>
      <c r="C1116" s="116">
        <v>169.6</v>
      </c>
      <c r="D1116" s="116">
        <v>169.52</v>
      </c>
      <c r="E1116" s="116">
        <v>169.52</v>
      </c>
      <c r="F1116" s="116">
        <v>848</v>
      </c>
      <c r="G1116">
        <v>70</v>
      </c>
      <c r="H1116" s="116"/>
      <c r="I1116" s="116"/>
      <c r="L1116" s="170">
        <v>43655</v>
      </c>
      <c r="M1116" s="116">
        <v>195.97</v>
      </c>
      <c r="N1116" s="116">
        <v>196.49</v>
      </c>
      <c r="O1116" s="116">
        <v>194.02</v>
      </c>
      <c r="P1116" s="116">
        <v>194.03</v>
      </c>
      <c r="Q1116" s="116">
        <v>979.85</v>
      </c>
      <c r="R1116">
        <v>2924</v>
      </c>
    </row>
    <row r="1117" spans="1:18" x14ac:dyDescent="0.25">
      <c r="A1117" s="170">
        <v>43685</v>
      </c>
      <c r="B1117" s="116">
        <v>174.2</v>
      </c>
      <c r="C1117" s="116">
        <v>172.19</v>
      </c>
      <c r="D1117" s="116">
        <v>170</v>
      </c>
      <c r="E1117" s="116">
        <v>173.36</v>
      </c>
      <c r="F1117" s="116">
        <v>860.95</v>
      </c>
      <c r="G1117">
        <v>150</v>
      </c>
      <c r="H1117" s="116"/>
      <c r="I1117" s="116"/>
      <c r="L1117" s="170">
        <v>43656</v>
      </c>
      <c r="M1117" s="116">
        <v>195.46</v>
      </c>
      <c r="N1117" s="116">
        <v>196.01</v>
      </c>
      <c r="O1117" s="116">
        <v>194.77</v>
      </c>
      <c r="P1117" s="116">
        <v>196.01</v>
      </c>
      <c r="Q1117" s="116">
        <v>977.3</v>
      </c>
      <c r="R1117">
        <v>683</v>
      </c>
    </row>
    <row r="1118" spans="1:18" x14ac:dyDescent="0.25">
      <c r="A1118" s="170">
        <v>43686</v>
      </c>
      <c r="B1118" s="116">
        <v>176.17</v>
      </c>
      <c r="C1118" s="116">
        <v>175.38</v>
      </c>
      <c r="D1118" s="116">
        <v>172.42</v>
      </c>
      <c r="E1118" s="116">
        <v>174.73</v>
      </c>
      <c r="F1118" s="116">
        <v>876.9</v>
      </c>
      <c r="G1118">
        <v>224</v>
      </c>
      <c r="H1118" s="116"/>
      <c r="I1118" s="116"/>
      <c r="L1118" s="170">
        <v>43657</v>
      </c>
      <c r="M1118" s="116">
        <v>194.79</v>
      </c>
      <c r="N1118" s="116">
        <v>196.4</v>
      </c>
      <c r="O1118" s="116">
        <v>194.42</v>
      </c>
      <c r="P1118" s="116">
        <v>195.95</v>
      </c>
      <c r="Q1118" s="116">
        <v>973.95</v>
      </c>
      <c r="R1118">
        <v>1502</v>
      </c>
    </row>
    <row r="1119" spans="1:18" x14ac:dyDescent="0.25">
      <c r="A1119" s="170">
        <v>43690</v>
      </c>
      <c r="B1119" s="116">
        <v>176.2</v>
      </c>
      <c r="C1119" s="116">
        <v>173.46</v>
      </c>
      <c r="D1119" s="116">
        <v>172.4</v>
      </c>
      <c r="E1119" s="116">
        <v>173.69</v>
      </c>
      <c r="F1119" s="116">
        <v>867.3</v>
      </c>
      <c r="G1119">
        <v>220</v>
      </c>
      <c r="H1119" s="116"/>
      <c r="I1119" s="116"/>
      <c r="L1119" s="170">
        <v>43658</v>
      </c>
      <c r="M1119" s="116">
        <v>195.01</v>
      </c>
      <c r="N1119" s="116">
        <v>196.8</v>
      </c>
      <c r="O1119" s="116">
        <v>194.6</v>
      </c>
      <c r="P1119" s="116">
        <v>196.79</v>
      </c>
      <c r="Q1119" s="116">
        <v>975.05</v>
      </c>
      <c r="R1119">
        <v>3884</v>
      </c>
    </row>
    <row r="1120" spans="1:18" x14ac:dyDescent="0.25">
      <c r="A1120" s="170">
        <v>43691</v>
      </c>
      <c r="B1120" s="116">
        <v>175.07</v>
      </c>
      <c r="C1120" s="116">
        <v>175.07</v>
      </c>
      <c r="D1120" s="116">
        <v>173.4</v>
      </c>
      <c r="E1120" s="116">
        <v>173.8</v>
      </c>
      <c r="F1120" s="116">
        <v>875.35</v>
      </c>
      <c r="G1120">
        <v>44</v>
      </c>
      <c r="H1120" s="116"/>
      <c r="I1120" s="116"/>
      <c r="L1120" s="170">
        <v>43661</v>
      </c>
      <c r="M1120" s="116">
        <v>194.41</v>
      </c>
      <c r="N1120" s="116">
        <v>198.79</v>
      </c>
      <c r="O1120" s="116">
        <v>193.65</v>
      </c>
      <c r="P1120" s="116">
        <v>195</v>
      </c>
      <c r="Q1120" s="116">
        <v>972.05</v>
      </c>
      <c r="R1120">
        <v>3510</v>
      </c>
    </row>
    <row r="1121" spans="1:18" x14ac:dyDescent="0.25">
      <c r="A1121" s="170">
        <v>43693</v>
      </c>
      <c r="B1121" s="116">
        <v>180</v>
      </c>
      <c r="C1121" s="116">
        <v>179.93</v>
      </c>
      <c r="D1121" s="116">
        <v>175.28</v>
      </c>
      <c r="E1121" s="116">
        <v>175.28</v>
      </c>
      <c r="F1121" s="116">
        <v>899.65</v>
      </c>
      <c r="G1121">
        <v>239</v>
      </c>
      <c r="H1121" s="116"/>
      <c r="I1121" s="116"/>
      <c r="L1121" s="170">
        <v>43662</v>
      </c>
      <c r="M1121" s="116">
        <v>193.25</v>
      </c>
      <c r="N1121" s="116">
        <v>195.58</v>
      </c>
      <c r="O1121" s="116">
        <v>191.6</v>
      </c>
      <c r="P1121" s="116">
        <v>193.01</v>
      </c>
      <c r="Q1121" s="116">
        <v>966.25</v>
      </c>
      <c r="R1121">
        <v>1562</v>
      </c>
    </row>
    <row r="1122" spans="1:18" x14ac:dyDescent="0.25">
      <c r="A1122" s="170">
        <v>43696</v>
      </c>
      <c r="B1122" s="116">
        <v>184.95</v>
      </c>
      <c r="C1122" s="116">
        <v>180.35</v>
      </c>
      <c r="D1122" s="116">
        <v>175</v>
      </c>
      <c r="E1122" s="116">
        <v>184.95</v>
      </c>
      <c r="F1122" s="116">
        <v>180.35</v>
      </c>
      <c r="G1122">
        <v>1239</v>
      </c>
      <c r="H1122" s="116"/>
      <c r="I1122" s="116"/>
      <c r="L1122" s="170">
        <v>43663</v>
      </c>
      <c r="M1122" s="116">
        <v>191.08</v>
      </c>
      <c r="N1122" s="116">
        <v>195.59</v>
      </c>
      <c r="O1122" s="116">
        <v>190.01</v>
      </c>
      <c r="P1122" s="116">
        <v>193.26</v>
      </c>
      <c r="Q1122" s="116">
        <v>955.4</v>
      </c>
      <c r="R1122">
        <v>1308</v>
      </c>
    </row>
    <row r="1123" spans="1:18" x14ac:dyDescent="0.25">
      <c r="A1123" s="170">
        <v>43697</v>
      </c>
      <c r="B1123" s="116">
        <v>185</v>
      </c>
      <c r="C1123" s="116">
        <v>177.35</v>
      </c>
      <c r="D1123" s="116">
        <v>170</v>
      </c>
      <c r="E1123" s="116">
        <v>185</v>
      </c>
      <c r="F1123" s="116">
        <v>177.35</v>
      </c>
      <c r="G1123">
        <v>339</v>
      </c>
      <c r="H1123" s="116"/>
      <c r="I1123" s="116"/>
      <c r="L1123" s="170">
        <v>43664</v>
      </c>
      <c r="M1123" s="116">
        <v>185.72</v>
      </c>
      <c r="N1123" s="116">
        <v>191.2</v>
      </c>
      <c r="O1123" s="116">
        <v>185.03</v>
      </c>
      <c r="P1123" s="116">
        <v>190.16</v>
      </c>
      <c r="Q1123" s="116">
        <v>928.6</v>
      </c>
      <c r="R1123">
        <v>1069</v>
      </c>
    </row>
    <row r="1124" spans="1:18" x14ac:dyDescent="0.25">
      <c r="A1124" s="170">
        <v>43698</v>
      </c>
      <c r="B1124" s="116">
        <v>184</v>
      </c>
      <c r="C1124" s="116">
        <v>178.75</v>
      </c>
      <c r="D1124" s="116">
        <v>175</v>
      </c>
      <c r="E1124" s="116">
        <v>180</v>
      </c>
      <c r="F1124" s="116">
        <v>178.75</v>
      </c>
      <c r="G1124">
        <v>2501</v>
      </c>
      <c r="H1124" s="116"/>
      <c r="I1124" s="116"/>
      <c r="L1124" s="170">
        <v>43665</v>
      </c>
      <c r="M1124" s="116">
        <v>184.56</v>
      </c>
      <c r="N1124" s="116">
        <v>187.2</v>
      </c>
      <c r="O1124" s="116">
        <v>183.6</v>
      </c>
      <c r="P1124" s="116">
        <v>185.72</v>
      </c>
      <c r="Q1124" s="116">
        <v>922.8</v>
      </c>
      <c r="R1124">
        <v>409</v>
      </c>
    </row>
    <row r="1125" spans="1:18" x14ac:dyDescent="0.25">
      <c r="A1125" s="170">
        <v>43699</v>
      </c>
      <c r="B1125" s="116">
        <v>171.65</v>
      </c>
      <c r="C1125" s="116">
        <v>166.15</v>
      </c>
      <c r="D1125" s="116">
        <v>166</v>
      </c>
      <c r="E1125" s="116">
        <v>171</v>
      </c>
      <c r="F1125" s="116">
        <v>166.15</v>
      </c>
      <c r="G1125">
        <v>966</v>
      </c>
      <c r="H1125" s="116"/>
      <c r="I1125" s="116"/>
      <c r="L1125" s="170">
        <v>43668</v>
      </c>
      <c r="M1125" s="116">
        <v>180</v>
      </c>
      <c r="N1125" s="116">
        <v>191.99</v>
      </c>
      <c r="O1125" s="116">
        <v>178.42</v>
      </c>
      <c r="P1125" s="116">
        <v>180.72</v>
      </c>
      <c r="Q1125" s="116">
        <v>900</v>
      </c>
      <c r="R1125">
        <v>2181</v>
      </c>
    </row>
    <row r="1126" spans="1:18" x14ac:dyDescent="0.25">
      <c r="A1126" s="170">
        <v>43700</v>
      </c>
      <c r="B1126" s="116">
        <v>176.15</v>
      </c>
      <c r="C1126" s="116">
        <v>174.15</v>
      </c>
      <c r="D1126" s="116">
        <v>166</v>
      </c>
      <c r="E1126" s="116">
        <v>168</v>
      </c>
      <c r="F1126" s="116">
        <v>174.15</v>
      </c>
      <c r="G1126">
        <v>49</v>
      </c>
      <c r="H1126" s="116"/>
      <c r="I1126" s="116"/>
      <c r="L1126" s="170">
        <v>43669</v>
      </c>
      <c r="M1126" s="116">
        <v>178.07</v>
      </c>
      <c r="N1126" s="116">
        <v>183</v>
      </c>
      <c r="O1126" s="116">
        <v>176.1</v>
      </c>
      <c r="P1126" s="116">
        <v>182.99</v>
      </c>
      <c r="Q1126" s="116">
        <v>890.35</v>
      </c>
      <c r="R1126">
        <v>910</v>
      </c>
    </row>
    <row r="1127" spans="1:18" x14ac:dyDescent="0.25">
      <c r="A1127" s="170">
        <v>43703</v>
      </c>
      <c r="B1127" s="116">
        <v>186.95</v>
      </c>
      <c r="C1127" s="116">
        <v>176.55</v>
      </c>
      <c r="D1127" s="116">
        <v>172.3</v>
      </c>
      <c r="E1127" s="116">
        <v>176</v>
      </c>
      <c r="F1127" s="116">
        <v>176.55</v>
      </c>
      <c r="G1127">
        <v>2217</v>
      </c>
      <c r="H1127" s="116"/>
      <c r="I1127" s="116"/>
      <c r="L1127" s="170">
        <v>43670</v>
      </c>
      <c r="M1127" s="116">
        <v>177.51</v>
      </c>
      <c r="N1127" s="116">
        <v>182</v>
      </c>
      <c r="O1127" s="116">
        <v>175</v>
      </c>
      <c r="P1127" s="116">
        <v>176.03</v>
      </c>
      <c r="Q1127" s="116">
        <v>887.55</v>
      </c>
      <c r="R1127">
        <v>2204</v>
      </c>
    </row>
    <row r="1128" spans="1:18" x14ac:dyDescent="0.25">
      <c r="A1128" s="170">
        <v>43704</v>
      </c>
      <c r="B1128" s="116">
        <v>185</v>
      </c>
      <c r="C1128" s="116">
        <v>184.45</v>
      </c>
      <c r="D1128" s="116">
        <v>177</v>
      </c>
      <c r="E1128" s="116">
        <v>180</v>
      </c>
      <c r="F1128" s="116">
        <v>184.45</v>
      </c>
      <c r="G1128">
        <v>2260</v>
      </c>
      <c r="H1128" s="116"/>
      <c r="I1128" s="116"/>
      <c r="L1128" s="170">
        <v>43671</v>
      </c>
      <c r="M1128" s="116">
        <v>175.96</v>
      </c>
      <c r="N1128" s="116">
        <v>179.98</v>
      </c>
      <c r="O1128" s="116">
        <v>174</v>
      </c>
      <c r="P1128" s="116">
        <v>178.46</v>
      </c>
      <c r="Q1128" s="116">
        <v>879.8</v>
      </c>
      <c r="R1128">
        <v>1698</v>
      </c>
    </row>
    <row r="1129" spans="1:18" x14ac:dyDescent="0.25">
      <c r="A1129" s="170">
        <v>43705</v>
      </c>
      <c r="B1129" s="116">
        <v>182</v>
      </c>
      <c r="C1129" s="116">
        <v>176.4</v>
      </c>
      <c r="D1129" s="116">
        <v>175.1</v>
      </c>
      <c r="E1129" s="116">
        <v>182</v>
      </c>
      <c r="F1129" s="116">
        <v>176.4</v>
      </c>
      <c r="G1129">
        <v>626</v>
      </c>
      <c r="H1129" s="116"/>
      <c r="I1129" s="116"/>
      <c r="L1129" s="170">
        <v>43672</v>
      </c>
      <c r="M1129" s="116">
        <v>178.32</v>
      </c>
      <c r="N1129" s="116">
        <v>179.6</v>
      </c>
      <c r="O1129" s="116">
        <v>173.8</v>
      </c>
      <c r="P1129" s="116">
        <v>175.95</v>
      </c>
      <c r="Q1129" s="116">
        <v>891.6</v>
      </c>
      <c r="R1129">
        <v>547</v>
      </c>
    </row>
    <row r="1130" spans="1:18" x14ac:dyDescent="0.25">
      <c r="A1130" s="170">
        <v>43706</v>
      </c>
      <c r="B1130" s="116">
        <v>177</v>
      </c>
      <c r="C1130" s="116">
        <v>175.9</v>
      </c>
      <c r="D1130" s="116">
        <v>175.05</v>
      </c>
      <c r="E1130" s="116">
        <v>177</v>
      </c>
      <c r="F1130" s="116">
        <v>175.9</v>
      </c>
      <c r="G1130">
        <v>230</v>
      </c>
      <c r="H1130" s="116"/>
      <c r="I1130" s="116"/>
      <c r="L1130" s="170">
        <v>43675</v>
      </c>
      <c r="M1130" s="116">
        <v>173.21</v>
      </c>
      <c r="N1130" s="116">
        <v>183</v>
      </c>
      <c r="O1130" s="116">
        <v>170.01</v>
      </c>
      <c r="P1130" s="116">
        <v>181.6</v>
      </c>
      <c r="Q1130" s="116">
        <v>866.05</v>
      </c>
      <c r="R1130">
        <v>4782</v>
      </c>
    </row>
    <row r="1131" spans="1:18" x14ac:dyDescent="0.25">
      <c r="A1131" s="170">
        <v>43707</v>
      </c>
      <c r="B1131" s="116">
        <v>174</v>
      </c>
      <c r="C1131" s="116">
        <v>173.4</v>
      </c>
      <c r="D1131" s="116">
        <v>173.4</v>
      </c>
      <c r="E1131" s="116">
        <v>174</v>
      </c>
      <c r="F1131" s="116">
        <v>173.4</v>
      </c>
      <c r="G1131">
        <v>106</v>
      </c>
      <c r="H1131" s="116"/>
      <c r="I1131" s="116"/>
      <c r="L1131" s="170">
        <v>43676</v>
      </c>
      <c r="M1131" s="116">
        <v>166.68</v>
      </c>
      <c r="N1131" s="116">
        <v>178.59</v>
      </c>
      <c r="O1131" s="116">
        <v>164.2</v>
      </c>
      <c r="P1131" s="116">
        <v>178.59</v>
      </c>
      <c r="Q1131" s="116">
        <v>833.4</v>
      </c>
      <c r="R1131">
        <v>1980</v>
      </c>
    </row>
    <row r="1132" spans="1:18" x14ac:dyDescent="0.25">
      <c r="A1132" s="170">
        <v>43711</v>
      </c>
      <c r="B1132" s="116">
        <v>172.7</v>
      </c>
      <c r="C1132" s="116">
        <v>166.9</v>
      </c>
      <c r="D1132" s="116">
        <v>164.25</v>
      </c>
      <c r="E1132" s="116">
        <v>170.6</v>
      </c>
      <c r="F1132" s="116">
        <v>166.9</v>
      </c>
      <c r="G1132">
        <v>703</v>
      </c>
      <c r="H1132" s="116"/>
      <c r="I1132" s="116"/>
      <c r="L1132" s="170">
        <v>43677</v>
      </c>
      <c r="M1132" s="116">
        <v>176.38</v>
      </c>
      <c r="N1132" s="116">
        <v>178</v>
      </c>
      <c r="O1132" s="116">
        <v>166.33</v>
      </c>
      <c r="P1132" s="116">
        <v>167.21</v>
      </c>
      <c r="Q1132" s="116">
        <v>881.9</v>
      </c>
      <c r="R1132">
        <v>5117</v>
      </c>
    </row>
    <row r="1133" spans="1:18" x14ac:dyDescent="0.25">
      <c r="A1133" s="170">
        <v>43712</v>
      </c>
      <c r="B1133" s="116">
        <v>171.9</v>
      </c>
      <c r="C1133" s="116">
        <v>166.45</v>
      </c>
      <c r="D1133" s="116">
        <v>164</v>
      </c>
      <c r="E1133" s="116">
        <v>164.4</v>
      </c>
      <c r="F1133" s="116">
        <v>166.45</v>
      </c>
      <c r="G1133">
        <v>666</v>
      </c>
      <c r="H1133" s="116"/>
      <c r="I1133" s="116"/>
      <c r="L1133" s="170">
        <v>43678</v>
      </c>
      <c r="M1133" s="116">
        <v>170.73</v>
      </c>
      <c r="N1133" s="116">
        <v>180.6</v>
      </c>
      <c r="O1133" s="116">
        <v>168</v>
      </c>
      <c r="P1133" s="116">
        <v>180.6</v>
      </c>
      <c r="Q1133" s="116">
        <v>853.65</v>
      </c>
      <c r="R1133">
        <v>1804</v>
      </c>
    </row>
    <row r="1134" spans="1:18" x14ac:dyDescent="0.25">
      <c r="A1134" s="170">
        <v>43713</v>
      </c>
      <c r="B1134" s="116">
        <v>171.5</v>
      </c>
      <c r="C1134" s="116">
        <v>169.6</v>
      </c>
      <c r="D1134" s="116">
        <v>166.65</v>
      </c>
      <c r="E1134" s="116">
        <v>168.3</v>
      </c>
      <c r="F1134" s="116">
        <v>169.6</v>
      </c>
      <c r="G1134">
        <v>423</v>
      </c>
      <c r="H1134" s="116"/>
      <c r="I1134" s="116"/>
      <c r="L1134" s="170">
        <v>43679</v>
      </c>
      <c r="M1134" s="116">
        <v>167.61</v>
      </c>
      <c r="N1134" s="116">
        <v>172.52</v>
      </c>
      <c r="O1134" s="116">
        <v>164.76</v>
      </c>
      <c r="P1134" s="116">
        <v>172.52</v>
      </c>
      <c r="Q1134" s="116">
        <v>838.05</v>
      </c>
      <c r="R1134">
        <v>1532</v>
      </c>
    </row>
    <row r="1135" spans="1:18" x14ac:dyDescent="0.25">
      <c r="A1135" s="170">
        <v>43714</v>
      </c>
      <c r="B1135" s="116">
        <v>184.75</v>
      </c>
      <c r="C1135" s="116">
        <v>180.5</v>
      </c>
      <c r="D1135" s="116">
        <v>176</v>
      </c>
      <c r="E1135" s="116">
        <v>177</v>
      </c>
      <c r="F1135" s="116">
        <v>180.5</v>
      </c>
      <c r="G1135">
        <v>1982</v>
      </c>
      <c r="H1135" s="116"/>
      <c r="I1135" s="116"/>
      <c r="L1135" s="170">
        <v>43682</v>
      </c>
      <c r="M1135" s="116">
        <v>162.37</v>
      </c>
      <c r="N1135" s="116">
        <v>166.01</v>
      </c>
      <c r="O1135" s="116">
        <v>160.32</v>
      </c>
      <c r="P1135" s="116">
        <v>166.01</v>
      </c>
      <c r="Q1135" s="116">
        <v>811.85</v>
      </c>
      <c r="R1135">
        <v>1515</v>
      </c>
    </row>
    <row r="1136" spans="1:18" x14ac:dyDescent="0.25">
      <c r="A1136" s="170">
        <v>43717</v>
      </c>
      <c r="B1136" s="116">
        <v>189.55</v>
      </c>
      <c r="C1136" s="116">
        <v>187.55</v>
      </c>
      <c r="D1136" s="116">
        <v>178</v>
      </c>
      <c r="E1136" s="116">
        <v>178</v>
      </c>
      <c r="F1136" s="116">
        <v>187.55</v>
      </c>
      <c r="G1136">
        <v>1559</v>
      </c>
      <c r="H1136" s="116"/>
      <c r="I1136" s="116"/>
      <c r="L1136" s="170">
        <v>43683</v>
      </c>
      <c r="M1136" s="116">
        <v>167.94</v>
      </c>
      <c r="N1136" s="116">
        <v>169.98</v>
      </c>
      <c r="O1136" s="116">
        <v>161.61000000000001</v>
      </c>
      <c r="P1136" s="116">
        <v>161.61000000000001</v>
      </c>
      <c r="Q1136" s="116">
        <v>839.7</v>
      </c>
      <c r="R1136">
        <v>1993</v>
      </c>
    </row>
    <row r="1137" spans="1:18" x14ac:dyDescent="0.25">
      <c r="A1137" s="170">
        <v>43719</v>
      </c>
      <c r="B1137" s="116">
        <v>225.05</v>
      </c>
      <c r="C1137" s="116">
        <v>215</v>
      </c>
      <c r="D1137" s="116">
        <v>192</v>
      </c>
      <c r="E1137" s="116">
        <v>192</v>
      </c>
      <c r="F1137" s="116">
        <v>215</v>
      </c>
      <c r="G1137">
        <v>36943</v>
      </c>
      <c r="H1137" s="116"/>
      <c r="I1137" s="116"/>
      <c r="L1137" s="170">
        <v>43684</v>
      </c>
      <c r="M1137" s="116">
        <v>168.04</v>
      </c>
      <c r="N1137" s="116">
        <v>174</v>
      </c>
      <c r="O1137" s="116">
        <v>167.3</v>
      </c>
      <c r="P1137" s="116">
        <v>174</v>
      </c>
      <c r="Q1137" s="116">
        <v>840.2</v>
      </c>
      <c r="R1137">
        <v>732</v>
      </c>
    </row>
    <row r="1138" spans="1:18" x14ac:dyDescent="0.25">
      <c r="A1138" s="170">
        <v>43720</v>
      </c>
      <c r="B1138" s="116">
        <v>223.65</v>
      </c>
      <c r="C1138" s="116">
        <v>202.85</v>
      </c>
      <c r="D1138" s="116">
        <v>198.4</v>
      </c>
      <c r="E1138" s="116">
        <v>214.9</v>
      </c>
      <c r="F1138" s="116">
        <v>202.85</v>
      </c>
      <c r="G1138">
        <v>12646</v>
      </c>
      <c r="H1138" s="116"/>
      <c r="I1138" s="116"/>
      <c r="L1138" s="170">
        <v>43685</v>
      </c>
      <c r="M1138" s="116">
        <v>171.79</v>
      </c>
      <c r="N1138" s="116">
        <v>175.19</v>
      </c>
      <c r="O1138" s="116">
        <v>168.79</v>
      </c>
      <c r="P1138" s="116">
        <v>170.69</v>
      </c>
      <c r="Q1138" s="116">
        <v>858.95</v>
      </c>
      <c r="R1138">
        <v>2011</v>
      </c>
    </row>
    <row r="1139" spans="1:18" x14ac:dyDescent="0.25">
      <c r="A1139" s="170">
        <v>43721</v>
      </c>
      <c r="B1139" s="116">
        <v>210</v>
      </c>
      <c r="C1139" s="116">
        <v>203.9</v>
      </c>
      <c r="D1139" s="116">
        <v>197.65</v>
      </c>
      <c r="E1139" s="116">
        <v>203</v>
      </c>
      <c r="F1139" s="116">
        <v>203.9</v>
      </c>
      <c r="G1139">
        <v>3186</v>
      </c>
      <c r="H1139" s="116"/>
      <c r="I1139" s="116"/>
      <c r="L1139" s="170">
        <v>43686</v>
      </c>
      <c r="M1139" s="116">
        <v>174.71</v>
      </c>
      <c r="N1139" s="116">
        <v>176</v>
      </c>
      <c r="O1139" s="116">
        <v>172.75</v>
      </c>
      <c r="P1139" s="116">
        <v>174.32</v>
      </c>
      <c r="Q1139" s="116">
        <v>873.55</v>
      </c>
      <c r="R1139">
        <v>929</v>
      </c>
    </row>
    <row r="1140" spans="1:18" x14ac:dyDescent="0.25">
      <c r="A1140" s="170">
        <v>43724</v>
      </c>
      <c r="B1140" s="116">
        <v>209.8</v>
      </c>
      <c r="C1140" s="116">
        <v>202.1</v>
      </c>
      <c r="D1140" s="116">
        <v>196.2</v>
      </c>
      <c r="E1140" s="116">
        <v>202</v>
      </c>
      <c r="F1140" s="116">
        <v>202.1</v>
      </c>
      <c r="G1140">
        <v>1874</v>
      </c>
      <c r="H1140" s="116"/>
      <c r="I1140" s="116"/>
      <c r="L1140" s="170">
        <v>43690</v>
      </c>
      <c r="M1140" s="116">
        <v>172.53</v>
      </c>
      <c r="N1140" s="116">
        <v>176</v>
      </c>
      <c r="O1140" s="116">
        <v>172</v>
      </c>
      <c r="P1140" s="116">
        <v>173.8</v>
      </c>
      <c r="Q1140" s="116">
        <v>862.65</v>
      </c>
      <c r="R1140">
        <v>1068</v>
      </c>
    </row>
    <row r="1141" spans="1:18" x14ac:dyDescent="0.25">
      <c r="A1141" s="170">
        <v>43725</v>
      </c>
      <c r="B1141" s="116">
        <v>206.5</v>
      </c>
      <c r="C1141" s="116">
        <v>198.45</v>
      </c>
      <c r="D1141" s="116">
        <v>196.2</v>
      </c>
      <c r="E1141" s="116">
        <v>198</v>
      </c>
      <c r="F1141" s="116">
        <v>198.45</v>
      </c>
      <c r="G1141">
        <v>328</v>
      </c>
      <c r="H1141" s="116"/>
      <c r="I1141" s="116"/>
      <c r="L1141" s="170">
        <v>43691</v>
      </c>
      <c r="M1141" s="116">
        <v>174.53</v>
      </c>
      <c r="N1141" s="116">
        <v>176.03</v>
      </c>
      <c r="O1141" s="116">
        <v>172.65</v>
      </c>
      <c r="P1141" s="116">
        <v>174.01</v>
      </c>
      <c r="Q1141" s="116">
        <v>872.65</v>
      </c>
      <c r="R1141">
        <v>500</v>
      </c>
    </row>
    <row r="1142" spans="1:18" x14ac:dyDescent="0.25">
      <c r="A1142" s="170">
        <v>43726</v>
      </c>
      <c r="B1142" s="116">
        <v>210</v>
      </c>
      <c r="C1142" s="116">
        <v>203.05</v>
      </c>
      <c r="D1142" s="116">
        <v>198</v>
      </c>
      <c r="E1142" s="116">
        <v>199</v>
      </c>
      <c r="F1142" s="116">
        <v>203.05</v>
      </c>
      <c r="G1142">
        <v>1337</v>
      </c>
      <c r="H1142" s="116"/>
      <c r="I1142" s="116"/>
      <c r="L1142" s="170">
        <v>43693</v>
      </c>
      <c r="M1142" s="116">
        <v>178.69</v>
      </c>
      <c r="N1142" s="116">
        <v>180</v>
      </c>
      <c r="O1142" s="116">
        <v>174.13</v>
      </c>
      <c r="P1142" s="116">
        <v>176</v>
      </c>
      <c r="Q1142" s="116">
        <v>893.45</v>
      </c>
      <c r="R1142">
        <v>2409</v>
      </c>
    </row>
    <row r="1143" spans="1:18" x14ac:dyDescent="0.25">
      <c r="A1143" s="170">
        <v>43727</v>
      </c>
      <c r="B1143" s="116">
        <v>225.7</v>
      </c>
      <c r="C1143" s="116">
        <v>202.3</v>
      </c>
      <c r="D1143" s="116">
        <v>195</v>
      </c>
      <c r="E1143" s="116">
        <v>214</v>
      </c>
      <c r="F1143" s="116">
        <v>202.3</v>
      </c>
      <c r="G1143">
        <v>12038</v>
      </c>
      <c r="H1143" s="116"/>
      <c r="I1143" s="116"/>
      <c r="L1143" s="170">
        <v>43696</v>
      </c>
      <c r="M1143" s="116">
        <v>179.15</v>
      </c>
      <c r="N1143" s="116">
        <v>188</v>
      </c>
      <c r="O1143" s="116">
        <v>177.5</v>
      </c>
      <c r="P1143" s="116">
        <v>184</v>
      </c>
      <c r="Q1143" s="116">
        <v>179.15</v>
      </c>
      <c r="R1143">
        <v>16488</v>
      </c>
    </row>
    <row r="1144" spans="1:18" x14ac:dyDescent="0.25">
      <c r="A1144" s="170">
        <v>43728</v>
      </c>
      <c r="B1144" s="116">
        <v>208</v>
      </c>
      <c r="C1144" s="116">
        <v>199.7</v>
      </c>
      <c r="D1144" s="116">
        <v>192.5</v>
      </c>
      <c r="E1144" s="116">
        <v>208</v>
      </c>
      <c r="F1144" s="116">
        <v>199.7</v>
      </c>
      <c r="G1144">
        <v>3361</v>
      </c>
      <c r="H1144" s="116"/>
      <c r="I1144" s="116"/>
      <c r="L1144" s="170">
        <v>43697</v>
      </c>
      <c r="M1144" s="116">
        <v>177.5</v>
      </c>
      <c r="N1144" s="116">
        <v>184.7</v>
      </c>
      <c r="O1144" s="116">
        <v>171.65</v>
      </c>
      <c r="P1144" s="116">
        <v>184.7</v>
      </c>
      <c r="Q1144" s="116">
        <v>177.5</v>
      </c>
      <c r="R1144">
        <v>3683</v>
      </c>
    </row>
    <row r="1145" spans="1:18" x14ac:dyDescent="0.25">
      <c r="A1145" s="170">
        <v>43731</v>
      </c>
      <c r="B1145" s="116">
        <v>207.9</v>
      </c>
      <c r="C1145" s="116">
        <v>206.8</v>
      </c>
      <c r="D1145" s="116">
        <v>197.6</v>
      </c>
      <c r="E1145" s="116">
        <v>197.6</v>
      </c>
      <c r="F1145" s="116">
        <v>206.8</v>
      </c>
      <c r="G1145">
        <v>2944</v>
      </c>
      <c r="H1145" s="116"/>
      <c r="I1145" s="116"/>
      <c r="L1145" s="170">
        <v>43698</v>
      </c>
      <c r="M1145" s="116">
        <v>177</v>
      </c>
      <c r="N1145" s="116">
        <v>194</v>
      </c>
      <c r="O1145" s="116">
        <v>172.55</v>
      </c>
      <c r="P1145" s="116">
        <v>194</v>
      </c>
      <c r="Q1145" s="116">
        <v>177</v>
      </c>
      <c r="R1145">
        <v>3682</v>
      </c>
    </row>
    <row r="1146" spans="1:18" x14ac:dyDescent="0.25">
      <c r="A1146" s="170">
        <v>43732</v>
      </c>
      <c r="B1146" s="116">
        <v>209.5</v>
      </c>
      <c r="C1146" s="116">
        <v>204.05</v>
      </c>
      <c r="D1146" s="116">
        <v>203.05</v>
      </c>
      <c r="E1146" s="116">
        <v>209.5</v>
      </c>
      <c r="F1146" s="116">
        <v>204.05</v>
      </c>
      <c r="G1146">
        <v>984</v>
      </c>
      <c r="H1146" s="116"/>
      <c r="I1146" s="116"/>
      <c r="L1146" s="170">
        <v>43699</v>
      </c>
      <c r="M1146" s="116">
        <v>167.05</v>
      </c>
      <c r="N1146" s="116">
        <v>184</v>
      </c>
      <c r="O1146" s="116">
        <v>166</v>
      </c>
      <c r="P1146" s="116">
        <v>175</v>
      </c>
      <c r="Q1146" s="116">
        <v>167.05</v>
      </c>
      <c r="R1146">
        <v>4919</v>
      </c>
    </row>
    <row r="1147" spans="1:18" x14ac:dyDescent="0.25">
      <c r="A1147" s="170">
        <v>43733</v>
      </c>
      <c r="B1147" s="116">
        <v>209.95</v>
      </c>
      <c r="C1147" s="116">
        <v>202.55</v>
      </c>
      <c r="D1147" s="116">
        <v>201</v>
      </c>
      <c r="E1147" s="116">
        <v>202.4</v>
      </c>
      <c r="F1147" s="116">
        <v>202.55</v>
      </c>
      <c r="G1147">
        <v>2526</v>
      </c>
      <c r="H1147" s="116"/>
      <c r="I1147" s="116"/>
      <c r="L1147" s="170">
        <v>43700</v>
      </c>
      <c r="M1147" s="116">
        <v>171.85</v>
      </c>
      <c r="N1147" s="116">
        <v>175</v>
      </c>
      <c r="O1147" s="116">
        <v>161.19999999999999</v>
      </c>
      <c r="P1147" s="116">
        <v>161.19999999999999</v>
      </c>
      <c r="Q1147" s="116">
        <v>171.85</v>
      </c>
      <c r="R1147">
        <v>5294</v>
      </c>
    </row>
    <row r="1148" spans="1:18" x14ac:dyDescent="0.25">
      <c r="A1148" s="170">
        <v>43734</v>
      </c>
      <c r="B1148" s="116">
        <v>220</v>
      </c>
      <c r="C1148" s="116">
        <v>208.75</v>
      </c>
      <c r="D1148" s="116">
        <v>207.1</v>
      </c>
      <c r="E1148" s="116">
        <v>211.95</v>
      </c>
      <c r="F1148" s="116">
        <v>208.75</v>
      </c>
      <c r="G1148">
        <v>14873</v>
      </c>
      <c r="H1148" s="116"/>
      <c r="I1148" s="116"/>
      <c r="L1148" s="170">
        <v>43703</v>
      </c>
      <c r="M1148" s="116">
        <v>176.8</v>
      </c>
      <c r="N1148" s="116">
        <v>188</v>
      </c>
      <c r="O1148" s="116">
        <v>172.2</v>
      </c>
      <c r="P1148" s="116">
        <v>188</v>
      </c>
      <c r="Q1148" s="116">
        <v>176.8</v>
      </c>
      <c r="R1148">
        <v>7333</v>
      </c>
    </row>
    <row r="1149" spans="1:18" x14ac:dyDescent="0.25">
      <c r="A1149" s="170">
        <v>43735</v>
      </c>
      <c r="B1149" s="116">
        <v>211.7</v>
      </c>
      <c r="C1149" s="116">
        <v>208.5</v>
      </c>
      <c r="D1149" s="116">
        <v>195</v>
      </c>
      <c r="E1149" s="116">
        <v>202.2</v>
      </c>
      <c r="F1149" s="116">
        <v>208.5</v>
      </c>
      <c r="G1149">
        <v>2243</v>
      </c>
      <c r="H1149" s="116"/>
      <c r="I1149" s="116"/>
      <c r="L1149" s="170">
        <v>43704</v>
      </c>
      <c r="M1149" s="116">
        <v>183.75</v>
      </c>
      <c r="N1149" s="116">
        <v>185</v>
      </c>
      <c r="O1149" s="116">
        <v>177</v>
      </c>
      <c r="P1149" s="116">
        <v>178</v>
      </c>
      <c r="Q1149" s="116">
        <v>183.75</v>
      </c>
      <c r="R1149">
        <v>19805</v>
      </c>
    </row>
    <row r="1150" spans="1:18" x14ac:dyDescent="0.25">
      <c r="A1150" s="170">
        <v>43738</v>
      </c>
      <c r="B1150" s="116">
        <v>214.65</v>
      </c>
      <c r="C1150" s="116">
        <v>207.4</v>
      </c>
      <c r="D1150" s="116">
        <v>203.05</v>
      </c>
      <c r="E1150" s="116">
        <v>212</v>
      </c>
      <c r="F1150" s="116">
        <v>207.4</v>
      </c>
      <c r="G1150">
        <v>2928</v>
      </c>
      <c r="H1150" s="116"/>
      <c r="I1150" s="116"/>
      <c r="L1150" s="170">
        <v>43705</v>
      </c>
      <c r="M1150" s="116">
        <v>176.6</v>
      </c>
      <c r="N1150" s="116">
        <v>184.05</v>
      </c>
      <c r="O1150" s="116">
        <v>175.15</v>
      </c>
      <c r="P1150" s="116">
        <v>181</v>
      </c>
      <c r="Q1150" s="116">
        <v>176.6</v>
      </c>
      <c r="R1150">
        <v>6153</v>
      </c>
    </row>
    <row r="1151" spans="1:18" x14ac:dyDescent="0.25">
      <c r="A1151" s="170">
        <v>43739</v>
      </c>
      <c r="B1151" s="116">
        <v>211</v>
      </c>
      <c r="C1151" s="116">
        <v>201.5</v>
      </c>
      <c r="D1151" s="116">
        <v>197</v>
      </c>
      <c r="E1151" s="116">
        <v>211</v>
      </c>
      <c r="F1151" s="116">
        <v>201.5</v>
      </c>
      <c r="G1151">
        <v>1784</v>
      </c>
      <c r="H1151" s="116"/>
      <c r="I1151" s="116"/>
      <c r="L1151" s="170">
        <v>43706</v>
      </c>
      <c r="M1151" s="116">
        <v>176</v>
      </c>
      <c r="N1151" s="116">
        <v>179.6</v>
      </c>
      <c r="O1151" s="116">
        <v>175</v>
      </c>
      <c r="P1151" s="116">
        <v>176.05</v>
      </c>
      <c r="Q1151" s="116">
        <v>176</v>
      </c>
      <c r="R1151">
        <v>5140</v>
      </c>
    </row>
    <row r="1152" spans="1:18" x14ac:dyDescent="0.25">
      <c r="A1152" s="170">
        <v>43741</v>
      </c>
      <c r="B1152" s="116">
        <v>200</v>
      </c>
      <c r="C1152" s="116">
        <v>186.3</v>
      </c>
      <c r="D1152" s="116">
        <v>185</v>
      </c>
      <c r="E1152" s="116">
        <v>200</v>
      </c>
      <c r="F1152" s="116">
        <v>186.3</v>
      </c>
      <c r="G1152">
        <v>1515</v>
      </c>
      <c r="H1152" s="116"/>
      <c r="I1152" s="116"/>
      <c r="L1152" s="170">
        <v>43707</v>
      </c>
      <c r="M1152" s="116">
        <v>174.65</v>
      </c>
      <c r="N1152" s="116">
        <v>178.95</v>
      </c>
      <c r="O1152" s="116">
        <v>173.2</v>
      </c>
      <c r="P1152" s="116">
        <v>175.1</v>
      </c>
      <c r="Q1152" s="116">
        <v>174.65</v>
      </c>
      <c r="R1152">
        <v>10567</v>
      </c>
    </row>
    <row r="1153" spans="1:18" x14ac:dyDescent="0.25">
      <c r="A1153" s="170">
        <v>43742</v>
      </c>
      <c r="B1153" s="116">
        <v>189</v>
      </c>
      <c r="C1153" s="116">
        <v>180.8</v>
      </c>
      <c r="D1153" s="116">
        <v>180</v>
      </c>
      <c r="E1153" s="116">
        <v>184.15</v>
      </c>
      <c r="F1153" s="116">
        <v>180.8</v>
      </c>
      <c r="G1153">
        <v>1706</v>
      </c>
      <c r="H1153" s="116"/>
      <c r="I1153" s="116"/>
      <c r="L1153" s="170">
        <v>43711</v>
      </c>
      <c r="M1153" s="116">
        <v>166.45</v>
      </c>
      <c r="N1153" s="116">
        <v>174.8</v>
      </c>
      <c r="O1153" s="116">
        <v>163.05000000000001</v>
      </c>
      <c r="P1153" s="116">
        <v>171</v>
      </c>
      <c r="Q1153" s="116">
        <v>166.45</v>
      </c>
      <c r="R1153">
        <v>12257</v>
      </c>
    </row>
    <row r="1154" spans="1:18" x14ac:dyDescent="0.25">
      <c r="A1154" s="170">
        <v>43745</v>
      </c>
      <c r="B1154" s="116">
        <v>178.2</v>
      </c>
      <c r="C1154" s="116">
        <v>176.5</v>
      </c>
      <c r="D1154" s="116">
        <v>171.2</v>
      </c>
      <c r="E1154" s="116">
        <v>177.05</v>
      </c>
      <c r="F1154" s="116">
        <v>176.5</v>
      </c>
      <c r="G1154">
        <v>700</v>
      </c>
      <c r="H1154" s="116"/>
      <c r="I1154" s="116"/>
      <c r="L1154" s="170">
        <v>43712</v>
      </c>
      <c r="M1154" s="116">
        <v>166.3</v>
      </c>
      <c r="N1154" s="116">
        <v>172.95</v>
      </c>
      <c r="O1154" s="116">
        <v>165.25</v>
      </c>
      <c r="P1154" s="116">
        <v>168.1</v>
      </c>
      <c r="Q1154" s="116">
        <v>166.3</v>
      </c>
      <c r="R1154">
        <v>4865</v>
      </c>
    </row>
    <row r="1155" spans="1:18" x14ac:dyDescent="0.25">
      <c r="A1155" s="170">
        <v>43747</v>
      </c>
      <c r="B1155" s="116">
        <v>182.65</v>
      </c>
      <c r="C1155" s="116">
        <v>182.4</v>
      </c>
      <c r="D1155" s="116">
        <v>165.1</v>
      </c>
      <c r="E1155" s="116">
        <v>182</v>
      </c>
      <c r="F1155" s="116">
        <v>182.4</v>
      </c>
      <c r="G1155">
        <v>1882</v>
      </c>
      <c r="H1155" s="116"/>
      <c r="I1155" s="116"/>
      <c r="L1155" s="170">
        <v>43713</v>
      </c>
      <c r="M1155" s="116">
        <v>169.75</v>
      </c>
      <c r="N1155" s="116">
        <v>173.7</v>
      </c>
      <c r="O1155" s="116">
        <v>167.2</v>
      </c>
      <c r="P1155" s="116">
        <v>173.65</v>
      </c>
      <c r="Q1155" s="116">
        <v>169.75</v>
      </c>
      <c r="R1155">
        <v>3119</v>
      </c>
    </row>
    <row r="1156" spans="1:18" x14ac:dyDescent="0.25">
      <c r="A1156" s="170">
        <v>43748</v>
      </c>
      <c r="B1156" s="116">
        <v>178.8</v>
      </c>
      <c r="C1156" s="116">
        <v>174.45</v>
      </c>
      <c r="D1156" s="116">
        <v>173.85</v>
      </c>
      <c r="E1156" s="116">
        <v>178</v>
      </c>
      <c r="F1156" s="116">
        <v>174.45</v>
      </c>
      <c r="G1156">
        <v>192</v>
      </c>
      <c r="H1156" s="116"/>
      <c r="I1156" s="116"/>
      <c r="L1156" s="170">
        <v>43714</v>
      </c>
      <c r="M1156" s="116">
        <v>181.2</v>
      </c>
      <c r="N1156" s="116">
        <v>184.9</v>
      </c>
      <c r="O1156" s="116">
        <v>173.05</v>
      </c>
      <c r="P1156" s="116">
        <v>176.8</v>
      </c>
      <c r="Q1156" s="116">
        <v>181.2</v>
      </c>
      <c r="R1156">
        <v>40012</v>
      </c>
    </row>
    <row r="1157" spans="1:18" x14ac:dyDescent="0.25">
      <c r="A1157" s="170">
        <v>43749</v>
      </c>
      <c r="B1157" s="116">
        <v>178.95</v>
      </c>
      <c r="C1157" s="116">
        <v>175.15</v>
      </c>
      <c r="D1157" s="116">
        <v>174.15</v>
      </c>
      <c r="E1157" s="116">
        <v>175</v>
      </c>
      <c r="F1157" s="116">
        <v>175.15</v>
      </c>
      <c r="G1157">
        <v>2044</v>
      </c>
      <c r="H1157" s="116"/>
      <c r="I1157" s="116"/>
      <c r="L1157" s="170">
        <v>43717</v>
      </c>
      <c r="M1157" s="116">
        <v>186.65</v>
      </c>
      <c r="N1157" s="116">
        <v>189.5</v>
      </c>
      <c r="O1157" s="116">
        <v>178.1</v>
      </c>
      <c r="P1157" s="116">
        <v>180</v>
      </c>
      <c r="Q1157" s="116">
        <v>186.65</v>
      </c>
      <c r="R1157">
        <v>14813</v>
      </c>
    </row>
    <row r="1158" spans="1:18" x14ac:dyDescent="0.25">
      <c r="A1158" s="170">
        <v>43752</v>
      </c>
      <c r="B1158" s="116">
        <v>177.75</v>
      </c>
      <c r="C1158" s="116">
        <v>176.6</v>
      </c>
      <c r="D1158" s="116">
        <v>174</v>
      </c>
      <c r="E1158" s="116">
        <v>175</v>
      </c>
      <c r="F1158" s="116">
        <v>176.6</v>
      </c>
      <c r="G1158">
        <v>451</v>
      </c>
      <c r="H1158" s="116"/>
      <c r="I1158" s="116"/>
      <c r="L1158" s="170">
        <v>43719</v>
      </c>
      <c r="M1158" s="116">
        <v>214.55</v>
      </c>
      <c r="N1158" s="116">
        <v>223.95</v>
      </c>
      <c r="O1158" s="116">
        <v>190.05</v>
      </c>
      <c r="P1158" s="116">
        <v>190.05</v>
      </c>
      <c r="Q1158" s="116">
        <v>214.55</v>
      </c>
      <c r="R1158">
        <v>265661</v>
      </c>
    </row>
    <row r="1159" spans="1:18" x14ac:dyDescent="0.25">
      <c r="A1159" s="170">
        <v>43753</v>
      </c>
      <c r="B1159" s="116">
        <v>180</v>
      </c>
      <c r="C1159" s="116">
        <v>174.35</v>
      </c>
      <c r="D1159" s="116">
        <v>170.1</v>
      </c>
      <c r="E1159" s="116">
        <v>175.85</v>
      </c>
      <c r="F1159" s="116">
        <v>174.35</v>
      </c>
      <c r="G1159">
        <v>823</v>
      </c>
      <c r="H1159" s="116"/>
      <c r="I1159" s="116"/>
      <c r="L1159" s="170">
        <v>43720</v>
      </c>
      <c r="M1159" s="116">
        <v>202.4</v>
      </c>
      <c r="N1159" s="116">
        <v>223.8</v>
      </c>
      <c r="O1159" s="116">
        <v>197.1</v>
      </c>
      <c r="P1159" s="116">
        <v>214.5</v>
      </c>
      <c r="Q1159" s="116">
        <v>202.4</v>
      </c>
      <c r="R1159">
        <v>105756</v>
      </c>
    </row>
    <row r="1160" spans="1:18" x14ac:dyDescent="0.25">
      <c r="A1160" s="170">
        <v>43754</v>
      </c>
      <c r="B1160" s="116">
        <v>189</v>
      </c>
      <c r="C1160" s="116">
        <v>185.85</v>
      </c>
      <c r="D1160" s="116">
        <v>175</v>
      </c>
      <c r="E1160" s="116">
        <v>175</v>
      </c>
      <c r="F1160" s="116">
        <v>185.85</v>
      </c>
      <c r="G1160">
        <v>3206</v>
      </c>
      <c r="H1160" s="116"/>
      <c r="I1160" s="116"/>
      <c r="L1160" s="170">
        <v>43721</v>
      </c>
      <c r="M1160" s="116">
        <v>204.8</v>
      </c>
      <c r="N1160" s="116">
        <v>209</v>
      </c>
      <c r="O1160" s="116">
        <v>197.05</v>
      </c>
      <c r="P1160" s="116">
        <v>206.3</v>
      </c>
      <c r="Q1160" s="116">
        <v>204.8</v>
      </c>
      <c r="R1160">
        <v>24727</v>
      </c>
    </row>
    <row r="1161" spans="1:18" x14ac:dyDescent="0.25">
      <c r="A1161" s="170">
        <v>43755</v>
      </c>
      <c r="B1161" s="116">
        <v>183.25</v>
      </c>
      <c r="C1161" s="116">
        <v>179.85</v>
      </c>
      <c r="D1161" s="116">
        <v>178</v>
      </c>
      <c r="E1161" s="116">
        <v>182.2</v>
      </c>
      <c r="F1161" s="116">
        <v>179.85</v>
      </c>
      <c r="G1161">
        <v>560</v>
      </c>
      <c r="H1161" s="116"/>
      <c r="I1161" s="116"/>
      <c r="L1161" s="170">
        <v>43724</v>
      </c>
      <c r="M1161" s="116">
        <v>204.25</v>
      </c>
      <c r="N1161" s="116">
        <v>207.7</v>
      </c>
      <c r="O1161" s="116">
        <v>199.5</v>
      </c>
      <c r="P1161" s="116">
        <v>202.1</v>
      </c>
      <c r="Q1161" s="116">
        <v>204.25</v>
      </c>
      <c r="R1161">
        <v>31520</v>
      </c>
    </row>
    <row r="1162" spans="1:18" x14ac:dyDescent="0.25">
      <c r="A1162" s="170">
        <v>43756</v>
      </c>
      <c r="B1162" s="116">
        <v>186.2</v>
      </c>
      <c r="C1162" s="116">
        <v>182.4</v>
      </c>
      <c r="D1162" s="116">
        <v>180</v>
      </c>
      <c r="E1162" s="116">
        <v>181.5</v>
      </c>
      <c r="F1162" s="116">
        <v>182.4</v>
      </c>
      <c r="G1162">
        <v>7210</v>
      </c>
      <c r="H1162" s="116"/>
      <c r="I1162" s="116"/>
      <c r="L1162" s="170">
        <v>43725</v>
      </c>
      <c r="M1162" s="116">
        <v>199.85</v>
      </c>
      <c r="N1162" s="116">
        <v>207</v>
      </c>
      <c r="O1162" s="116">
        <v>199.4</v>
      </c>
      <c r="P1162" s="116">
        <v>207</v>
      </c>
      <c r="Q1162" s="116">
        <v>199.85</v>
      </c>
      <c r="R1162">
        <v>8831</v>
      </c>
    </row>
    <row r="1163" spans="1:18" x14ac:dyDescent="0.25">
      <c r="A1163" s="170">
        <v>43760</v>
      </c>
      <c r="B1163" s="116">
        <v>185.85</v>
      </c>
      <c r="C1163" s="116">
        <v>179.15</v>
      </c>
      <c r="D1163" s="116">
        <v>179.05</v>
      </c>
      <c r="E1163" s="116">
        <v>182</v>
      </c>
      <c r="F1163" s="116">
        <v>179.15</v>
      </c>
      <c r="G1163">
        <v>2665</v>
      </c>
      <c r="H1163" s="116"/>
      <c r="I1163" s="116"/>
      <c r="L1163" s="170">
        <v>43726</v>
      </c>
      <c r="M1163" s="116">
        <v>204.45</v>
      </c>
      <c r="N1163" s="116">
        <v>209.5</v>
      </c>
      <c r="O1163" s="116">
        <v>197.25</v>
      </c>
      <c r="P1163" s="116">
        <v>199.85</v>
      </c>
      <c r="Q1163" s="116">
        <v>204.45</v>
      </c>
      <c r="R1163">
        <v>22854</v>
      </c>
    </row>
    <row r="1164" spans="1:18" x14ac:dyDescent="0.25">
      <c r="A1164" s="170">
        <v>43761</v>
      </c>
      <c r="B1164" s="116">
        <v>183.4</v>
      </c>
      <c r="C1164" s="116">
        <v>181.6</v>
      </c>
      <c r="D1164" s="116">
        <v>178.65</v>
      </c>
      <c r="E1164" s="116">
        <v>182.15</v>
      </c>
      <c r="F1164" s="116">
        <v>181.6</v>
      </c>
      <c r="G1164">
        <v>1568</v>
      </c>
      <c r="H1164" s="116"/>
      <c r="I1164" s="116"/>
      <c r="L1164" s="170">
        <v>43727</v>
      </c>
      <c r="M1164" s="116">
        <v>202.05</v>
      </c>
      <c r="N1164" s="116">
        <v>224</v>
      </c>
      <c r="O1164" s="116">
        <v>198</v>
      </c>
      <c r="P1164" s="116">
        <v>215.8</v>
      </c>
      <c r="Q1164" s="116">
        <v>202.05</v>
      </c>
      <c r="R1164">
        <v>114575</v>
      </c>
    </row>
    <row r="1165" spans="1:18" x14ac:dyDescent="0.25">
      <c r="A1165" s="170">
        <v>43762</v>
      </c>
      <c r="B1165" s="116">
        <v>184</v>
      </c>
      <c r="C1165" s="116">
        <v>179.75</v>
      </c>
      <c r="D1165" s="116">
        <v>178</v>
      </c>
      <c r="E1165" s="116">
        <v>183.9</v>
      </c>
      <c r="F1165" s="116">
        <v>179.75</v>
      </c>
      <c r="G1165">
        <v>4394</v>
      </c>
      <c r="H1165" s="116"/>
      <c r="I1165" s="116"/>
      <c r="L1165" s="170">
        <v>43728</v>
      </c>
      <c r="M1165" s="116">
        <v>200.4</v>
      </c>
      <c r="N1165" s="116">
        <v>205.7</v>
      </c>
      <c r="O1165" s="116">
        <v>192.1</v>
      </c>
      <c r="P1165" s="116">
        <v>204.7</v>
      </c>
      <c r="Q1165" s="116">
        <v>200.4</v>
      </c>
      <c r="R1165">
        <v>51993</v>
      </c>
    </row>
    <row r="1166" spans="1:18" x14ac:dyDescent="0.25">
      <c r="A1166" s="170">
        <v>43763</v>
      </c>
      <c r="B1166" s="116">
        <v>180.45</v>
      </c>
      <c r="C1166" s="116">
        <v>179.6</v>
      </c>
      <c r="D1166" s="116">
        <v>177</v>
      </c>
      <c r="E1166" s="116">
        <v>180.45</v>
      </c>
      <c r="F1166" s="116">
        <v>179.6</v>
      </c>
      <c r="G1166">
        <v>873</v>
      </c>
      <c r="H1166" s="116"/>
      <c r="I1166" s="116"/>
      <c r="L1166" s="170">
        <v>43731</v>
      </c>
      <c r="M1166" s="116">
        <v>207.15</v>
      </c>
      <c r="N1166" s="116">
        <v>209.6</v>
      </c>
      <c r="O1166" s="116">
        <v>201.05</v>
      </c>
      <c r="P1166" s="116">
        <v>205</v>
      </c>
      <c r="Q1166" s="116">
        <v>207.15</v>
      </c>
      <c r="R1166">
        <v>19106</v>
      </c>
    </row>
    <row r="1167" spans="1:18" x14ac:dyDescent="0.25">
      <c r="A1167" s="170">
        <v>43765</v>
      </c>
      <c r="B1167" s="116">
        <v>184</v>
      </c>
      <c r="C1167" s="116">
        <v>184</v>
      </c>
      <c r="D1167" s="116">
        <v>182.85</v>
      </c>
      <c r="E1167" s="116">
        <v>182.85</v>
      </c>
      <c r="F1167" s="116">
        <v>184</v>
      </c>
      <c r="G1167">
        <v>100</v>
      </c>
      <c r="H1167" s="116"/>
      <c r="I1167" s="116"/>
      <c r="L1167" s="170">
        <v>43732</v>
      </c>
      <c r="M1167" s="116">
        <v>205.15</v>
      </c>
      <c r="N1167" s="116">
        <v>209.9</v>
      </c>
      <c r="O1167" s="116">
        <v>203</v>
      </c>
      <c r="P1167" s="116">
        <v>207.8</v>
      </c>
      <c r="Q1167" s="116">
        <v>205.15</v>
      </c>
      <c r="R1167">
        <v>7299</v>
      </c>
    </row>
    <row r="1168" spans="1:18" x14ac:dyDescent="0.25">
      <c r="A1168" s="170">
        <v>43767</v>
      </c>
      <c r="B1168" s="116">
        <v>186</v>
      </c>
      <c r="C1168" s="116">
        <v>184.9</v>
      </c>
      <c r="D1168" s="116">
        <v>180.65</v>
      </c>
      <c r="E1168" s="116">
        <v>182.95</v>
      </c>
      <c r="F1168" s="116">
        <v>184.9</v>
      </c>
      <c r="G1168">
        <v>2491</v>
      </c>
      <c r="H1168" s="116"/>
      <c r="I1168" s="116"/>
      <c r="L1168" s="170">
        <v>43733</v>
      </c>
      <c r="M1168" s="116">
        <v>202.45</v>
      </c>
      <c r="N1168" s="116">
        <v>209.9</v>
      </c>
      <c r="O1168" s="116">
        <v>200</v>
      </c>
      <c r="P1168" s="116">
        <v>208.1</v>
      </c>
      <c r="Q1168" s="116">
        <v>202.45</v>
      </c>
      <c r="R1168">
        <v>43077</v>
      </c>
    </row>
    <row r="1169" spans="1:18" x14ac:dyDescent="0.25">
      <c r="A1169" s="170">
        <v>43768</v>
      </c>
      <c r="B1169" s="116">
        <v>187</v>
      </c>
      <c r="C1169" s="116">
        <v>185.2</v>
      </c>
      <c r="D1169" s="116">
        <v>184.45</v>
      </c>
      <c r="E1169" s="116">
        <v>186.45</v>
      </c>
      <c r="F1169" s="116">
        <v>185.2</v>
      </c>
      <c r="G1169">
        <v>1711</v>
      </c>
      <c r="H1169" s="116"/>
      <c r="I1169" s="116"/>
      <c r="L1169" s="170">
        <v>43734</v>
      </c>
      <c r="M1169" s="116">
        <v>209.25</v>
      </c>
      <c r="N1169" s="116">
        <v>222</v>
      </c>
      <c r="O1169" s="116">
        <v>207.15</v>
      </c>
      <c r="P1169" s="116">
        <v>208.75</v>
      </c>
      <c r="Q1169" s="116">
        <v>209.25</v>
      </c>
      <c r="R1169">
        <v>165513</v>
      </c>
    </row>
    <row r="1170" spans="1:18" x14ac:dyDescent="0.25">
      <c r="A1170" s="170">
        <v>43769</v>
      </c>
      <c r="B1170" s="116">
        <v>186.35</v>
      </c>
      <c r="C1170" s="116">
        <v>183.45</v>
      </c>
      <c r="D1170" s="116">
        <v>180</v>
      </c>
      <c r="E1170" s="116">
        <v>185.55</v>
      </c>
      <c r="F1170" s="116">
        <v>183.45</v>
      </c>
      <c r="G1170">
        <v>2223</v>
      </c>
      <c r="H1170" s="116"/>
      <c r="I1170" s="116"/>
      <c r="L1170" s="170">
        <v>43735</v>
      </c>
      <c r="M1170" s="116">
        <v>209.35</v>
      </c>
      <c r="N1170" s="116">
        <v>213</v>
      </c>
      <c r="O1170" s="116">
        <v>204</v>
      </c>
      <c r="P1170" s="116">
        <v>211.15</v>
      </c>
      <c r="Q1170" s="116">
        <v>209.35</v>
      </c>
      <c r="R1170">
        <v>27111</v>
      </c>
    </row>
    <row r="1171" spans="1:18" x14ac:dyDescent="0.25">
      <c r="A1171" s="170">
        <v>43770</v>
      </c>
      <c r="B1171" s="116">
        <v>183.4</v>
      </c>
      <c r="C1171" s="116">
        <v>177.8</v>
      </c>
      <c r="D1171" s="116">
        <v>177</v>
      </c>
      <c r="E1171" s="116">
        <v>178</v>
      </c>
      <c r="F1171" s="116">
        <v>177.8</v>
      </c>
      <c r="G1171">
        <v>1688</v>
      </c>
      <c r="H1171" s="116"/>
      <c r="I1171" s="116"/>
      <c r="L1171" s="170">
        <v>43738</v>
      </c>
      <c r="M1171" s="116">
        <v>208.05</v>
      </c>
      <c r="N1171" s="116">
        <v>215.6</v>
      </c>
      <c r="O1171" s="116">
        <v>203.2</v>
      </c>
      <c r="P1171" s="116">
        <v>213</v>
      </c>
      <c r="Q1171" s="116">
        <v>208.05</v>
      </c>
      <c r="R1171">
        <v>64025</v>
      </c>
    </row>
    <row r="1172" spans="1:18" x14ac:dyDescent="0.25">
      <c r="A1172" s="170">
        <v>43773</v>
      </c>
      <c r="B1172" s="116">
        <v>182.35</v>
      </c>
      <c r="C1172" s="116">
        <v>178.5</v>
      </c>
      <c r="D1172" s="116">
        <v>176</v>
      </c>
      <c r="E1172" s="116">
        <v>182</v>
      </c>
      <c r="F1172" s="116">
        <v>178.5</v>
      </c>
      <c r="G1172">
        <v>1256</v>
      </c>
      <c r="H1172" s="116"/>
      <c r="I1172" s="116"/>
      <c r="L1172" s="170">
        <v>43739</v>
      </c>
      <c r="M1172" s="116">
        <v>201.95</v>
      </c>
      <c r="N1172" s="116">
        <v>210.7</v>
      </c>
      <c r="O1172" s="116">
        <v>198.5</v>
      </c>
      <c r="P1172" s="116">
        <v>210.7</v>
      </c>
      <c r="Q1172" s="116">
        <v>201.95</v>
      </c>
      <c r="R1172">
        <v>29356</v>
      </c>
    </row>
    <row r="1173" spans="1:18" x14ac:dyDescent="0.25">
      <c r="A1173" s="170">
        <v>43774</v>
      </c>
      <c r="B1173" s="116">
        <v>181.95</v>
      </c>
      <c r="C1173" s="116">
        <v>179.95</v>
      </c>
      <c r="D1173" s="116">
        <v>177.25</v>
      </c>
      <c r="E1173" s="116">
        <v>181.95</v>
      </c>
      <c r="F1173" s="116">
        <v>179.95</v>
      </c>
      <c r="G1173">
        <v>657</v>
      </c>
      <c r="H1173" s="116"/>
      <c r="I1173" s="116"/>
      <c r="L1173" s="170">
        <v>43741</v>
      </c>
      <c r="M1173" s="116">
        <v>186.4</v>
      </c>
      <c r="N1173" s="116">
        <v>195</v>
      </c>
      <c r="O1173" s="116">
        <v>184.25</v>
      </c>
      <c r="P1173" s="116">
        <v>194.95</v>
      </c>
      <c r="Q1173" s="116">
        <v>186.4</v>
      </c>
      <c r="R1173">
        <v>37913</v>
      </c>
    </row>
    <row r="1174" spans="1:18" x14ac:dyDescent="0.25">
      <c r="A1174" s="170">
        <v>43775</v>
      </c>
      <c r="B1174" s="116">
        <v>181.3</v>
      </c>
      <c r="C1174" s="116">
        <v>178</v>
      </c>
      <c r="D1174" s="116">
        <v>177</v>
      </c>
      <c r="E1174" s="116">
        <v>181.3</v>
      </c>
      <c r="F1174" s="116">
        <v>178</v>
      </c>
      <c r="G1174">
        <v>2994</v>
      </c>
      <c r="H1174" s="116"/>
      <c r="I1174" s="116"/>
      <c r="L1174" s="170">
        <v>43742</v>
      </c>
      <c r="M1174" s="116">
        <v>181.55</v>
      </c>
      <c r="N1174" s="116">
        <v>188</v>
      </c>
      <c r="O1174" s="116">
        <v>180</v>
      </c>
      <c r="P1174" s="116">
        <v>183</v>
      </c>
      <c r="Q1174" s="116">
        <v>181.55</v>
      </c>
      <c r="R1174">
        <v>17819</v>
      </c>
    </row>
    <row r="1175" spans="1:18" x14ac:dyDescent="0.25">
      <c r="A1175" s="170">
        <v>43776</v>
      </c>
      <c r="B1175" s="116">
        <v>181.55</v>
      </c>
      <c r="C1175" s="116">
        <v>178.15</v>
      </c>
      <c r="D1175" s="116">
        <v>178</v>
      </c>
      <c r="E1175" s="116">
        <v>178</v>
      </c>
      <c r="F1175" s="116">
        <v>178.15</v>
      </c>
      <c r="G1175">
        <v>304</v>
      </c>
      <c r="H1175" s="116"/>
      <c r="I1175" s="116"/>
      <c r="L1175" s="170">
        <v>43745</v>
      </c>
      <c r="M1175" s="116">
        <v>176.95</v>
      </c>
      <c r="N1175" s="116">
        <v>180</v>
      </c>
      <c r="O1175" s="116">
        <v>175</v>
      </c>
      <c r="P1175" s="116">
        <v>180</v>
      </c>
      <c r="Q1175" s="116">
        <v>176.95</v>
      </c>
      <c r="R1175">
        <v>12701</v>
      </c>
    </row>
    <row r="1176" spans="1:18" x14ac:dyDescent="0.25">
      <c r="A1176" s="170">
        <v>43777</v>
      </c>
      <c r="B1176" s="116">
        <v>184.2</v>
      </c>
      <c r="C1176" s="116">
        <v>178</v>
      </c>
      <c r="D1176" s="116">
        <v>177</v>
      </c>
      <c r="E1176" s="116">
        <v>178</v>
      </c>
      <c r="F1176" s="116">
        <v>178</v>
      </c>
      <c r="G1176">
        <v>1590</v>
      </c>
      <c r="H1176" s="116"/>
      <c r="I1176" s="116"/>
      <c r="L1176" s="170">
        <v>43747</v>
      </c>
      <c r="M1176" s="116">
        <v>180.7</v>
      </c>
      <c r="N1176" s="116">
        <v>182.9</v>
      </c>
      <c r="O1176" s="116">
        <v>168.3</v>
      </c>
      <c r="P1176" s="116">
        <v>179.75</v>
      </c>
      <c r="Q1176" s="116">
        <v>180.7</v>
      </c>
      <c r="R1176">
        <v>11955</v>
      </c>
    </row>
    <row r="1177" spans="1:18" x14ac:dyDescent="0.25">
      <c r="A1177" s="170">
        <v>43780</v>
      </c>
      <c r="B1177" s="116">
        <v>194</v>
      </c>
      <c r="C1177" s="116">
        <v>176</v>
      </c>
      <c r="D1177" s="116">
        <v>175</v>
      </c>
      <c r="E1177" s="116">
        <v>194</v>
      </c>
      <c r="F1177" s="116">
        <v>176</v>
      </c>
      <c r="G1177">
        <v>1175</v>
      </c>
      <c r="H1177" s="116"/>
      <c r="I1177" s="116"/>
      <c r="L1177" s="170">
        <v>43748</v>
      </c>
      <c r="M1177" s="116">
        <v>175.15</v>
      </c>
      <c r="N1177" s="116">
        <v>180.75</v>
      </c>
      <c r="O1177" s="116">
        <v>174</v>
      </c>
      <c r="P1177" s="116">
        <v>180.75</v>
      </c>
      <c r="Q1177" s="116">
        <v>175.15</v>
      </c>
      <c r="R1177">
        <v>5677</v>
      </c>
    </row>
    <row r="1178" spans="1:18" x14ac:dyDescent="0.25">
      <c r="A1178" s="170">
        <v>43782</v>
      </c>
      <c r="B1178" s="116">
        <v>184</v>
      </c>
      <c r="C1178" s="116">
        <v>180.5</v>
      </c>
      <c r="D1178" s="116">
        <v>174.5</v>
      </c>
      <c r="E1178" s="116">
        <v>177</v>
      </c>
      <c r="F1178" s="116">
        <v>180.5</v>
      </c>
      <c r="G1178">
        <v>1017</v>
      </c>
      <c r="H1178" s="116"/>
      <c r="I1178" s="116"/>
      <c r="L1178" s="170">
        <v>43749</v>
      </c>
      <c r="M1178" s="116">
        <v>174.8</v>
      </c>
      <c r="N1178" s="116">
        <v>178.6</v>
      </c>
      <c r="O1178" s="116">
        <v>173</v>
      </c>
      <c r="P1178" s="116">
        <v>176</v>
      </c>
      <c r="Q1178" s="116">
        <v>174.8</v>
      </c>
      <c r="R1178">
        <v>6315</v>
      </c>
    </row>
    <row r="1179" spans="1:18" x14ac:dyDescent="0.25">
      <c r="A1179" s="170">
        <v>43783</v>
      </c>
      <c r="B1179" s="116">
        <v>183</v>
      </c>
      <c r="C1179" s="116">
        <v>178.45</v>
      </c>
      <c r="D1179" s="116">
        <v>177</v>
      </c>
      <c r="E1179" s="116">
        <v>183</v>
      </c>
      <c r="F1179" s="116">
        <v>178.45</v>
      </c>
      <c r="G1179">
        <v>235</v>
      </c>
      <c r="H1179" s="116"/>
      <c r="I1179" s="116"/>
      <c r="L1179" s="170">
        <v>43752</v>
      </c>
      <c r="M1179" s="116">
        <v>175.4</v>
      </c>
      <c r="N1179" s="116">
        <v>178</v>
      </c>
      <c r="O1179" s="116">
        <v>172.55</v>
      </c>
      <c r="P1179" s="116">
        <v>173</v>
      </c>
      <c r="Q1179" s="116">
        <v>175.4</v>
      </c>
      <c r="R1179">
        <v>8339</v>
      </c>
    </row>
    <row r="1180" spans="1:18" x14ac:dyDescent="0.25">
      <c r="A1180" s="170">
        <v>43784</v>
      </c>
      <c r="B1180" s="116">
        <v>193</v>
      </c>
      <c r="C1180" s="116">
        <v>179.25</v>
      </c>
      <c r="D1180" s="116">
        <v>175</v>
      </c>
      <c r="E1180" s="116">
        <v>188</v>
      </c>
      <c r="F1180" s="116">
        <v>179.25</v>
      </c>
      <c r="G1180">
        <v>1675</v>
      </c>
      <c r="H1180" s="116"/>
      <c r="I1180" s="116"/>
      <c r="L1180" s="170">
        <v>43753</v>
      </c>
      <c r="M1180" s="116">
        <v>174.55</v>
      </c>
      <c r="N1180" s="116">
        <v>182.45</v>
      </c>
      <c r="O1180" s="116">
        <v>173.05</v>
      </c>
      <c r="P1180" s="116">
        <v>174</v>
      </c>
      <c r="Q1180" s="116">
        <v>174.55</v>
      </c>
      <c r="R1180">
        <v>6707</v>
      </c>
    </row>
    <row r="1181" spans="1:18" x14ac:dyDescent="0.25">
      <c r="A1181" s="170">
        <v>43787</v>
      </c>
      <c r="B1181" s="116">
        <v>180.4</v>
      </c>
      <c r="C1181" s="116">
        <v>178.95</v>
      </c>
      <c r="D1181" s="116">
        <v>176.2</v>
      </c>
      <c r="E1181" s="116">
        <v>176.2</v>
      </c>
      <c r="F1181" s="116">
        <v>178.95</v>
      </c>
      <c r="G1181">
        <v>378</v>
      </c>
      <c r="H1181" s="116"/>
      <c r="I1181" s="116"/>
      <c r="L1181" s="170">
        <v>43754</v>
      </c>
      <c r="M1181" s="116">
        <v>183.75</v>
      </c>
      <c r="N1181" s="116">
        <v>187.35</v>
      </c>
      <c r="O1181" s="116">
        <v>173</v>
      </c>
      <c r="P1181" s="116">
        <v>176.05</v>
      </c>
      <c r="Q1181" s="116">
        <v>183.75</v>
      </c>
      <c r="R1181">
        <v>20132</v>
      </c>
    </row>
    <row r="1182" spans="1:18" x14ac:dyDescent="0.25">
      <c r="A1182" s="170">
        <v>43788</v>
      </c>
      <c r="B1182" s="116">
        <v>179.5</v>
      </c>
      <c r="C1182" s="116">
        <v>175.95</v>
      </c>
      <c r="D1182" s="116">
        <v>175.05</v>
      </c>
      <c r="E1182" s="116">
        <v>177.1</v>
      </c>
      <c r="F1182" s="116">
        <v>175.95</v>
      </c>
      <c r="G1182">
        <v>295</v>
      </c>
      <c r="H1182" s="116"/>
      <c r="I1182" s="116"/>
      <c r="L1182" s="170">
        <v>43755</v>
      </c>
      <c r="M1182" s="116">
        <v>178.3</v>
      </c>
      <c r="N1182" s="116">
        <v>184.5</v>
      </c>
      <c r="O1182" s="116">
        <v>176</v>
      </c>
      <c r="P1182" s="116">
        <v>180</v>
      </c>
      <c r="Q1182" s="116">
        <v>178.3</v>
      </c>
      <c r="R1182">
        <v>9946</v>
      </c>
    </row>
    <row r="1183" spans="1:18" x14ac:dyDescent="0.25">
      <c r="A1183" s="170">
        <v>43789</v>
      </c>
      <c r="B1183" s="116">
        <v>176.45</v>
      </c>
      <c r="C1183" s="116">
        <v>171.45</v>
      </c>
      <c r="D1183" s="116">
        <v>171</v>
      </c>
      <c r="E1183" s="116">
        <v>176.45</v>
      </c>
      <c r="F1183" s="116">
        <v>171.45</v>
      </c>
      <c r="G1183">
        <v>3423</v>
      </c>
      <c r="H1183" s="116"/>
      <c r="I1183" s="116"/>
      <c r="L1183" s="170">
        <v>43756</v>
      </c>
      <c r="M1183" s="116">
        <v>182.35</v>
      </c>
      <c r="N1183" s="116">
        <v>186</v>
      </c>
      <c r="O1183" s="116">
        <v>177</v>
      </c>
      <c r="P1183" s="116">
        <v>177</v>
      </c>
      <c r="Q1183" s="116">
        <v>182.35</v>
      </c>
      <c r="R1183">
        <v>14192</v>
      </c>
    </row>
    <row r="1184" spans="1:18" x14ac:dyDescent="0.25">
      <c r="A1184" s="170">
        <v>43790</v>
      </c>
      <c r="B1184" s="116">
        <v>173</v>
      </c>
      <c r="C1184" s="116">
        <v>169.35</v>
      </c>
      <c r="D1184" s="116">
        <v>168.65</v>
      </c>
      <c r="E1184" s="116">
        <v>171.1</v>
      </c>
      <c r="F1184" s="116">
        <v>169.35</v>
      </c>
      <c r="G1184">
        <v>1879</v>
      </c>
      <c r="H1184" s="116"/>
      <c r="I1184" s="116"/>
      <c r="L1184" s="170">
        <v>43760</v>
      </c>
      <c r="M1184" s="116">
        <v>180.65</v>
      </c>
      <c r="N1184" s="116">
        <v>186</v>
      </c>
      <c r="O1184" s="116">
        <v>179.1</v>
      </c>
      <c r="P1184" s="116">
        <v>181.5</v>
      </c>
      <c r="Q1184" s="116">
        <v>180.65</v>
      </c>
      <c r="R1184">
        <v>10982</v>
      </c>
    </row>
    <row r="1185" spans="1:18" x14ac:dyDescent="0.25">
      <c r="A1185" s="170">
        <v>43791</v>
      </c>
      <c r="B1185" s="116">
        <v>173.35</v>
      </c>
      <c r="C1185" s="116">
        <v>167.85</v>
      </c>
      <c r="D1185" s="116">
        <v>167</v>
      </c>
      <c r="E1185" s="116">
        <v>173.35</v>
      </c>
      <c r="F1185" s="116">
        <v>167.85</v>
      </c>
      <c r="G1185">
        <v>6928</v>
      </c>
      <c r="H1185" s="116"/>
      <c r="I1185" s="116"/>
      <c r="L1185" s="170">
        <v>43761</v>
      </c>
      <c r="M1185" s="116">
        <v>181.75</v>
      </c>
      <c r="N1185" s="116">
        <v>183.45</v>
      </c>
      <c r="O1185" s="116">
        <v>179.5</v>
      </c>
      <c r="P1185" s="116">
        <v>181.45</v>
      </c>
      <c r="Q1185" s="116">
        <v>181.75</v>
      </c>
      <c r="R1185">
        <v>7724</v>
      </c>
    </row>
    <row r="1186" spans="1:18" x14ac:dyDescent="0.25">
      <c r="A1186" s="170">
        <v>43794</v>
      </c>
      <c r="B1186" s="116">
        <v>172</v>
      </c>
      <c r="C1186" s="116">
        <v>168.4</v>
      </c>
      <c r="D1186" s="116">
        <v>167.25</v>
      </c>
      <c r="E1186" s="116">
        <v>168.55</v>
      </c>
      <c r="F1186" s="116">
        <v>168.4</v>
      </c>
      <c r="G1186">
        <v>1865</v>
      </c>
      <c r="H1186" s="116"/>
      <c r="I1186" s="116"/>
      <c r="L1186" s="170">
        <v>43762</v>
      </c>
      <c r="M1186" s="116">
        <v>179</v>
      </c>
      <c r="N1186" s="116">
        <v>184.8</v>
      </c>
      <c r="O1186" s="116">
        <v>177.95</v>
      </c>
      <c r="P1186" s="116">
        <v>184.8</v>
      </c>
      <c r="Q1186" s="116">
        <v>179</v>
      </c>
      <c r="R1186">
        <v>8668</v>
      </c>
    </row>
    <row r="1187" spans="1:18" x14ac:dyDescent="0.25">
      <c r="A1187" s="170">
        <v>43795</v>
      </c>
      <c r="B1187" s="116">
        <v>170.85</v>
      </c>
      <c r="C1187" s="116">
        <v>167</v>
      </c>
      <c r="D1187" s="116">
        <v>167</v>
      </c>
      <c r="E1187" s="116">
        <v>168.5</v>
      </c>
      <c r="F1187" s="116">
        <v>167</v>
      </c>
      <c r="G1187">
        <v>626</v>
      </c>
      <c r="H1187" s="116"/>
      <c r="I1187" s="116"/>
      <c r="L1187" s="170">
        <v>43763</v>
      </c>
      <c r="M1187" s="116">
        <v>178.95</v>
      </c>
      <c r="N1187" s="116">
        <v>180</v>
      </c>
      <c r="O1187" s="116">
        <v>176.3</v>
      </c>
      <c r="P1187" s="116">
        <v>179.35</v>
      </c>
      <c r="Q1187" s="116">
        <v>178.95</v>
      </c>
      <c r="R1187">
        <v>6700</v>
      </c>
    </row>
    <row r="1188" spans="1:18" x14ac:dyDescent="0.25">
      <c r="A1188" s="170">
        <v>43796</v>
      </c>
      <c r="B1188" s="116">
        <v>170</v>
      </c>
      <c r="C1188" s="116">
        <v>168.15</v>
      </c>
      <c r="D1188" s="116">
        <v>167.15</v>
      </c>
      <c r="E1188" s="116">
        <v>169.45</v>
      </c>
      <c r="F1188" s="116">
        <v>168.15</v>
      </c>
      <c r="G1188">
        <v>2438</v>
      </c>
      <c r="H1188" s="116"/>
      <c r="I1188" s="116"/>
      <c r="L1188" s="170">
        <v>43765</v>
      </c>
      <c r="M1188" s="116">
        <v>183.55</v>
      </c>
      <c r="N1188" s="116">
        <v>185</v>
      </c>
      <c r="O1188" s="116">
        <v>180.5</v>
      </c>
      <c r="P1188" s="116">
        <v>182.95</v>
      </c>
      <c r="Q1188" s="116">
        <v>183.55</v>
      </c>
      <c r="R1188">
        <v>6175</v>
      </c>
    </row>
    <row r="1189" spans="1:18" x14ac:dyDescent="0.25">
      <c r="A1189" s="170">
        <v>43797</v>
      </c>
      <c r="B1189" s="116">
        <v>169</v>
      </c>
      <c r="C1189" s="116">
        <v>167.85</v>
      </c>
      <c r="D1189" s="116">
        <v>163</v>
      </c>
      <c r="E1189" s="116">
        <v>163</v>
      </c>
      <c r="F1189" s="116">
        <v>167.85</v>
      </c>
      <c r="G1189">
        <v>387</v>
      </c>
      <c r="H1189" s="116"/>
      <c r="I1189" s="116"/>
      <c r="L1189" s="170">
        <v>43767</v>
      </c>
      <c r="M1189" s="116">
        <v>184.75</v>
      </c>
      <c r="N1189" s="116">
        <v>186.25</v>
      </c>
      <c r="O1189" s="116">
        <v>180</v>
      </c>
      <c r="P1189" s="116">
        <v>180</v>
      </c>
      <c r="Q1189" s="116">
        <v>184.75</v>
      </c>
      <c r="R1189">
        <v>27987</v>
      </c>
    </row>
    <row r="1190" spans="1:18" x14ac:dyDescent="0.25">
      <c r="A1190" s="170">
        <v>43798</v>
      </c>
      <c r="B1190" s="116">
        <v>168.5</v>
      </c>
      <c r="C1190" s="116">
        <v>166</v>
      </c>
      <c r="D1190" s="116">
        <v>165.3</v>
      </c>
      <c r="E1190" s="116">
        <v>168.35</v>
      </c>
      <c r="F1190" s="116">
        <v>166</v>
      </c>
      <c r="G1190">
        <v>554</v>
      </c>
      <c r="H1190" s="116"/>
      <c r="I1190" s="116"/>
      <c r="L1190" s="170">
        <v>43768</v>
      </c>
      <c r="M1190" s="116">
        <v>185.6</v>
      </c>
      <c r="N1190" s="116">
        <v>186.6</v>
      </c>
      <c r="O1190" s="116">
        <v>184.55</v>
      </c>
      <c r="P1190" s="116">
        <v>186.05</v>
      </c>
      <c r="Q1190" s="116">
        <v>185.6</v>
      </c>
      <c r="R1190">
        <v>2526</v>
      </c>
    </row>
    <row r="1191" spans="1:18" x14ac:dyDescent="0.25">
      <c r="A1191" s="170">
        <v>43801</v>
      </c>
      <c r="B1191" s="116">
        <v>172.5</v>
      </c>
      <c r="C1191" s="116">
        <v>167.25</v>
      </c>
      <c r="D1191" s="116">
        <v>165</v>
      </c>
      <c r="E1191" s="116">
        <v>165</v>
      </c>
      <c r="F1191" s="116">
        <v>167.25</v>
      </c>
      <c r="G1191">
        <v>215</v>
      </c>
      <c r="H1191" s="116"/>
      <c r="I1191" s="116"/>
      <c r="L1191" s="170">
        <v>43769</v>
      </c>
      <c r="M1191" s="116">
        <v>183.3</v>
      </c>
      <c r="N1191" s="116">
        <v>188</v>
      </c>
      <c r="O1191" s="116">
        <v>181.1</v>
      </c>
      <c r="P1191" s="116">
        <v>188</v>
      </c>
      <c r="Q1191" s="116">
        <v>183.3</v>
      </c>
      <c r="R1191">
        <v>6864</v>
      </c>
    </row>
    <row r="1192" spans="1:18" x14ac:dyDescent="0.25">
      <c r="A1192" s="170">
        <v>43802</v>
      </c>
      <c r="B1192" s="116">
        <v>167.9</v>
      </c>
      <c r="C1192" s="116">
        <v>166.65</v>
      </c>
      <c r="D1192" s="116">
        <v>165.4</v>
      </c>
      <c r="E1192" s="116">
        <v>167.15</v>
      </c>
      <c r="F1192" s="116">
        <v>166.65</v>
      </c>
      <c r="G1192">
        <v>383</v>
      </c>
      <c r="H1192" s="116"/>
      <c r="I1192" s="116"/>
      <c r="L1192" s="170">
        <v>43770</v>
      </c>
      <c r="M1192" s="116">
        <v>178.25</v>
      </c>
      <c r="N1192" s="116">
        <v>185</v>
      </c>
      <c r="O1192" s="116">
        <v>176.2</v>
      </c>
      <c r="P1192" s="116">
        <v>183.1</v>
      </c>
      <c r="Q1192" s="116">
        <v>178.25</v>
      </c>
      <c r="R1192">
        <v>27793</v>
      </c>
    </row>
    <row r="1193" spans="1:18" x14ac:dyDescent="0.25">
      <c r="A1193" s="170">
        <v>43803</v>
      </c>
      <c r="B1193" s="116">
        <v>166.7</v>
      </c>
      <c r="C1193" s="116">
        <v>163.4</v>
      </c>
      <c r="D1193" s="116">
        <v>161</v>
      </c>
      <c r="E1193" s="116">
        <v>166.65</v>
      </c>
      <c r="F1193" s="116">
        <v>163.4</v>
      </c>
      <c r="G1193">
        <v>727</v>
      </c>
      <c r="H1193" s="116"/>
      <c r="I1193" s="116"/>
      <c r="L1193" s="170">
        <v>43773</v>
      </c>
      <c r="M1193" s="116">
        <v>178.55</v>
      </c>
      <c r="N1193" s="116">
        <v>183.8</v>
      </c>
      <c r="O1193" s="116">
        <v>176.6</v>
      </c>
      <c r="P1193" s="116">
        <v>182.75</v>
      </c>
      <c r="Q1193" s="116">
        <v>178.55</v>
      </c>
      <c r="R1193">
        <v>46134</v>
      </c>
    </row>
    <row r="1194" spans="1:18" x14ac:dyDescent="0.25">
      <c r="A1194" s="170">
        <v>43804</v>
      </c>
      <c r="B1194" s="116">
        <v>163.25</v>
      </c>
      <c r="C1194" s="116">
        <v>161.4</v>
      </c>
      <c r="D1194" s="116">
        <v>161.35</v>
      </c>
      <c r="E1194" s="116">
        <v>162.80000000000001</v>
      </c>
      <c r="F1194" s="116">
        <v>161.4</v>
      </c>
      <c r="G1194">
        <v>1306</v>
      </c>
      <c r="H1194" s="116"/>
      <c r="I1194" s="116"/>
      <c r="L1194" s="170">
        <v>43774</v>
      </c>
      <c r="M1194" s="116">
        <v>177.75</v>
      </c>
      <c r="N1194" s="116">
        <v>181.9</v>
      </c>
      <c r="O1194" s="116">
        <v>176.05</v>
      </c>
      <c r="P1194" s="116">
        <v>178.05</v>
      </c>
      <c r="Q1194" s="116">
        <v>177.75</v>
      </c>
      <c r="R1194">
        <v>12419</v>
      </c>
    </row>
    <row r="1195" spans="1:18" x14ac:dyDescent="0.25">
      <c r="A1195" s="170">
        <v>43805</v>
      </c>
      <c r="B1195" s="116">
        <v>167</v>
      </c>
      <c r="C1195" s="116">
        <v>162.6</v>
      </c>
      <c r="D1195" s="116">
        <v>161</v>
      </c>
      <c r="E1195" s="116">
        <v>167</v>
      </c>
      <c r="F1195" s="116">
        <v>162.6</v>
      </c>
      <c r="G1195">
        <v>396</v>
      </c>
      <c r="H1195" s="116"/>
      <c r="I1195" s="116"/>
      <c r="L1195" s="170">
        <v>43775</v>
      </c>
      <c r="M1195" s="116">
        <v>178</v>
      </c>
      <c r="N1195" s="116">
        <v>180.95</v>
      </c>
      <c r="O1195" s="116">
        <v>177.3</v>
      </c>
      <c r="P1195" s="116">
        <v>180.6</v>
      </c>
      <c r="Q1195" s="116">
        <v>178</v>
      </c>
      <c r="R1195">
        <v>16007</v>
      </c>
    </row>
    <row r="1196" spans="1:18" x14ac:dyDescent="0.25">
      <c r="A1196" s="170">
        <v>43808</v>
      </c>
      <c r="B1196" s="116">
        <v>170.8</v>
      </c>
      <c r="C1196" s="116">
        <v>166</v>
      </c>
      <c r="D1196" s="116">
        <v>164.1</v>
      </c>
      <c r="E1196" s="116">
        <v>166.7</v>
      </c>
      <c r="F1196" s="116">
        <v>166</v>
      </c>
      <c r="G1196">
        <v>2728</v>
      </c>
      <c r="H1196" s="116"/>
      <c r="I1196" s="116"/>
      <c r="L1196" s="170">
        <v>43776</v>
      </c>
      <c r="M1196" s="116">
        <v>178.9</v>
      </c>
      <c r="N1196" s="116">
        <v>183.2</v>
      </c>
      <c r="O1196" s="116">
        <v>178</v>
      </c>
      <c r="P1196" s="116">
        <v>178.15</v>
      </c>
      <c r="Q1196" s="116">
        <v>178.9</v>
      </c>
      <c r="R1196">
        <v>4119</v>
      </c>
    </row>
    <row r="1197" spans="1:18" x14ac:dyDescent="0.25">
      <c r="A1197" s="170">
        <v>43809</v>
      </c>
      <c r="B1197" s="116">
        <v>169</v>
      </c>
      <c r="C1197" s="116">
        <v>163</v>
      </c>
      <c r="D1197" s="116">
        <v>163</v>
      </c>
      <c r="E1197" s="116">
        <v>169</v>
      </c>
      <c r="F1197" s="116">
        <v>163</v>
      </c>
      <c r="G1197">
        <v>6031</v>
      </c>
      <c r="H1197" s="116"/>
      <c r="I1197" s="116"/>
      <c r="L1197" s="170">
        <v>43777</v>
      </c>
      <c r="M1197" s="116">
        <v>178.05</v>
      </c>
      <c r="N1197" s="116">
        <v>182.8</v>
      </c>
      <c r="O1197" s="116">
        <v>177</v>
      </c>
      <c r="P1197" s="116">
        <v>178.9</v>
      </c>
      <c r="Q1197" s="116">
        <v>178.05</v>
      </c>
      <c r="R1197">
        <v>82585</v>
      </c>
    </row>
    <row r="1198" spans="1:18" x14ac:dyDescent="0.25">
      <c r="A1198" s="170">
        <v>43810</v>
      </c>
      <c r="B1198" s="116">
        <v>170</v>
      </c>
      <c r="C1198" s="116">
        <v>163.80000000000001</v>
      </c>
      <c r="D1198" s="116">
        <v>162.19999999999999</v>
      </c>
      <c r="E1198" s="116">
        <v>164.05</v>
      </c>
      <c r="F1198" s="116">
        <v>163.80000000000001</v>
      </c>
      <c r="G1198">
        <v>583</v>
      </c>
      <c r="H1198" s="116"/>
      <c r="I1198" s="116"/>
      <c r="L1198" s="170">
        <v>43780</v>
      </c>
      <c r="M1198" s="116">
        <v>176</v>
      </c>
      <c r="N1198" s="116">
        <v>180.2</v>
      </c>
      <c r="O1198" s="116">
        <v>171.2</v>
      </c>
      <c r="P1198" s="116">
        <v>171.2</v>
      </c>
      <c r="Q1198" s="116">
        <v>176</v>
      </c>
      <c r="R1198">
        <v>84087</v>
      </c>
    </row>
    <row r="1199" spans="1:18" x14ac:dyDescent="0.25">
      <c r="A1199" s="170">
        <v>43811</v>
      </c>
      <c r="B1199" s="116">
        <v>167</v>
      </c>
      <c r="C1199" s="116">
        <v>163.69999999999999</v>
      </c>
      <c r="D1199" s="116">
        <v>163.69999999999999</v>
      </c>
      <c r="E1199" s="116">
        <v>167</v>
      </c>
      <c r="F1199" s="116">
        <v>163.69999999999999</v>
      </c>
      <c r="G1199">
        <v>110</v>
      </c>
      <c r="H1199" s="116"/>
      <c r="I1199" s="116"/>
      <c r="L1199" s="170">
        <v>43782</v>
      </c>
      <c r="M1199" s="116">
        <v>179.45</v>
      </c>
      <c r="N1199" s="116">
        <v>183.8</v>
      </c>
      <c r="O1199" s="116">
        <v>174</v>
      </c>
      <c r="P1199" s="116">
        <v>177.95</v>
      </c>
      <c r="Q1199" s="116">
        <v>179.45</v>
      </c>
      <c r="R1199">
        <v>81569</v>
      </c>
    </row>
    <row r="1200" spans="1:18" x14ac:dyDescent="0.25">
      <c r="A1200" s="170">
        <v>43812</v>
      </c>
      <c r="B1200" s="116">
        <v>166.3</v>
      </c>
      <c r="C1200" s="116">
        <v>164.2</v>
      </c>
      <c r="D1200" s="116">
        <v>163.15</v>
      </c>
      <c r="E1200" s="116">
        <v>166.3</v>
      </c>
      <c r="F1200" s="116">
        <v>164.2</v>
      </c>
      <c r="G1200">
        <v>740</v>
      </c>
      <c r="H1200" s="116"/>
      <c r="I1200" s="116"/>
      <c r="L1200" s="170">
        <v>43783</v>
      </c>
      <c r="M1200" s="116">
        <v>177.5</v>
      </c>
      <c r="N1200" s="116">
        <v>179</v>
      </c>
      <c r="O1200" s="116">
        <v>176</v>
      </c>
      <c r="P1200" s="116">
        <v>176</v>
      </c>
      <c r="Q1200" s="116">
        <v>177.5</v>
      </c>
      <c r="R1200">
        <v>70252</v>
      </c>
    </row>
    <row r="1201" spans="1:18" x14ac:dyDescent="0.25">
      <c r="A1201" s="170">
        <v>43815</v>
      </c>
      <c r="B1201" s="116">
        <v>168.4</v>
      </c>
      <c r="C1201" s="116">
        <v>165.8</v>
      </c>
      <c r="D1201" s="116">
        <v>161.55000000000001</v>
      </c>
      <c r="E1201" s="116">
        <v>167.95</v>
      </c>
      <c r="F1201" s="116">
        <v>165.8</v>
      </c>
      <c r="G1201">
        <v>792</v>
      </c>
      <c r="H1201" s="116"/>
      <c r="I1201" s="116"/>
      <c r="L1201" s="170">
        <v>43784</v>
      </c>
      <c r="M1201" s="116">
        <v>177.05</v>
      </c>
      <c r="N1201" s="116">
        <v>182</v>
      </c>
      <c r="O1201" s="116">
        <v>175.95</v>
      </c>
      <c r="P1201" s="116">
        <v>181.45</v>
      </c>
      <c r="Q1201" s="116">
        <v>177.05</v>
      </c>
      <c r="R1201">
        <v>10533</v>
      </c>
    </row>
    <row r="1202" spans="1:18" x14ac:dyDescent="0.25">
      <c r="A1202" s="170">
        <v>43816</v>
      </c>
      <c r="B1202" s="116">
        <v>183.1</v>
      </c>
      <c r="C1202" s="116">
        <v>173.3</v>
      </c>
      <c r="D1202" s="116">
        <v>170</v>
      </c>
      <c r="E1202" s="116">
        <v>170</v>
      </c>
      <c r="F1202" s="116">
        <v>173.3</v>
      </c>
      <c r="G1202">
        <v>19773</v>
      </c>
      <c r="H1202" s="116"/>
      <c r="I1202" s="116"/>
      <c r="L1202" s="170">
        <v>43787</v>
      </c>
      <c r="M1202" s="116">
        <v>178.9</v>
      </c>
      <c r="N1202" s="116">
        <v>180</v>
      </c>
      <c r="O1202" s="116">
        <v>175.1</v>
      </c>
      <c r="P1202" s="116">
        <v>175.1</v>
      </c>
      <c r="Q1202" s="116">
        <v>178.9</v>
      </c>
      <c r="R1202">
        <v>67570</v>
      </c>
    </row>
    <row r="1203" spans="1:18" x14ac:dyDescent="0.25">
      <c r="A1203" s="170">
        <v>43817</v>
      </c>
      <c r="B1203" s="116">
        <v>174.9</v>
      </c>
      <c r="C1203" s="116">
        <v>170.15</v>
      </c>
      <c r="D1203" s="116">
        <v>168.15</v>
      </c>
      <c r="E1203" s="116">
        <v>171.75</v>
      </c>
      <c r="F1203" s="116">
        <v>170.15</v>
      </c>
      <c r="G1203">
        <v>2518</v>
      </c>
      <c r="H1203" s="116"/>
      <c r="I1203" s="116"/>
      <c r="L1203" s="170">
        <v>43788</v>
      </c>
      <c r="M1203" s="116">
        <v>175.1</v>
      </c>
      <c r="N1203" s="116">
        <v>179.8</v>
      </c>
      <c r="O1203" s="116">
        <v>175</v>
      </c>
      <c r="P1203" s="116">
        <v>177</v>
      </c>
      <c r="Q1203" s="116">
        <v>175.1</v>
      </c>
      <c r="R1203">
        <v>21053</v>
      </c>
    </row>
    <row r="1204" spans="1:18" x14ac:dyDescent="0.25">
      <c r="A1204" s="170">
        <v>43818</v>
      </c>
      <c r="B1204" s="116">
        <v>173</v>
      </c>
      <c r="C1204" s="116">
        <v>170.85</v>
      </c>
      <c r="D1204" s="116">
        <v>170</v>
      </c>
      <c r="E1204" s="116">
        <v>172.4</v>
      </c>
      <c r="F1204" s="116">
        <v>170.85</v>
      </c>
      <c r="G1204">
        <v>574</v>
      </c>
      <c r="H1204" s="116"/>
      <c r="I1204" s="116"/>
      <c r="L1204" s="170">
        <v>43789</v>
      </c>
      <c r="M1204" s="116">
        <v>171.05</v>
      </c>
      <c r="N1204" s="116">
        <v>177.4</v>
      </c>
      <c r="O1204" s="116">
        <v>170.3</v>
      </c>
      <c r="P1204" s="116">
        <v>176.1</v>
      </c>
      <c r="Q1204" s="116">
        <v>171.05</v>
      </c>
      <c r="R1204">
        <v>190170</v>
      </c>
    </row>
    <row r="1205" spans="1:18" x14ac:dyDescent="0.25">
      <c r="A1205" s="170">
        <v>43819</v>
      </c>
      <c r="B1205" s="116">
        <v>171.9</v>
      </c>
      <c r="C1205" s="116">
        <v>168.9</v>
      </c>
      <c r="D1205" s="116">
        <v>168.4</v>
      </c>
      <c r="E1205" s="116">
        <v>170</v>
      </c>
      <c r="F1205" s="116">
        <v>168.9</v>
      </c>
      <c r="G1205">
        <v>778</v>
      </c>
      <c r="H1205" s="116"/>
      <c r="I1205" s="116"/>
      <c r="L1205" s="170">
        <v>43790</v>
      </c>
      <c r="M1205" s="116">
        <v>171.25</v>
      </c>
      <c r="N1205" s="116">
        <v>176.9</v>
      </c>
      <c r="O1205" s="116">
        <v>168.1</v>
      </c>
      <c r="P1205" s="116">
        <v>176.9</v>
      </c>
      <c r="Q1205" s="116">
        <v>171.25</v>
      </c>
      <c r="R1205">
        <v>18785</v>
      </c>
    </row>
    <row r="1206" spans="1:18" x14ac:dyDescent="0.25">
      <c r="A1206" s="170">
        <v>43822</v>
      </c>
      <c r="B1206" s="116">
        <v>169.2</v>
      </c>
      <c r="C1206" s="116">
        <v>167.9</v>
      </c>
      <c r="D1206" s="116">
        <v>167.5</v>
      </c>
      <c r="E1206" s="116">
        <v>168</v>
      </c>
      <c r="F1206" s="116">
        <v>167.9</v>
      </c>
      <c r="G1206">
        <v>574</v>
      </c>
      <c r="H1206" s="116"/>
      <c r="I1206" s="116"/>
      <c r="L1206" s="170">
        <v>43791</v>
      </c>
      <c r="M1206" s="116">
        <v>167.75</v>
      </c>
      <c r="N1206" s="116">
        <v>172.9</v>
      </c>
      <c r="O1206" s="116">
        <v>166.95</v>
      </c>
      <c r="P1206" s="116">
        <v>171.3</v>
      </c>
      <c r="Q1206" s="116">
        <v>167.75</v>
      </c>
      <c r="R1206">
        <v>53065</v>
      </c>
    </row>
    <row r="1207" spans="1:18" x14ac:dyDescent="0.25">
      <c r="A1207" s="170">
        <v>43823</v>
      </c>
      <c r="B1207" s="116">
        <v>168.8</v>
      </c>
      <c r="C1207" s="116">
        <v>168.6</v>
      </c>
      <c r="D1207" s="116">
        <v>166.85</v>
      </c>
      <c r="E1207" s="116">
        <v>167.95</v>
      </c>
      <c r="F1207" s="116">
        <v>168.6</v>
      </c>
      <c r="G1207">
        <v>1048</v>
      </c>
      <c r="H1207" s="116"/>
      <c r="I1207" s="116"/>
      <c r="L1207" s="170">
        <v>43794</v>
      </c>
      <c r="M1207" s="116">
        <v>167.7</v>
      </c>
      <c r="N1207" s="116">
        <v>171.75</v>
      </c>
      <c r="O1207" s="116">
        <v>167</v>
      </c>
      <c r="P1207" s="116">
        <v>167</v>
      </c>
      <c r="Q1207" s="116">
        <v>167.7</v>
      </c>
      <c r="R1207">
        <v>136991</v>
      </c>
    </row>
    <row r="1208" spans="1:18" x14ac:dyDescent="0.25">
      <c r="A1208" s="170">
        <v>43825</v>
      </c>
      <c r="B1208" s="116">
        <v>169.1</v>
      </c>
      <c r="C1208" s="116">
        <v>167.6</v>
      </c>
      <c r="D1208" s="116">
        <v>166.85</v>
      </c>
      <c r="E1208" s="116">
        <v>168.2</v>
      </c>
      <c r="F1208" s="116">
        <v>167.6</v>
      </c>
      <c r="G1208">
        <v>193</v>
      </c>
      <c r="H1208" s="116"/>
      <c r="I1208" s="116"/>
      <c r="L1208" s="170">
        <v>43795</v>
      </c>
      <c r="M1208" s="116">
        <v>167.5</v>
      </c>
      <c r="N1208" s="116">
        <v>171.95</v>
      </c>
      <c r="O1208" s="116">
        <v>167</v>
      </c>
      <c r="P1208" s="116">
        <v>168.6</v>
      </c>
      <c r="Q1208" s="116">
        <v>167.5</v>
      </c>
      <c r="R1208">
        <v>46121</v>
      </c>
    </row>
    <row r="1209" spans="1:18" x14ac:dyDescent="0.25">
      <c r="A1209" s="170">
        <v>43826</v>
      </c>
      <c r="B1209" s="116">
        <v>169</v>
      </c>
      <c r="C1209" s="116">
        <v>168</v>
      </c>
      <c r="D1209" s="116">
        <v>166</v>
      </c>
      <c r="E1209" s="116">
        <v>168.3</v>
      </c>
      <c r="F1209" s="116">
        <v>168</v>
      </c>
      <c r="G1209">
        <v>1848</v>
      </c>
      <c r="H1209" s="116"/>
      <c r="I1209" s="116"/>
      <c r="L1209" s="170">
        <v>43796</v>
      </c>
      <c r="M1209" s="116">
        <v>167.4</v>
      </c>
      <c r="N1209" s="116">
        <v>170</v>
      </c>
      <c r="O1209" s="116">
        <v>167</v>
      </c>
      <c r="P1209" s="116">
        <v>167.05</v>
      </c>
      <c r="Q1209" s="116">
        <v>167.4</v>
      </c>
      <c r="R1209">
        <v>25340</v>
      </c>
    </row>
    <row r="1210" spans="1:18" x14ac:dyDescent="0.25">
      <c r="A1210" s="170">
        <v>43829</v>
      </c>
      <c r="B1210" s="116">
        <v>168.3</v>
      </c>
      <c r="C1210" s="116">
        <v>167.1</v>
      </c>
      <c r="D1210" s="116">
        <v>165</v>
      </c>
      <c r="E1210" s="116">
        <v>167.75</v>
      </c>
      <c r="F1210" s="116">
        <v>167.1</v>
      </c>
      <c r="G1210">
        <v>1302</v>
      </c>
      <c r="H1210" s="116"/>
      <c r="I1210" s="116"/>
      <c r="L1210" s="170">
        <v>43797</v>
      </c>
      <c r="M1210" s="116">
        <v>167</v>
      </c>
      <c r="N1210" s="116">
        <v>168.85</v>
      </c>
      <c r="O1210" s="116">
        <v>166.5</v>
      </c>
      <c r="P1210" s="116">
        <v>167.55</v>
      </c>
      <c r="Q1210" s="116">
        <v>167</v>
      </c>
      <c r="R1210">
        <v>28204</v>
      </c>
    </row>
    <row r="1211" spans="1:18" x14ac:dyDescent="0.25">
      <c r="A1211" s="170">
        <v>43830</v>
      </c>
      <c r="B1211" s="116">
        <v>170.3</v>
      </c>
      <c r="C1211" s="116">
        <v>169.4</v>
      </c>
      <c r="D1211" s="116">
        <v>166.45</v>
      </c>
      <c r="E1211" s="116">
        <v>167.7</v>
      </c>
      <c r="F1211" s="116">
        <v>169.4</v>
      </c>
      <c r="G1211">
        <v>1501</v>
      </c>
      <c r="H1211" s="116"/>
      <c r="I1211" s="116"/>
      <c r="L1211" s="170">
        <v>43798</v>
      </c>
      <c r="M1211" s="116">
        <v>165.85</v>
      </c>
      <c r="N1211" s="116">
        <v>167.95</v>
      </c>
      <c r="O1211" s="116">
        <v>165.05</v>
      </c>
      <c r="P1211" s="116">
        <v>167.05</v>
      </c>
      <c r="Q1211" s="116">
        <v>165.85</v>
      </c>
      <c r="R1211">
        <v>12818</v>
      </c>
    </row>
    <row r="1212" spans="1:18" x14ac:dyDescent="0.25">
      <c r="A1212" s="170">
        <v>43831</v>
      </c>
      <c r="B1212" s="116">
        <v>170.5</v>
      </c>
      <c r="C1212" s="116">
        <v>168.3</v>
      </c>
      <c r="D1212" s="116">
        <v>168.3</v>
      </c>
      <c r="E1212" s="116">
        <v>170.5</v>
      </c>
      <c r="F1212" s="116">
        <v>168.3</v>
      </c>
      <c r="G1212">
        <v>32</v>
      </c>
      <c r="H1212" s="116"/>
      <c r="I1212" s="116"/>
      <c r="L1212" s="170">
        <v>43801</v>
      </c>
      <c r="M1212" s="116">
        <v>166.55</v>
      </c>
      <c r="N1212" s="116">
        <v>171.75</v>
      </c>
      <c r="O1212" s="116">
        <v>166</v>
      </c>
      <c r="P1212" s="116">
        <v>171.75</v>
      </c>
      <c r="Q1212" s="116">
        <v>166.55</v>
      </c>
      <c r="R1212">
        <v>9236</v>
      </c>
    </row>
    <row r="1213" spans="1:18" x14ac:dyDescent="0.25">
      <c r="A1213" s="170">
        <v>43832</v>
      </c>
      <c r="B1213" s="116">
        <v>173.25</v>
      </c>
      <c r="C1213" s="116">
        <v>170.85</v>
      </c>
      <c r="D1213" s="116">
        <v>166.8</v>
      </c>
      <c r="E1213" s="116">
        <v>171.85</v>
      </c>
      <c r="F1213" s="116">
        <v>170.85</v>
      </c>
      <c r="G1213">
        <v>1594</v>
      </c>
      <c r="H1213" s="116"/>
      <c r="I1213" s="116"/>
      <c r="L1213" s="170">
        <v>43802</v>
      </c>
      <c r="M1213" s="116">
        <v>166.3</v>
      </c>
      <c r="N1213" s="116">
        <v>168</v>
      </c>
      <c r="O1213" s="116">
        <v>165.05</v>
      </c>
      <c r="P1213" s="116">
        <v>166.05</v>
      </c>
      <c r="Q1213" s="116">
        <v>166.3</v>
      </c>
      <c r="R1213">
        <v>11705</v>
      </c>
    </row>
    <row r="1214" spans="1:18" x14ac:dyDescent="0.25">
      <c r="A1214" s="170">
        <v>43833</v>
      </c>
      <c r="B1214" s="116">
        <v>181.7</v>
      </c>
      <c r="C1214" s="116">
        <v>168.15</v>
      </c>
      <c r="D1214" s="116">
        <v>167.05</v>
      </c>
      <c r="E1214" s="116">
        <v>181.7</v>
      </c>
      <c r="F1214" s="116">
        <v>168.15</v>
      </c>
      <c r="G1214">
        <v>3086</v>
      </c>
      <c r="H1214" s="116"/>
      <c r="I1214" s="116"/>
      <c r="L1214" s="170">
        <v>43803</v>
      </c>
      <c r="M1214" s="116">
        <v>162.05000000000001</v>
      </c>
      <c r="N1214" s="116">
        <v>166.8</v>
      </c>
      <c r="O1214" s="116">
        <v>161.05000000000001</v>
      </c>
      <c r="P1214" s="116">
        <v>165.05</v>
      </c>
      <c r="Q1214" s="116">
        <v>162.05000000000001</v>
      </c>
      <c r="R1214">
        <v>23303</v>
      </c>
    </row>
    <row r="1215" spans="1:18" x14ac:dyDescent="0.25">
      <c r="A1215" s="170">
        <v>43836</v>
      </c>
      <c r="B1215" s="116">
        <v>169</v>
      </c>
      <c r="C1215" s="116">
        <v>165.05</v>
      </c>
      <c r="D1215" s="116">
        <v>164.2</v>
      </c>
      <c r="E1215" s="116">
        <v>167.3</v>
      </c>
      <c r="F1215" s="116">
        <v>165.05</v>
      </c>
      <c r="G1215">
        <v>3123</v>
      </c>
      <c r="H1215" s="116"/>
      <c r="I1215" s="116"/>
      <c r="L1215" s="170">
        <v>43804</v>
      </c>
      <c r="M1215" s="116">
        <v>161.9</v>
      </c>
      <c r="N1215" s="116">
        <v>164</v>
      </c>
      <c r="O1215" s="116">
        <v>161.1</v>
      </c>
      <c r="P1215" s="116">
        <v>163.9</v>
      </c>
      <c r="Q1215" s="116">
        <v>161.9</v>
      </c>
      <c r="R1215">
        <v>12518</v>
      </c>
    </row>
    <row r="1216" spans="1:18" x14ac:dyDescent="0.25">
      <c r="A1216" s="170">
        <v>43837</v>
      </c>
      <c r="B1216" s="116">
        <v>168.5</v>
      </c>
      <c r="C1216" s="116">
        <v>165</v>
      </c>
      <c r="D1216" s="116">
        <v>162.9</v>
      </c>
      <c r="E1216" s="116">
        <v>166.7</v>
      </c>
      <c r="F1216" s="116">
        <v>165</v>
      </c>
      <c r="G1216">
        <v>1062</v>
      </c>
      <c r="H1216" s="116"/>
      <c r="I1216" s="116"/>
      <c r="L1216" s="170">
        <v>43805</v>
      </c>
      <c r="M1216" s="116">
        <v>161.30000000000001</v>
      </c>
      <c r="N1216" s="116">
        <v>166</v>
      </c>
      <c r="O1216" s="116">
        <v>160.75</v>
      </c>
      <c r="P1216" s="116">
        <v>163.1</v>
      </c>
      <c r="Q1216" s="116">
        <v>161.30000000000001</v>
      </c>
      <c r="R1216">
        <v>10988</v>
      </c>
    </row>
    <row r="1217" spans="1:18" x14ac:dyDescent="0.25">
      <c r="A1217" s="170">
        <v>43838</v>
      </c>
      <c r="B1217" s="116">
        <v>164.05</v>
      </c>
      <c r="C1217" s="116">
        <v>163.69999999999999</v>
      </c>
      <c r="D1217" s="116">
        <v>162.65</v>
      </c>
      <c r="E1217" s="116">
        <v>163.69999999999999</v>
      </c>
      <c r="F1217" s="116">
        <v>163.69999999999999</v>
      </c>
      <c r="G1217">
        <v>1751</v>
      </c>
      <c r="H1217" s="116"/>
      <c r="I1217" s="116"/>
      <c r="L1217" s="170">
        <v>43808</v>
      </c>
      <c r="M1217" s="116">
        <v>166.25</v>
      </c>
      <c r="N1217" s="116">
        <v>168.9</v>
      </c>
      <c r="O1217" s="116">
        <v>163.80000000000001</v>
      </c>
      <c r="P1217" s="116">
        <v>168.9</v>
      </c>
      <c r="Q1217" s="116">
        <v>166.25</v>
      </c>
      <c r="R1217">
        <v>30870</v>
      </c>
    </row>
    <row r="1218" spans="1:18" x14ac:dyDescent="0.25">
      <c r="A1218" s="170">
        <v>43839</v>
      </c>
      <c r="B1218" s="116">
        <v>170.1</v>
      </c>
      <c r="C1218" s="116">
        <v>166.95</v>
      </c>
      <c r="D1218" s="116">
        <v>165</v>
      </c>
      <c r="E1218" s="116">
        <v>166.85</v>
      </c>
      <c r="F1218" s="116">
        <v>166.95</v>
      </c>
      <c r="G1218">
        <v>1742</v>
      </c>
      <c r="H1218" s="116"/>
      <c r="I1218" s="116"/>
      <c r="L1218" s="170">
        <v>43809</v>
      </c>
      <c r="M1218" s="116">
        <v>163.15</v>
      </c>
      <c r="N1218" s="116">
        <v>168.4</v>
      </c>
      <c r="O1218" s="116">
        <v>163</v>
      </c>
      <c r="P1218" s="116">
        <v>168.4</v>
      </c>
      <c r="Q1218" s="116">
        <v>163.15</v>
      </c>
      <c r="R1218">
        <v>15363</v>
      </c>
    </row>
    <row r="1219" spans="1:18" x14ac:dyDescent="0.25">
      <c r="A1219" s="170">
        <v>43840</v>
      </c>
      <c r="B1219" s="116">
        <v>176</v>
      </c>
      <c r="C1219" s="116">
        <v>169.65</v>
      </c>
      <c r="D1219" s="116">
        <v>167.9</v>
      </c>
      <c r="E1219" s="116">
        <v>170.05</v>
      </c>
      <c r="F1219" s="116">
        <v>169.65</v>
      </c>
      <c r="G1219">
        <v>14050</v>
      </c>
      <c r="H1219" s="116"/>
      <c r="I1219" s="116"/>
      <c r="L1219" s="170">
        <v>43810</v>
      </c>
      <c r="M1219" s="116">
        <v>163.19999999999999</v>
      </c>
      <c r="N1219" s="116">
        <v>170.95</v>
      </c>
      <c r="O1219" s="116">
        <v>162.15</v>
      </c>
      <c r="P1219" s="116">
        <v>163.15</v>
      </c>
      <c r="Q1219" s="116">
        <v>163.19999999999999</v>
      </c>
      <c r="R1219">
        <v>25572</v>
      </c>
    </row>
    <row r="1220" spans="1:18" x14ac:dyDescent="0.25">
      <c r="A1220" s="170">
        <v>43843</v>
      </c>
      <c r="B1220" s="116">
        <v>171.95</v>
      </c>
      <c r="C1220" s="116">
        <v>167.05</v>
      </c>
      <c r="D1220" s="116">
        <v>166</v>
      </c>
      <c r="E1220" s="116">
        <v>170.15</v>
      </c>
      <c r="F1220" s="116">
        <v>167.05</v>
      </c>
      <c r="G1220">
        <v>2839</v>
      </c>
      <c r="H1220" s="116"/>
      <c r="I1220" s="116"/>
      <c r="L1220" s="170">
        <v>43811</v>
      </c>
      <c r="M1220" s="116">
        <v>164.25</v>
      </c>
      <c r="N1220" s="116">
        <v>165.45</v>
      </c>
      <c r="O1220" s="116">
        <v>163.19999999999999</v>
      </c>
      <c r="P1220" s="116">
        <v>163.19999999999999</v>
      </c>
      <c r="Q1220" s="116">
        <v>164.25</v>
      </c>
      <c r="R1220">
        <v>4386</v>
      </c>
    </row>
    <row r="1221" spans="1:18" x14ac:dyDescent="0.25">
      <c r="A1221" s="170">
        <v>43844</v>
      </c>
      <c r="B1221" s="116">
        <v>174.65</v>
      </c>
      <c r="C1221" s="116">
        <v>172.15</v>
      </c>
      <c r="D1221" s="116">
        <v>167.7</v>
      </c>
      <c r="E1221" s="116">
        <v>170.45</v>
      </c>
      <c r="F1221" s="116">
        <v>172.15</v>
      </c>
      <c r="G1221">
        <v>7654</v>
      </c>
      <c r="H1221" s="116"/>
      <c r="I1221" s="116"/>
      <c r="L1221" s="170">
        <v>43812</v>
      </c>
      <c r="M1221" s="116">
        <v>164.15</v>
      </c>
      <c r="N1221" s="116">
        <v>169.4</v>
      </c>
      <c r="O1221" s="116">
        <v>163.19999999999999</v>
      </c>
      <c r="P1221" s="116">
        <v>169.35</v>
      </c>
      <c r="Q1221" s="116">
        <v>164.15</v>
      </c>
      <c r="R1221">
        <v>10790</v>
      </c>
    </row>
    <row r="1222" spans="1:18" x14ac:dyDescent="0.25">
      <c r="A1222" s="170">
        <v>43845</v>
      </c>
      <c r="B1222" s="116">
        <v>171.05</v>
      </c>
      <c r="C1222" s="116">
        <v>170.3</v>
      </c>
      <c r="D1222" s="116">
        <v>168.3</v>
      </c>
      <c r="E1222" s="116">
        <v>170.8</v>
      </c>
      <c r="F1222" s="116">
        <v>170.3</v>
      </c>
      <c r="G1222">
        <v>693</v>
      </c>
      <c r="H1222" s="116"/>
      <c r="I1222" s="116"/>
      <c r="L1222" s="170">
        <v>43815</v>
      </c>
      <c r="M1222" s="116">
        <v>166.5</v>
      </c>
      <c r="N1222" s="116">
        <v>168.15</v>
      </c>
      <c r="O1222" s="116">
        <v>162.9</v>
      </c>
      <c r="P1222" s="116">
        <v>163.5</v>
      </c>
      <c r="Q1222" s="116">
        <v>166.5</v>
      </c>
      <c r="R1222">
        <v>20345</v>
      </c>
    </row>
    <row r="1223" spans="1:18" x14ac:dyDescent="0.25">
      <c r="A1223" s="170">
        <v>43846</v>
      </c>
      <c r="B1223" s="116">
        <v>171.25</v>
      </c>
      <c r="C1223" s="116">
        <v>170.3</v>
      </c>
      <c r="D1223" s="116">
        <v>168.85</v>
      </c>
      <c r="E1223" s="116">
        <v>171.25</v>
      </c>
      <c r="F1223" s="116">
        <v>170.3</v>
      </c>
      <c r="G1223">
        <v>1725</v>
      </c>
      <c r="H1223" s="116"/>
      <c r="I1223" s="116"/>
      <c r="L1223" s="170">
        <v>43816</v>
      </c>
      <c r="M1223" s="116">
        <v>173.3</v>
      </c>
      <c r="N1223" s="116">
        <v>182.9</v>
      </c>
      <c r="O1223" s="116">
        <v>170.25</v>
      </c>
      <c r="P1223" s="116">
        <v>170.25</v>
      </c>
      <c r="Q1223" s="116">
        <v>173.3</v>
      </c>
      <c r="R1223">
        <v>194226</v>
      </c>
    </row>
    <row r="1224" spans="1:18" x14ac:dyDescent="0.25">
      <c r="A1224" s="170">
        <v>43847</v>
      </c>
      <c r="B1224" s="116">
        <v>180.45</v>
      </c>
      <c r="C1224" s="116">
        <v>175.6</v>
      </c>
      <c r="D1224" s="116">
        <v>175.45</v>
      </c>
      <c r="E1224" s="116">
        <v>176.1</v>
      </c>
      <c r="F1224" s="116">
        <v>175.6</v>
      </c>
      <c r="G1224">
        <v>9105</v>
      </c>
      <c r="H1224" s="116"/>
      <c r="I1224" s="116"/>
      <c r="L1224" s="170">
        <v>43817</v>
      </c>
      <c r="M1224" s="116">
        <v>171.05</v>
      </c>
      <c r="N1224" s="116">
        <v>175.55</v>
      </c>
      <c r="O1224" s="116">
        <v>169.05</v>
      </c>
      <c r="P1224" s="116">
        <v>174.85</v>
      </c>
      <c r="Q1224" s="116">
        <v>171.05</v>
      </c>
      <c r="R1224">
        <v>25367</v>
      </c>
    </row>
    <row r="1225" spans="1:18" x14ac:dyDescent="0.25">
      <c r="A1225" s="170">
        <v>43850</v>
      </c>
      <c r="B1225" s="116">
        <v>175</v>
      </c>
      <c r="C1225" s="116">
        <v>173.45</v>
      </c>
      <c r="D1225" s="116">
        <v>171</v>
      </c>
      <c r="E1225" s="116">
        <v>175</v>
      </c>
      <c r="F1225" s="116">
        <v>173.45</v>
      </c>
      <c r="G1225">
        <v>593</v>
      </c>
      <c r="H1225" s="116"/>
      <c r="I1225" s="116"/>
      <c r="L1225" s="170">
        <v>43818</v>
      </c>
      <c r="M1225" s="116">
        <v>171.2</v>
      </c>
      <c r="N1225" s="116">
        <v>173.9</v>
      </c>
      <c r="O1225" s="116">
        <v>170</v>
      </c>
      <c r="P1225" s="116">
        <v>171.35</v>
      </c>
      <c r="Q1225" s="116">
        <v>171.2</v>
      </c>
      <c r="R1225">
        <v>10875</v>
      </c>
    </row>
    <row r="1226" spans="1:18" x14ac:dyDescent="0.25">
      <c r="A1226" s="170">
        <v>43851</v>
      </c>
      <c r="B1226" s="116">
        <v>174.6</v>
      </c>
      <c r="C1226" s="116">
        <v>174.4</v>
      </c>
      <c r="D1226" s="116">
        <v>171.05</v>
      </c>
      <c r="E1226" s="116">
        <v>171.45</v>
      </c>
      <c r="F1226" s="116">
        <v>174.4</v>
      </c>
      <c r="G1226">
        <v>805</v>
      </c>
      <c r="H1226" s="116"/>
      <c r="I1226" s="116"/>
      <c r="L1226" s="170">
        <v>43819</v>
      </c>
      <c r="M1226" s="116">
        <v>168.8</v>
      </c>
      <c r="N1226" s="116">
        <v>171.5</v>
      </c>
      <c r="O1226" s="116">
        <v>168</v>
      </c>
      <c r="P1226" s="116">
        <v>169.1</v>
      </c>
      <c r="Q1226" s="116">
        <v>168.8</v>
      </c>
      <c r="R1226">
        <v>7763</v>
      </c>
    </row>
    <row r="1227" spans="1:18" x14ac:dyDescent="0.25">
      <c r="A1227" s="170">
        <v>43852</v>
      </c>
      <c r="B1227" s="116">
        <v>175.5</v>
      </c>
      <c r="C1227" s="116">
        <v>172.85</v>
      </c>
      <c r="D1227" s="116">
        <v>171.95</v>
      </c>
      <c r="E1227" s="116">
        <v>174.3</v>
      </c>
      <c r="F1227" s="116">
        <v>172.85</v>
      </c>
      <c r="G1227">
        <v>635</v>
      </c>
      <c r="H1227" s="116"/>
      <c r="I1227" s="116"/>
      <c r="L1227" s="170">
        <v>43822</v>
      </c>
      <c r="M1227" s="116">
        <v>168.05</v>
      </c>
      <c r="N1227" s="116">
        <v>171.5</v>
      </c>
      <c r="O1227" s="116">
        <v>168</v>
      </c>
      <c r="P1227" s="116">
        <v>171.45</v>
      </c>
      <c r="Q1227" s="116">
        <v>168.05</v>
      </c>
      <c r="R1227">
        <v>9784</v>
      </c>
    </row>
    <row r="1228" spans="1:18" x14ac:dyDescent="0.25">
      <c r="A1228" s="170">
        <v>43853</v>
      </c>
      <c r="B1228" s="116">
        <v>172.95</v>
      </c>
      <c r="C1228" s="116">
        <v>172.3</v>
      </c>
      <c r="D1228" s="116">
        <v>171.25</v>
      </c>
      <c r="E1228" s="116">
        <v>172.6</v>
      </c>
      <c r="F1228" s="116">
        <v>172.3</v>
      </c>
      <c r="G1228">
        <v>761</v>
      </c>
      <c r="H1228" s="116"/>
      <c r="I1228" s="116"/>
      <c r="L1228" s="170">
        <v>43823</v>
      </c>
      <c r="M1228" s="116">
        <v>167.45</v>
      </c>
      <c r="N1228" s="116">
        <v>170.2</v>
      </c>
      <c r="O1228" s="116">
        <v>167</v>
      </c>
      <c r="P1228" s="116">
        <v>167.15</v>
      </c>
      <c r="Q1228" s="116">
        <v>167.45</v>
      </c>
      <c r="R1228">
        <v>8681</v>
      </c>
    </row>
    <row r="1229" spans="1:18" x14ac:dyDescent="0.25">
      <c r="A1229" s="170">
        <v>43854</v>
      </c>
      <c r="B1229" s="116">
        <v>173.2</v>
      </c>
      <c r="C1229" s="116">
        <v>170.9</v>
      </c>
      <c r="D1229" s="116">
        <v>170.85</v>
      </c>
      <c r="E1229" s="116">
        <v>171.25</v>
      </c>
      <c r="F1229" s="116">
        <v>170.9</v>
      </c>
      <c r="G1229">
        <v>588</v>
      </c>
      <c r="H1229" s="116"/>
      <c r="I1229" s="116"/>
      <c r="L1229" s="170">
        <v>43825</v>
      </c>
      <c r="M1229" s="116">
        <v>167.85</v>
      </c>
      <c r="N1229" s="116">
        <v>169.7</v>
      </c>
      <c r="O1229" s="116">
        <v>166.4</v>
      </c>
      <c r="P1229" s="116">
        <v>168</v>
      </c>
      <c r="Q1229" s="116">
        <v>167.85</v>
      </c>
      <c r="R1229">
        <v>11844</v>
      </c>
    </row>
    <row r="1230" spans="1:18" x14ac:dyDescent="0.25">
      <c r="A1230" s="170">
        <v>43857</v>
      </c>
      <c r="B1230" s="116">
        <v>175</v>
      </c>
      <c r="C1230" s="116">
        <v>170.45</v>
      </c>
      <c r="D1230" s="116">
        <v>169.75</v>
      </c>
      <c r="E1230" s="116">
        <v>171</v>
      </c>
      <c r="F1230" s="116">
        <v>170.45</v>
      </c>
      <c r="G1230">
        <v>1432</v>
      </c>
      <c r="H1230" s="116"/>
      <c r="I1230" s="116"/>
      <c r="L1230" s="170">
        <v>43826</v>
      </c>
      <c r="M1230" s="116">
        <v>167.5</v>
      </c>
      <c r="N1230" s="116">
        <v>168.6</v>
      </c>
      <c r="O1230" s="116">
        <v>165.5</v>
      </c>
      <c r="P1230" s="116">
        <v>166.65</v>
      </c>
      <c r="Q1230" s="116">
        <v>167.5</v>
      </c>
      <c r="R1230">
        <v>16905</v>
      </c>
    </row>
    <row r="1231" spans="1:18" x14ac:dyDescent="0.25">
      <c r="A1231" s="170">
        <v>43858</v>
      </c>
      <c r="B1231" s="116">
        <v>170.7</v>
      </c>
      <c r="C1231" s="116">
        <v>169.25</v>
      </c>
      <c r="D1231" s="116">
        <v>169.25</v>
      </c>
      <c r="E1231" s="116">
        <v>169.25</v>
      </c>
      <c r="F1231" s="116">
        <v>169.25</v>
      </c>
      <c r="G1231">
        <v>185</v>
      </c>
      <c r="H1231" s="116"/>
      <c r="I1231" s="116"/>
      <c r="L1231" s="170">
        <v>43829</v>
      </c>
      <c r="M1231" s="116">
        <v>166.75</v>
      </c>
      <c r="N1231" s="116">
        <v>168.25</v>
      </c>
      <c r="O1231" s="116">
        <v>165.55</v>
      </c>
      <c r="P1231" s="116">
        <v>167</v>
      </c>
      <c r="Q1231" s="116">
        <v>166.75</v>
      </c>
      <c r="R1231">
        <v>14310</v>
      </c>
    </row>
    <row r="1232" spans="1:18" x14ac:dyDescent="0.25">
      <c r="A1232" s="170">
        <v>43859</v>
      </c>
      <c r="B1232" s="116">
        <v>170</v>
      </c>
      <c r="C1232" s="116">
        <v>168.3</v>
      </c>
      <c r="D1232" s="116">
        <v>166.7</v>
      </c>
      <c r="E1232" s="116">
        <v>170</v>
      </c>
      <c r="F1232" s="116">
        <v>168.3</v>
      </c>
      <c r="G1232">
        <v>2060</v>
      </c>
      <c r="H1232" s="116"/>
      <c r="I1232" s="116"/>
      <c r="L1232" s="170">
        <v>43830</v>
      </c>
      <c r="M1232" s="116">
        <v>169.5</v>
      </c>
      <c r="N1232" s="116">
        <v>170.3</v>
      </c>
      <c r="O1232" s="116">
        <v>166.3</v>
      </c>
      <c r="P1232" s="116">
        <v>167.9</v>
      </c>
      <c r="Q1232" s="116">
        <v>169.5</v>
      </c>
      <c r="R1232">
        <v>31482</v>
      </c>
    </row>
    <row r="1233" spans="1:18" x14ac:dyDescent="0.25">
      <c r="A1233" s="170">
        <v>43860</v>
      </c>
      <c r="B1233" s="116">
        <v>166.9</v>
      </c>
      <c r="C1233" s="116">
        <v>165.85</v>
      </c>
      <c r="D1233" s="116">
        <v>165</v>
      </c>
      <c r="E1233" s="116">
        <v>166.9</v>
      </c>
      <c r="F1233" s="116">
        <v>165.85</v>
      </c>
      <c r="G1233">
        <v>393</v>
      </c>
      <c r="H1233" s="116"/>
      <c r="I1233" s="116"/>
      <c r="L1233" s="170">
        <v>43831</v>
      </c>
      <c r="M1233" s="116">
        <v>167.25</v>
      </c>
      <c r="N1233" s="116">
        <v>171.2</v>
      </c>
      <c r="O1233" s="116">
        <v>167</v>
      </c>
      <c r="P1233" s="116">
        <v>170.05</v>
      </c>
      <c r="Q1233" s="116">
        <v>167.25</v>
      </c>
      <c r="R1233">
        <v>37328</v>
      </c>
    </row>
    <row r="1234" spans="1:18" x14ac:dyDescent="0.25">
      <c r="A1234" s="170">
        <v>43861</v>
      </c>
      <c r="B1234" s="116">
        <v>165.05</v>
      </c>
      <c r="C1234" s="116">
        <v>164.15</v>
      </c>
      <c r="D1234" s="116">
        <v>163.80000000000001</v>
      </c>
      <c r="E1234" s="116">
        <v>165.05</v>
      </c>
      <c r="F1234" s="116">
        <v>164.15</v>
      </c>
      <c r="G1234">
        <v>672</v>
      </c>
      <c r="H1234" s="116"/>
      <c r="I1234" s="116"/>
      <c r="L1234" s="170">
        <v>43832</v>
      </c>
      <c r="M1234" s="116">
        <v>170.05</v>
      </c>
      <c r="N1234" s="116">
        <v>173.9</v>
      </c>
      <c r="O1234" s="116">
        <v>166.8</v>
      </c>
      <c r="P1234" s="116">
        <v>166.8</v>
      </c>
      <c r="Q1234" s="116">
        <v>170.05</v>
      </c>
      <c r="R1234">
        <v>30784</v>
      </c>
    </row>
    <row r="1235" spans="1:18" x14ac:dyDescent="0.25">
      <c r="A1235" s="170">
        <v>43862</v>
      </c>
      <c r="B1235" s="116">
        <v>167</v>
      </c>
      <c r="C1235" s="116">
        <v>160.19999999999999</v>
      </c>
      <c r="D1235" s="116">
        <v>158.25</v>
      </c>
      <c r="E1235" s="116">
        <v>163.05000000000001</v>
      </c>
      <c r="F1235" s="116">
        <v>160.19999999999999</v>
      </c>
      <c r="G1235">
        <v>4696</v>
      </c>
      <c r="H1235" s="116"/>
      <c r="I1235" s="116"/>
      <c r="L1235" s="170">
        <v>43833</v>
      </c>
      <c r="M1235" s="116">
        <v>168.6</v>
      </c>
      <c r="N1235" s="116">
        <v>171.75</v>
      </c>
      <c r="O1235" s="116">
        <v>167.25</v>
      </c>
      <c r="P1235" s="116">
        <v>171.7</v>
      </c>
      <c r="Q1235" s="116">
        <v>168.6</v>
      </c>
      <c r="R1235">
        <v>13890</v>
      </c>
    </row>
    <row r="1236" spans="1:18" x14ac:dyDescent="0.25">
      <c r="A1236" s="170">
        <v>43864</v>
      </c>
      <c r="B1236" s="116">
        <v>161</v>
      </c>
      <c r="C1236" s="116">
        <v>156.80000000000001</v>
      </c>
      <c r="D1236" s="116">
        <v>155.65</v>
      </c>
      <c r="E1236" s="116">
        <v>159</v>
      </c>
      <c r="F1236" s="116">
        <v>156.80000000000001</v>
      </c>
      <c r="G1236">
        <v>758</v>
      </c>
      <c r="H1236" s="116"/>
      <c r="I1236" s="116"/>
      <c r="L1236" s="170">
        <v>43836</v>
      </c>
      <c r="M1236" s="116">
        <v>165.85</v>
      </c>
      <c r="N1236" s="116">
        <v>170.8</v>
      </c>
      <c r="O1236" s="116">
        <v>162.55000000000001</v>
      </c>
      <c r="P1236" s="116">
        <v>170.75</v>
      </c>
      <c r="Q1236" s="116">
        <v>165.85</v>
      </c>
      <c r="R1236">
        <v>25327</v>
      </c>
    </row>
    <row r="1237" spans="1:18" x14ac:dyDescent="0.25">
      <c r="A1237" s="170">
        <v>43865</v>
      </c>
      <c r="B1237" s="116">
        <v>160</v>
      </c>
      <c r="C1237" s="116">
        <v>156.15</v>
      </c>
      <c r="D1237" s="116">
        <v>155.65</v>
      </c>
      <c r="E1237" s="116">
        <v>157.80000000000001</v>
      </c>
      <c r="F1237" s="116">
        <v>156.15</v>
      </c>
      <c r="G1237">
        <v>964</v>
      </c>
      <c r="H1237" s="116"/>
      <c r="I1237" s="116"/>
      <c r="L1237" s="170">
        <v>43837</v>
      </c>
      <c r="M1237" s="116">
        <v>164.35</v>
      </c>
      <c r="N1237" s="116">
        <v>171.7</v>
      </c>
      <c r="O1237" s="116">
        <v>163.35</v>
      </c>
      <c r="P1237" s="116">
        <v>171.65</v>
      </c>
      <c r="Q1237" s="116">
        <v>164.35</v>
      </c>
      <c r="R1237">
        <v>10064</v>
      </c>
    </row>
    <row r="1238" spans="1:18" x14ac:dyDescent="0.25">
      <c r="A1238" s="170">
        <v>43866</v>
      </c>
      <c r="B1238" s="116">
        <v>161.69999999999999</v>
      </c>
      <c r="C1238" s="116">
        <v>159.44999999999999</v>
      </c>
      <c r="D1238" s="116">
        <v>153.80000000000001</v>
      </c>
      <c r="E1238" s="116">
        <v>154.80000000000001</v>
      </c>
      <c r="F1238" s="116">
        <v>159.44999999999999</v>
      </c>
      <c r="G1238">
        <v>2442</v>
      </c>
      <c r="H1238" s="116"/>
      <c r="I1238" s="116"/>
      <c r="L1238" s="170">
        <v>43838</v>
      </c>
      <c r="M1238" s="116">
        <v>163.9</v>
      </c>
      <c r="N1238" s="116">
        <v>164.85</v>
      </c>
      <c r="O1238" s="116">
        <v>162.44999999999999</v>
      </c>
      <c r="P1238" s="116">
        <v>164.6</v>
      </c>
      <c r="Q1238" s="116">
        <v>163.9</v>
      </c>
      <c r="R1238">
        <v>6843</v>
      </c>
    </row>
    <row r="1239" spans="1:18" x14ac:dyDescent="0.25">
      <c r="A1239" s="170">
        <v>43867</v>
      </c>
      <c r="B1239" s="116">
        <v>163.15</v>
      </c>
      <c r="C1239" s="116">
        <v>161.19999999999999</v>
      </c>
      <c r="D1239" s="116">
        <v>161.19999999999999</v>
      </c>
      <c r="E1239" s="116">
        <v>161.5</v>
      </c>
      <c r="F1239" s="116">
        <v>161.19999999999999</v>
      </c>
      <c r="G1239">
        <v>199</v>
      </c>
      <c r="H1239" s="116"/>
      <c r="I1239" s="116"/>
      <c r="L1239" s="170">
        <v>43839</v>
      </c>
      <c r="M1239" s="116">
        <v>167</v>
      </c>
      <c r="N1239" s="116">
        <v>169.7</v>
      </c>
      <c r="O1239" s="116">
        <v>164.3</v>
      </c>
      <c r="P1239" s="116">
        <v>164.5</v>
      </c>
      <c r="Q1239" s="116">
        <v>167</v>
      </c>
      <c r="R1239">
        <v>16762</v>
      </c>
    </row>
    <row r="1240" spans="1:18" x14ac:dyDescent="0.25">
      <c r="A1240" s="170">
        <v>43868</v>
      </c>
      <c r="B1240" s="116">
        <v>164.9</v>
      </c>
      <c r="C1240" s="116">
        <v>161.1</v>
      </c>
      <c r="D1240" s="116">
        <v>160.5</v>
      </c>
      <c r="E1240" s="116">
        <v>163</v>
      </c>
      <c r="F1240" s="116">
        <v>161.1</v>
      </c>
      <c r="G1240">
        <v>858</v>
      </c>
      <c r="H1240" s="116"/>
      <c r="I1240" s="116"/>
      <c r="L1240" s="170">
        <v>43840</v>
      </c>
      <c r="M1240" s="116">
        <v>169.45</v>
      </c>
      <c r="N1240" s="116">
        <v>178</v>
      </c>
      <c r="O1240" s="116">
        <v>168</v>
      </c>
      <c r="P1240" s="116">
        <v>175.05</v>
      </c>
      <c r="Q1240" s="116">
        <v>169.45</v>
      </c>
      <c r="R1240">
        <v>94501</v>
      </c>
    </row>
    <row r="1241" spans="1:18" x14ac:dyDescent="0.25">
      <c r="A1241" s="170">
        <v>43871</v>
      </c>
      <c r="B1241" s="116">
        <v>161</v>
      </c>
      <c r="C1241" s="116">
        <v>157.1</v>
      </c>
      <c r="D1241" s="116">
        <v>156.5</v>
      </c>
      <c r="E1241" s="116">
        <v>160.35</v>
      </c>
      <c r="F1241" s="116">
        <v>157.1</v>
      </c>
      <c r="G1241">
        <v>1469</v>
      </c>
      <c r="H1241" s="116"/>
      <c r="I1241" s="116"/>
      <c r="L1241" s="170">
        <v>43843</v>
      </c>
      <c r="M1241" s="116">
        <v>167.15</v>
      </c>
      <c r="N1241" s="116">
        <v>172.5</v>
      </c>
      <c r="O1241" s="116">
        <v>165.85</v>
      </c>
      <c r="P1241" s="116">
        <v>172.5</v>
      </c>
      <c r="Q1241" s="116">
        <v>167.15</v>
      </c>
      <c r="R1241">
        <v>22986</v>
      </c>
    </row>
    <row r="1242" spans="1:18" x14ac:dyDescent="0.25">
      <c r="A1242" s="170">
        <v>43872</v>
      </c>
      <c r="B1242" s="116">
        <v>159.05000000000001</v>
      </c>
      <c r="C1242" s="116">
        <v>156.80000000000001</v>
      </c>
      <c r="D1242" s="116">
        <v>153</v>
      </c>
      <c r="E1242" s="116">
        <v>157.19999999999999</v>
      </c>
      <c r="F1242" s="116">
        <v>156.80000000000001</v>
      </c>
      <c r="G1242">
        <v>731</v>
      </c>
      <c r="H1242" s="116"/>
      <c r="I1242" s="116"/>
      <c r="L1242" s="170">
        <v>43844</v>
      </c>
      <c r="M1242" s="116">
        <v>172.95</v>
      </c>
      <c r="N1242" s="116">
        <v>174.6</v>
      </c>
      <c r="O1242" s="116">
        <v>167.1</v>
      </c>
      <c r="P1242" s="116">
        <v>169</v>
      </c>
      <c r="Q1242" s="116">
        <v>172.95</v>
      </c>
      <c r="R1242">
        <v>88007</v>
      </c>
    </row>
    <row r="1243" spans="1:18" x14ac:dyDescent="0.25">
      <c r="A1243" s="170">
        <v>43873</v>
      </c>
      <c r="B1243" s="116">
        <v>158.4</v>
      </c>
      <c r="C1243" s="116">
        <v>151.80000000000001</v>
      </c>
      <c r="D1243" s="116">
        <v>148.05000000000001</v>
      </c>
      <c r="E1243" s="116">
        <v>158.30000000000001</v>
      </c>
      <c r="F1243" s="116">
        <v>151.80000000000001</v>
      </c>
      <c r="G1243">
        <v>1322</v>
      </c>
      <c r="H1243" s="116"/>
      <c r="I1243" s="116"/>
      <c r="L1243" s="170">
        <v>43845</v>
      </c>
      <c r="M1243" s="116">
        <v>170.2</v>
      </c>
      <c r="N1243" s="116">
        <v>174.2</v>
      </c>
      <c r="O1243" s="116">
        <v>168.5</v>
      </c>
      <c r="P1243" s="116">
        <v>170.1</v>
      </c>
      <c r="Q1243" s="116">
        <v>170.2</v>
      </c>
      <c r="R1243">
        <v>30074</v>
      </c>
    </row>
    <row r="1244" spans="1:18" x14ac:dyDescent="0.25">
      <c r="A1244" s="170">
        <v>43874</v>
      </c>
      <c r="B1244" s="116">
        <v>162</v>
      </c>
      <c r="C1244" s="116">
        <v>159</v>
      </c>
      <c r="D1244" s="116">
        <v>154.80000000000001</v>
      </c>
      <c r="E1244" s="116">
        <v>156.35</v>
      </c>
      <c r="F1244" s="116">
        <v>159</v>
      </c>
      <c r="G1244">
        <v>1718</v>
      </c>
      <c r="H1244" s="116"/>
      <c r="I1244" s="116"/>
      <c r="L1244" s="170">
        <v>43846</v>
      </c>
      <c r="M1244" s="116">
        <v>170.45</v>
      </c>
      <c r="N1244" s="116">
        <v>173</v>
      </c>
      <c r="O1244" s="116">
        <v>169.2</v>
      </c>
      <c r="P1244" s="116">
        <v>171.85</v>
      </c>
      <c r="Q1244" s="116">
        <v>170.45</v>
      </c>
      <c r="R1244">
        <v>49553</v>
      </c>
    </row>
    <row r="1245" spans="1:18" x14ac:dyDescent="0.25">
      <c r="A1245" s="170">
        <v>43875</v>
      </c>
      <c r="B1245" s="116">
        <v>158.35</v>
      </c>
      <c r="C1245" s="116">
        <v>153.80000000000001</v>
      </c>
      <c r="D1245" s="116">
        <v>152.05000000000001</v>
      </c>
      <c r="E1245" s="116">
        <v>158.35</v>
      </c>
      <c r="F1245" s="116">
        <v>153.80000000000001</v>
      </c>
      <c r="G1245">
        <v>1083</v>
      </c>
      <c r="H1245" s="116"/>
      <c r="I1245" s="116"/>
      <c r="L1245" s="170">
        <v>43847</v>
      </c>
      <c r="M1245" s="116">
        <v>175.75</v>
      </c>
      <c r="N1245" s="116">
        <v>180.05</v>
      </c>
      <c r="O1245" s="116">
        <v>175.2</v>
      </c>
      <c r="P1245" s="116">
        <v>175.5</v>
      </c>
      <c r="Q1245" s="116">
        <v>175.75</v>
      </c>
      <c r="R1245">
        <v>114545</v>
      </c>
    </row>
    <row r="1246" spans="1:18" x14ac:dyDescent="0.25">
      <c r="A1246" s="170">
        <v>43878</v>
      </c>
      <c r="B1246" s="116">
        <v>154.05000000000001</v>
      </c>
      <c r="C1246" s="116">
        <v>151.75</v>
      </c>
      <c r="D1246" s="116">
        <v>150.75</v>
      </c>
      <c r="E1246" s="116">
        <v>152.19999999999999</v>
      </c>
      <c r="F1246" s="116">
        <v>151.75</v>
      </c>
      <c r="G1246">
        <v>363</v>
      </c>
      <c r="H1246" s="116"/>
      <c r="I1246" s="116"/>
      <c r="L1246" s="170">
        <v>43850</v>
      </c>
      <c r="M1246" s="116">
        <v>172.75</v>
      </c>
      <c r="N1246" s="116">
        <v>177.65</v>
      </c>
      <c r="O1246" s="116">
        <v>170.4</v>
      </c>
      <c r="P1246" s="116">
        <v>175</v>
      </c>
      <c r="Q1246" s="116">
        <v>172.75</v>
      </c>
      <c r="R1246">
        <v>29324</v>
      </c>
    </row>
    <row r="1247" spans="1:18" x14ac:dyDescent="0.25">
      <c r="A1247" s="170">
        <v>43879</v>
      </c>
      <c r="B1247" s="116">
        <v>153.4</v>
      </c>
      <c r="C1247" s="116">
        <v>150.80000000000001</v>
      </c>
      <c r="D1247" s="116">
        <v>150.80000000000001</v>
      </c>
      <c r="E1247" s="116">
        <v>151.69999999999999</v>
      </c>
      <c r="F1247" s="116">
        <v>150.80000000000001</v>
      </c>
      <c r="G1247">
        <v>87</v>
      </c>
      <c r="H1247" s="116"/>
      <c r="I1247" s="116"/>
      <c r="L1247" s="170">
        <v>43851</v>
      </c>
      <c r="M1247" s="116">
        <v>174.45</v>
      </c>
      <c r="N1247" s="116">
        <v>175.7</v>
      </c>
      <c r="O1247" s="116">
        <v>170.65</v>
      </c>
      <c r="P1247" s="116">
        <v>173.6</v>
      </c>
      <c r="Q1247" s="116">
        <v>174.45</v>
      </c>
      <c r="R1247">
        <v>29053</v>
      </c>
    </row>
    <row r="1248" spans="1:18" x14ac:dyDescent="0.25">
      <c r="A1248" s="170">
        <v>43880</v>
      </c>
      <c r="B1248" s="116">
        <v>158.1</v>
      </c>
      <c r="C1248" s="116">
        <v>155.80000000000001</v>
      </c>
      <c r="D1248" s="116">
        <v>153.05000000000001</v>
      </c>
      <c r="E1248" s="116">
        <v>153.9</v>
      </c>
      <c r="F1248" s="116">
        <v>155.80000000000001</v>
      </c>
      <c r="G1248">
        <v>521</v>
      </c>
      <c r="H1248" s="116"/>
      <c r="I1248" s="116"/>
      <c r="L1248" s="170">
        <v>43852</v>
      </c>
      <c r="M1248" s="116">
        <v>172.45</v>
      </c>
      <c r="N1248" s="116">
        <v>176.4</v>
      </c>
      <c r="O1248" s="116">
        <v>172.1</v>
      </c>
      <c r="P1248" s="116">
        <v>176.35</v>
      </c>
      <c r="Q1248" s="116">
        <v>172.45</v>
      </c>
      <c r="R1248">
        <v>20841</v>
      </c>
    </row>
    <row r="1249" spans="1:18" x14ac:dyDescent="0.25">
      <c r="A1249" s="170">
        <v>43881</v>
      </c>
      <c r="B1249" s="116">
        <v>162.80000000000001</v>
      </c>
      <c r="C1249" s="116">
        <v>158.44999999999999</v>
      </c>
      <c r="D1249" s="116">
        <v>157</v>
      </c>
      <c r="E1249" s="116">
        <v>162.80000000000001</v>
      </c>
      <c r="F1249" s="116">
        <v>158.44999999999999</v>
      </c>
      <c r="G1249">
        <v>1747</v>
      </c>
      <c r="H1249" s="116"/>
      <c r="I1249" s="116"/>
      <c r="L1249" s="170">
        <v>43853</v>
      </c>
      <c r="M1249" s="116">
        <v>171.85</v>
      </c>
      <c r="N1249" s="116">
        <v>174</v>
      </c>
      <c r="O1249" s="116">
        <v>171.5</v>
      </c>
      <c r="P1249" s="116">
        <v>172.25</v>
      </c>
      <c r="Q1249" s="116">
        <v>171.85</v>
      </c>
      <c r="R1249">
        <v>14861</v>
      </c>
    </row>
    <row r="1250" spans="1:18" x14ac:dyDescent="0.25">
      <c r="A1250" s="170">
        <v>43885</v>
      </c>
      <c r="B1250" s="116">
        <v>158</v>
      </c>
      <c r="C1250" s="116">
        <v>151.94999999999999</v>
      </c>
      <c r="D1250" s="116">
        <v>151.15</v>
      </c>
      <c r="E1250" s="116">
        <v>157</v>
      </c>
      <c r="F1250" s="116">
        <v>151.94999999999999</v>
      </c>
      <c r="G1250">
        <v>1603</v>
      </c>
      <c r="H1250" s="116"/>
      <c r="I1250" s="116"/>
      <c r="L1250" s="170">
        <v>43854</v>
      </c>
      <c r="M1250" s="116">
        <v>171.1</v>
      </c>
      <c r="N1250" s="116">
        <v>173.95</v>
      </c>
      <c r="O1250" s="116">
        <v>170.35</v>
      </c>
      <c r="P1250" s="116">
        <v>173.95</v>
      </c>
      <c r="Q1250" s="116">
        <v>171.1</v>
      </c>
      <c r="R1250">
        <v>17468</v>
      </c>
    </row>
    <row r="1251" spans="1:18" x14ac:dyDescent="0.25">
      <c r="A1251" s="170">
        <v>43886</v>
      </c>
      <c r="B1251" s="116">
        <v>151.69999999999999</v>
      </c>
      <c r="C1251" s="116">
        <v>150</v>
      </c>
      <c r="D1251" s="116">
        <v>150</v>
      </c>
      <c r="E1251" s="116">
        <v>151.05000000000001</v>
      </c>
      <c r="F1251" s="116">
        <v>150</v>
      </c>
      <c r="G1251">
        <v>335</v>
      </c>
      <c r="H1251" s="116"/>
      <c r="I1251" s="116"/>
      <c r="L1251" s="170">
        <v>43857</v>
      </c>
      <c r="M1251" s="116">
        <v>170.35</v>
      </c>
      <c r="N1251" s="116">
        <v>174.85</v>
      </c>
      <c r="O1251" s="116">
        <v>169.65</v>
      </c>
      <c r="P1251" s="116">
        <v>172.4</v>
      </c>
      <c r="Q1251" s="116">
        <v>170.35</v>
      </c>
      <c r="R1251">
        <v>31726</v>
      </c>
    </row>
    <row r="1252" spans="1:18" x14ac:dyDescent="0.25">
      <c r="A1252" s="170">
        <v>43887</v>
      </c>
      <c r="B1252" s="116">
        <v>149.6</v>
      </c>
      <c r="C1252" s="116">
        <v>148.9</v>
      </c>
      <c r="D1252" s="116">
        <v>147.69999999999999</v>
      </c>
      <c r="E1252" s="116">
        <v>149</v>
      </c>
      <c r="F1252" s="116">
        <v>148.9</v>
      </c>
      <c r="G1252">
        <v>367</v>
      </c>
      <c r="H1252" s="116"/>
      <c r="I1252" s="116"/>
      <c r="L1252" s="170">
        <v>43858</v>
      </c>
      <c r="M1252" s="116">
        <v>169.45</v>
      </c>
      <c r="N1252" s="116">
        <v>172.5</v>
      </c>
      <c r="O1252" s="116">
        <v>169</v>
      </c>
      <c r="P1252" s="116">
        <v>170.5</v>
      </c>
      <c r="Q1252" s="116">
        <v>169.45</v>
      </c>
      <c r="R1252">
        <v>15493</v>
      </c>
    </row>
    <row r="1253" spans="1:18" x14ac:dyDescent="0.25">
      <c r="A1253" s="170">
        <v>43888</v>
      </c>
      <c r="B1253" s="116">
        <v>148.19999999999999</v>
      </c>
      <c r="C1253" s="116">
        <v>145.30000000000001</v>
      </c>
      <c r="D1253" s="116">
        <v>144.9</v>
      </c>
      <c r="E1253" s="116">
        <v>148.19999999999999</v>
      </c>
      <c r="F1253" s="116">
        <v>145.30000000000001</v>
      </c>
      <c r="G1253">
        <v>604</v>
      </c>
      <c r="H1253" s="116"/>
      <c r="I1253" s="116"/>
      <c r="L1253" s="170">
        <v>43859</v>
      </c>
      <c r="M1253" s="116">
        <v>167.95</v>
      </c>
      <c r="N1253" s="116">
        <v>173.95</v>
      </c>
      <c r="O1253" s="116">
        <v>166</v>
      </c>
      <c r="P1253" s="116">
        <v>173.95</v>
      </c>
      <c r="Q1253" s="116">
        <v>167.95</v>
      </c>
      <c r="R1253">
        <v>24391</v>
      </c>
    </row>
    <row r="1254" spans="1:18" x14ac:dyDescent="0.25">
      <c r="A1254" s="170">
        <v>43889</v>
      </c>
      <c r="B1254" s="116">
        <v>142.6</v>
      </c>
      <c r="C1254" s="116">
        <v>138.30000000000001</v>
      </c>
      <c r="D1254" s="116">
        <v>137</v>
      </c>
      <c r="E1254" s="116">
        <v>142.30000000000001</v>
      </c>
      <c r="F1254" s="116">
        <v>138.30000000000001</v>
      </c>
      <c r="G1254">
        <v>2481</v>
      </c>
      <c r="H1254" s="116"/>
      <c r="I1254" s="116"/>
      <c r="L1254" s="170">
        <v>43860</v>
      </c>
      <c r="M1254" s="116">
        <v>165.3</v>
      </c>
      <c r="N1254" s="116">
        <v>168.2</v>
      </c>
      <c r="O1254" s="116">
        <v>164</v>
      </c>
      <c r="P1254" s="116">
        <v>167.7</v>
      </c>
      <c r="Q1254" s="116">
        <v>165.3</v>
      </c>
      <c r="R1254">
        <v>14136</v>
      </c>
    </row>
    <row r="1255" spans="1:18" x14ac:dyDescent="0.25">
      <c r="A1255" s="170">
        <v>43892</v>
      </c>
      <c r="B1255" s="116">
        <v>147.94999999999999</v>
      </c>
      <c r="C1255" s="116">
        <v>142.05000000000001</v>
      </c>
      <c r="D1255" s="116">
        <v>140.4</v>
      </c>
      <c r="E1255" s="116">
        <v>140.4</v>
      </c>
      <c r="F1255" s="116">
        <v>142.05000000000001</v>
      </c>
      <c r="G1255">
        <v>1179</v>
      </c>
      <c r="H1255" s="116"/>
      <c r="I1255" s="116"/>
      <c r="L1255" s="170">
        <v>43861</v>
      </c>
      <c r="M1255" s="116">
        <v>164</v>
      </c>
      <c r="N1255" s="116">
        <v>168.55</v>
      </c>
      <c r="O1255" s="116">
        <v>163.55000000000001</v>
      </c>
      <c r="P1255" s="116">
        <v>165.45</v>
      </c>
      <c r="Q1255" s="116">
        <v>164</v>
      </c>
      <c r="R1255">
        <v>12648</v>
      </c>
    </row>
    <row r="1256" spans="1:18" x14ac:dyDescent="0.25">
      <c r="A1256" s="170">
        <v>43893</v>
      </c>
      <c r="B1256" s="116">
        <v>144.25</v>
      </c>
      <c r="C1256" s="116">
        <v>140.19999999999999</v>
      </c>
      <c r="D1256" s="116">
        <v>138</v>
      </c>
      <c r="E1256" s="116">
        <v>144.25</v>
      </c>
      <c r="F1256" s="116">
        <v>140.19999999999999</v>
      </c>
      <c r="G1256">
        <v>491</v>
      </c>
      <c r="H1256" s="116"/>
      <c r="I1256" s="116"/>
      <c r="L1256" s="170">
        <v>43862</v>
      </c>
      <c r="M1256" s="116">
        <v>159.05000000000001</v>
      </c>
      <c r="N1256" s="116">
        <v>166.9</v>
      </c>
      <c r="O1256" s="116">
        <v>156.4</v>
      </c>
      <c r="P1256" s="116">
        <v>163.6</v>
      </c>
      <c r="Q1256" s="116">
        <v>159.05000000000001</v>
      </c>
      <c r="R1256">
        <v>30996</v>
      </c>
    </row>
    <row r="1257" spans="1:18" x14ac:dyDescent="0.25">
      <c r="A1257" s="170">
        <v>43894</v>
      </c>
      <c r="B1257" s="116">
        <v>136.80000000000001</v>
      </c>
      <c r="C1257" s="116">
        <v>135.94999999999999</v>
      </c>
      <c r="D1257" s="116">
        <v>130</v>
      </c>
      <c r="E1257" s="116">
        <v>135.69999999999999</v>
      </c>
      <c r="F1257" s="116">
        <v>135.94999999999999</v>
      </c>
      <c r="G1257">
        <v>2421</v>
      </c>
      <c r="H1257" s="116"/>
      <c r="I1257" s="116"/>
      <c r="L1257" s="170">
        <v>43864</v>
      </c>
      <c r="M1257" s="116">
        <v>157.55000000000001</v>
      </c>
      <c r="N1257" s="116">
        <v>161.75</v>
      </c>
      <c r="O1257" s="116">
        <v>152</v>
      </c>
      <c r="P1257" s="116">
        <v>159.1</v>
      </c>
      <c r="Q1257" s="116">
        <v>157.55000000000001</v>
      </c>
      <c r="R1257">
        <v>18185</v>
      </c>
    </row>
    <row r="1258" spans="1:18" x14ac:dyDescent="0.25">
      <c r="A1258" s="170">
        <v>43895</v>
      </c>
      <c r="B1258" s="116">
        <v>139.19999999999999</v>
      </c>
      <c r="C1258" s="116">
        <v>134.30000000000001</v>
      </c>
      <c r="D1258" s="116">
        <v>133.94999999999999</v>
      </c>
      <c r="E1258" s="116">
        <v>134.69999999999999</v>
      </c>
      <c r="F1258" s="116">
        <v>134.30000000000001</v>
      </c>
      <c r="G1258">
        <v>647</v>
      </c>
      <c r="H1258" s="116"/>
      <c r="I1258" s="116"/>
      <c r="L1258" s="170">
        <v>43865</v>
      </c>
      <c r="M1258" s="116">
        <v>155.19999999999999</v>
      </c>
      <c r="N1258" s="116">
        <v>160.44999999999999</v>
      </c>
      <c r="O1258" s="116">
        <v>152.1</v>
      </c>
      <c r="P1258" s="116">
        <v>159.80000000000001</v>
      </c>
      <c r="Q1258" s="116">
        <v>155.19999999999999</v>
      </c>
      <c r="R1258">
        <v>18318</v>
      </c>
    </row>
    <row r="1259" spans="1:18" x14ac:dyDescent="0.25">
      <c r="A1259" s="170">
        <v>43896</v>
      </c>
      <c r="B1259" s="116">
        <v>135.35</v>
      </c>
      <c r="C1259" s="116">
        <v>133.05000000000001</v>
      </c>
      <c r="D1259" s="116">
        <v>127.4</v>
      </c>
      <c r="E1259" s="116">
        <v>130.15</v>
      </c>
      <c r="F1259" s="116">
        <v>133.05000000000001</v>
      </c>
      <c r="G1259">
        <v>2237</v>
      </c>
      <c r="H1259" s="116"/>
      <c r="I1259" s="116"/>
      <c r="L1259" s="170">
        <v>43866</v>
      </c>
      <c r="M1259" s="116">
        <v>159.1</v>
      </c>
      <c r="N1259" s="116">
        <v>161.65</v>
      </c>
      <c r="O1259" s="116">
        <v>154.1</v>
      </c>
      <c r="P1259" s="116">
        <v>156.05000000000001</v>
      </c>
      <c r="Q1259" s="116">
        <v>159.1</v>
      </c>
      <c r="R1259">
        <v>25657</v>
      </c>
    </row>
    <row r="1260" spans="1:18" x14ac:dyDescent="0.25">
      <c r="A1260" s="170">
        <v>43899</v>
      </c>
      <c r="B1260" s="116">
        <v>139.9</v>
      </c>
      <c r="C1260" s="116">
        <v>124.85</v>
      </c>
      <c r="D1260" s="116">
        <v>122</v>
      </c>
      <c r="E1260" s="116">
        <v>139</v>
      </c>
      <c r="F1260" s="116">
        <v>124.85</v>
      </c>
      <c r="G1260">
        <v>1350</v>
      </c>
      <c r="H1260" s="116"/>
      <c r="I1260" s="116"/>
      <c r="L1260" s="170">
        <v>43867</v>
      </c>
      <c r="M1260" s="116">
        <v>162.4</v>
      </c>
      <c r="N1260" s="116">
        <v>163.95</v>
      </c>
      <c r="O1260" s="116">
        <v>158</v>
      </c>
      <c r="P1260" s="116">
        <v>160.6</v>
      </c>
      <c r="Q1260" s="116">
        <v>162.4</v>
      </c>
      <c r="R1260">
        <v>12423</v>
      </c>
    </row>
    <row r="1261" spans="1:18" x14ac:dyDescent="0.25">
      <c r="A1261" s="170">
        <v>43901</v>
      </c>
      <c r="B1261" s="116">
        <v>129.19999999999999</v>
      </c>
      <c r="C1261" s="116">
        <v>126.5</v>
      </c>
      <c r="D1261" s="116">
        <v>124.4</v>
      </c>
      <c r="E1261" s="116">
        <v>125.75</v>
      </c>
      <c r="F1261" s="116">
        <v>126.5</v>
      </c>
      <c r="G1261">
        <v>664</v>
      </c>
      <c r="H1261" s="116"/>
      <c r="I1261" s="116"/>
      <c r="L1261" s="170">
        <v>43868</v>
      </c>
      <c r="M1261" s="116">
        <v>160.80000000000001</v>
      </c>
      <c r="N1261" s="116">
        <v>164.7</v>
      </c>
      <c r="O1261" s="116">
        <v>158.9</v>
      </c>
      <c r="P1261" s="116">
        <v>163.69999999999999</v>
      </c>
      <c r="Q1261" s="116">
        <v>160.80000000000001</v>
      </c>
      <c r="R1261">
        <v>10356</v>
      </c>
    </row>
    <row r="1262" spans="1:18" x14ac:dyDescent="0.25">
      <c r="A1262" s="170">
        <v>43902</v>
      </c>
      <c r="B1262" s="116">
        <v>123.2</v>
      </c>
      <c r="C1262" s="116">
        <v>110.5</v>
      </c>
      <c r="D1262" s="116">
        <v>110.1</v>
      </c>
      <c r="E1262" s="116">
        <v>113.05</v>
      </c>
      <c r="F1262" s="116">
        <v>110.5</v>
      </c>
      <c r="G1262">
        <v>2630</v>
      </c>
      <c r="H1262" s="116"/>
      <c r="I1262" s="116"/>
      <c r="L1262" s="170">
        <v>43871</v>
      </c>
      <c r="M1262" s="116">
        <v>157.25</v>
      </c>
      <c r="N1262" s="116">
        <v>162.19999999999999</v>
      </c>
      <c r="O1262" s="116">
        <v>155.65</v>
      </c>
      <c r="P1262" s="116">
        <v>162.19999999999999</v>
      </c>
      <c r="Q1262" s="116">
        <v>157.25</v>
      </c>
      <c r="R1262">
        <v>9210</v>
      </c>
    </row>
    <row r="1263" spans="1:18" x14ac:dyDescent="0.25">
      <c r="A1263" s="170">
        <v>43903</v>
      </c>
      <c r="B1263" s="116">
        <v>127.75</v>
      </c>
      <c r="C1263" s="116">
        <v>126.7</v>
      </c>
      <c r="D1263" s="116">
        <v>89.5</v>
      </c>
      <c r="E1263" s="116">
        <v>100.65</v>
      </c>
      <c r="F1263" s="116">
        <v>126.7</v>
      </c>
      <c r="G1263">
        <v>6322</v>
      </c>
      <c r="H1263" s="116"/>
      <c r="I1263" s="116"/>
      <c r="L1263" s="170">
        <v>43872</v>
      </c>
      <c r="M1263" s="116">
        <v>156.4</v>
      </c>
      <c r="N1263" s="116">
        <v>160.65</v>
      </c>
      <c r="O1263" s="116">
        <v>156.05000000000001</v>
      </c>
      <c r="P1263" s="116">
        <v>156.05000000000001</v>
      </c>
      <c r="Q1263" s="116">
        <v>156.4</v>
      </c>
      <c r="R1263">
        <v>3929</v>
      </c>
    </row>
    <row r="1264" spans="1:18" x14ac:dyDescent="0.25">
      <c r="A1264" s="170">
        <v>43906</v>
      </c>
      <c r="B1264" s="116">
        <v>128</v>
      </c>
      <c r="C1264" s="116">
        <v>115.75</v>
      </c>
      <c r="D1264" s="116">
        <v>111</v>
      </c>
      <c r="E1264" s="116">
        <v>128</v>
      </c>
      <c r="F1264" s="116">
        <v>115.75</v>
      </c>
      <c r="G1264">
        <v>766</v>
      </c>
      <c r="H1264" s="116"/>
      <c r="I1264" s="116"/>
      <c r="L1264" s="170">
        <v>43873</v>
      </c>
      <c r="M1264" s="116">
        <v>154.75</v>
      </c>
      <c r="N1264" s="116">
        <v>158.85</v>
      </c>
      <c r="O1264" s="116">
        <v>152.25</v>
      </c>
      <c r="P1264" s="116">
        <v>157.94999999999999</v>
      </c>
      <c r="Q1264" s="116">
        <v>154.75</v>
      </c>
      <c r="R1264">
        <v>8676</v>
      </c>
    </row>
    <row r="1265" spans="1:18" x14ac:dyDescent="0.25">
      <c r="A1265" s="170">
        <v>43907</v>
      </c>
      <c r="B1265" s="116">
        <v>125.65</v>
      </c>
      <c r="C1265" s="116">
        <v>109.6</v>
      </c>
      <c r="D1265" s="116">
        <v>107</v>
      </c>
      <c r="E1265" s="116">
        <v>112.75</v>
      </c>
      <c r="F1265" s="116">
        <v>109.6</v>
      </c>
      <c r="G1265">
        <v>713</v>
      </c>
      <c r="H1265" s="116"/>
      <c r="I1265" s="116"/>
      <c r="L1265" s="170">
        <v>43874</v>
      </c>
      <c r="M1265" s="116">
        <v>159.15</v>
      </c>
      <c r="N1265" s="116">
        <v>162</v>
      </c>
      <c r="O1265" s="116">
        <v>155</v>
      </c>
      <c r="P1265" s="116">
        <v>155.69999999999999</v>
      </c>
      <c r="Q1265" s="116">
        <v>159.15</v>
      </c>
      <c r="R1265">
        <v>27595</v>
      </c>
    </row>
    <row r="1266" spans="1:18" x14ac:dyDescent="0.25">
      <c r="A1266" s="170">
        <v>43908</v>
      </c>
      <c r="B1266" s="116">
        <v>114.95</v>
      </c>
      <c r="C1266" s="116">
        <v>101.05</v>
      </c>
      <c r="D1266" s="116">
        <v>93.75</v>
      </c>
      <c r="E1266" s="116">
        <v>114.95</v>
      </c>
      <c r="F1266" s="116">
        <v>101.05</v>
      </c>
      <c r="G1266">
        <v>3916</v>
      </c>
      <c r="H1266" s="116"/>
      <c r="I1266" s="116"/>
      <c r="L1266" s="170">
        <v>43875</v>
      </c>
      <c r="M1266" s="116">
        <v>153.15</v>
      </c>
      <c r="N1266" s="116">
        <v>160.69999999999999</v>
      </c>
      <c r="O1266" s="116">
        <v>152.25</v>
      </c>
      <c r="P1266" s="116">
        <v>160.69999999999999</v>
      </c>
      <c r="Q1266" s="116">
        <v>153.15</v>
      </c>
      <c r="R1266">
        <v>12592</v>
      </c>
    </row>
    <row r="1267" spans="1:18" x14ac:dyDescent="0.25">
      <c r="A1267" s="170">
        <v>43909</v>
      </c>
      <c r="B1267" s="116">
        <v>95.8</v>
      </c>
      <c r="C1267" s="116">
        <v>90.85</v>
      </c>
      <c r="D1267" s="116">
        <v>90.2</v>
      </c>
      <c r="E1267" s="116">
        <v>90.2</v>
      </c>
      <c r="F1267" s="116">
        <v>90.85</v>
      </c>
      <c r="G1267">
        <v>1832</v>
      </c>
      <c r="H1267" s="116"/>
      <c r="I1267" s="116"/>
      <c r="L1267" s="170">
        <v>43878</v>
      </c>
      <c r="M1267" s="116">
        <v>151.15</v>
      </c>
      <c r="N1267" s="116">
        <v>154</v>
      </c>
      <c r="O1267" s="116">
        <v>150</v>
      </c>
      <c r="P1267" s="116">
        <v>154</v>
      </c>
      <c r="Q1267" s="116">
        <v>151.15</v>
      </c>
      <c r="R1267">
        <v>10415</v>
      </c>
    </row>
    <row r="1268" spans="1:18" x14ac:dyDescent="0.25">
      <c r="A1268" s="170">
        <v>43910</v>
      </c>
      <c r="B1268" s="116">
        <v>101</v>
      </c>
      <c r="C1268" s="116">
        <v>99.2</v>
      </c>
      <c r="D1268" s="116">
        <v>91.05</v>
      </c>
      <c r="E1268" s="116">
        <v>96.95</v>
      </c>
      <c r="F1268" s="116">
        <v>99.2</v>
      </c>
      <c r="G1268">
        <v>558</v>
      </c>
      <c r="H1268" s="116"/>
      <c r="I1268" s="116"/>
      <c r="L1268" s="170">
        <v>43879</v>
      </c>
      <c r="M1268" s="116">
        <v>150.9</v>
      </c>
      <c r="N1268" s="116">
        <v>153.69999999999999</v>
      </c>
      <c r="O1268" s="116">
        <v>150.5</v>
      </c>
      <c r="P1268" s="116">
        <v>151.6</v>
      </c>
      <c r="Q1268" s="116">
        <v>150.9</v>
      </c>
      <c r="R1268">
        <v>8227</v>
      </c>
    </row>
    <row r="1269" spans="1:18" x14ac:dyDescent="0.25">
      <c r="A1269" s="170">
        <v>43913</v>
      </c>
      <c r="B1269" s="116">
        <v>99.2</v>
      </c>
      <c r="C1269" s="116">
        <v>83.7</v>
      </c>
      <c r="D1269" s="116">
        <v>82.05</v>
      </c>
      <c r="E1269" s="116">
        <v>99.2</v>
      </c>
      <c r="F1269" s="116">
        <v>83.7</v>
      </c>
      <c r="G1269">
        <v>1181</v>
      </c>
      <c r="H1269" s="116"/>
      <c r="I1269" s="116"/>
      <c r="L1269" s="170">
        <v>43880</v>
      </c>
      <c r="M1269" s="116">
        <v>156.5</v>
      </c>
      <c r="N1269" s="116">
        <v>158</v>
      </c>
      <c r="O1269" s="116">
        <v>149</v>
      </c>
      <c r="P1269" s="116">
        <v>149</v>
      </c>
      <c r="Q1269" s="116">
        <v>156.5</v>
      </c>
      <c r="R1269">
        <v>14632</v>
      </c>
    </row>
    <row r="1270" spans="1:18" x14ac:dyDescent="0.25">
      <c r="A1270" s="170">
        <v>43914</v>
      </c>
      <c r="B1270" s="116">
        <v>89</v>
      </c>
      <c r="C1270" s="116">
        <v>86.7</v>
      </c>
      <c r="D1270" s="116">
        <v>82.2</v>
      </c>
      <c r="E1270" s="116">
        <v>89</v>
      </c>
      <c r="F1270" s="116">
        <v>86.7</v>
      </c>
      <c r="G1270">
        <v>739</v>
      </c>
      <c r="H1270" s="116"/>
      <c r="I1270" s="116"/>
      <c r="L1270" s="170">
        <v>43881</v>
      </c>
      <c r="M1270" s="116">
        <v>158.25</v>
      </c>
      <c r="N1270" s="116">
        <v>164.8</v>
      </c>
      <c r="O1270" s="116">
        <v>157.19999999999999</v>
      </c>
      <c r="P1270" s="116">
        <v>161.1</v>
      </c>
      <c r="Q1270" s="116">
        <v>158.25</v>
      </c>
      <c r="R1270">
        <v>32955</v>
      </c>
    </row>
    <row r="1271" spans="1:18" x14ac:dyDescent="0.25">
      <c r="A1271" s="170">
        <v>43915</v>
      </c>
      <c r="B1271" s="116">
        <v>88.85</v>
      </c>
      <c r="C1271" s="116">
        <v>88.5</v>
      </c>
      <c r="D1271" s="116">
        <v>82.5</v>
      </c>
      <c r="E1271" s="116">
        <v>85</v>
      </c>
      <c r="F1271" s="116">
        <v>88.5</v>
      </c>
      <c r="G1271">
        <v>1608</v>
      </c>
      <c r="H1271" s="116"/>
      <c r="I1271" s="116"/>
      <c r="L1271" s="170">
        <v>43885</v>
      </c>
      <c r="M1271" s="116">
        <v>151.75</v>
      </c>
      <c r="N1271" s="116">
        <v>158.30000000000001</v>
      </c>
      <c r="O1271" s="116">
        <v>151.19999999999999</v>
      </c>
      <c r="P1271" s="116">
        <v>158</v>
      </c>
      <c r="Q1271" s="116">
        <v>151.75</v>
      </c>
      <c r="R1271">
        <v>8042</v>
      </c>
    </row>
    <row r="1272" spans="1:18" x14ac:dyDescent="0.25">
      <c r="A1272" s="170">
        <v>43916</v>
      </c>
      <c r="B1272" s="116">
        <v>106.15</v>
      </c>
      <c r="C1272" s="116">
        <v>106</v>
      </c>
      <c r="D1272" s="116">
        <v>95.55</v>
      </c>
      <c r="E1272" s="116">
        <v>95.55</v>
      </c>
      <c r="F1272" s="116">
        <v>106</v>
      </c>
      <c r="G1272">
        <v>1379</v>
      </c>
      <c r="H1272" s="116"/>
      <c r="I1272" s="116"/>
      <c r="L1272" s="170">
        <v>43886</v>
      </c>
      <c r="M1272" s="116">
        <v>150.1</v>
      </c>
      <c r="N1272" s="116">
        <v>152.65</v>
      </c>
      <c r="O1272" s="116">
        <v>149.4</v>
      </c>
      <c r="P1272" s="116">
        <v>151.6</v>
      </c>
      <c r="Q1272" s="116">
        <v>150.1</v>
      </c>
      <c r="R1272">
        <v>10799</v>
      </c>
    </row>
    <row r="1273" spans="1:18" x14ac:dyDescent="0.25">
      <c r="A1273" s="170">
        <v>43917</v>
      </c>
      <c r="B1273" s="116">
        <v>109.2</v>
      </c>
      <c r="C1273" s="116">
        <v>100.1</v>
      </c>
      <c r="D1273" s="116">
        <v>96.65</v>
      </c>
      <c r="E1273" s="116">
        <v>107.3</v>
      </c>
      <c r="F1273" s="116">
        <v>100.1</v>
      </c>
      <c r="G1273">
        <v>2592</v>
      </c>
      <c r="H1273" s="116"/>
      <c r="I1273" s="116"/>
      <c r="L1273" s="170">
        <v>43887</v>
      </c>
      <c r="M1273" s="116">
        <v>148.25</v>
      </c>
      <c r="N1273" s="116">
        <v>151</v>
      </c>
      <c r="O1273" s="116">
        <v>148</v>
      </c>
      <c r="P1273" s="116">
        <v>151</v>
      </c>
      <c r="Q1273" s="116">
        <v>148.25</v>
      </c>
      <c r="R1273">
        <v>7506</v>
      </c>
    </row>
    <row r="1274" spans="1:18" x14ac:dyDescent="0.25">
      <c r="A1274" s="170">
        <v>43920</v>
      </c>
      <c r="B1274" s="116">
        <v>103</v>
      </c>
      <c r="C1274" s="116">
        <v>100</v>
      </c>
      <c r="D1274" s="116">
        <v>100</v>
      </c>
      <c r="E1274" s="116">
        <v>103</v>
      </c>
      <c r="F1274" s="116">
        <v>100</v>
      </c>
      <c r="G1274">
        <v>64</v>
      </c>
      <c r="H1274" s="116"/>
      <c r="I1274" s="116"/>
      <c r="L1274" s="170">
        <v>43888</v>
      </c>
      <c r="M1274" s="116">
        <v>145.6</v>
      </c>
      <c r="N1274" s="116">
        <v>149.65</v>
      </c>
      <c r="O1274" s="116">
        <v>144.85</v>
      </c>
      <c r="P1274" s="116">
        <v>148.9</v>
      </c>
      <c r="Q1274" s="116">
        <v>145.6</v>
      </c>
      <c r="R1274">
        <v>14340</v>
      </c>
    </row>
    <row r="1275" spans="1:18" x14ac:dyDescent="0.25">
      <c r="A1275" s="170">
        <v>43921</v>
      </c>
      <c r="B1275" s="116">
        <v>103.95</v>
      </c>
      <c r="C1275" s="116">
        <v>103.95</v>
      </c>
      <c r="D1275" s="116">
        <v>103.95</v>
      </c>
      <c r="E1275" s="116">
        <v>103.95</v>
      </c>
      <c r="F1275" s="116">
        <v>103.95</v>
      </c>
      <c r="G1275">
        <v>10</v>
      </c>
      <c r="H1275" s="116"/>
      <c r="I1275" s="116"/>
      <c r="L1275" s="170">
        <v>43889</v>
      </c>
      <c r="M1275" s="116">
        <v>139.44999999999999</v>
      </c>
      <c r="N1275" s="116">
        <v>143.9</v>
      </c>
      <c r="O1275" s="116">
        <v>137.05000000000001</v>
      </c>
      <c r="P1275" s="116">
        <v>143.9</v>
      </c>
      <c r="Q1275" s="116">
        <v>139.44999999999999</v>
      </c>
      <c r="R1275">
        <v>20789</v>
      </c>
    </row>
    <row r="1276" spans="1:18" x14ac:dyDescent="0.25">
      <c r="A1276" s="170">
        <v>43922</v>
      </c>
      <c r="B1276" s="116">
        <v>109.95</v>
      </c>
      <c r="C1276" s="116">
        <v>105.1</v>
      </c>
      <c r="D1276" s="116">
        <v>104</v>
      </c>
      <c r="E1276" s="116">
        <v>104</v>
      </c>
      <c r="F1276" s="116">
        <v>105.1</v>
      </c>
      <c r="G1276">
        <v>302</v>
      </c>
      <c r="H1276" s="116"/>
      <c r="I1276" s="116"/>
      <c r="L1276" s="170">
        <v>43892</v>
      </c>
      <c r="M1276" s="116">
        <v>142.44999999999999</v>
      </c>
      <c r="N1276" s="116">
        <v>149</v>
      </c>
      <c r="O1276" s="116">
        <v>140</v>
      </c>
      <c r="P1276" s="116">
        <v>140</v>
      </c>
      <c r="Q1276" s="116">
        <v>142.44999999999999</v>
      </c>
      <c r="R1276">
        <v>11200</v>
      </c>
    </row>
    <row r="1277" spans="1:18" x14ac:dyDescent="0.25">
      <c r="A1277" s="170">
        <v>43924</v>
      </c>
      <c r="B1277" s="116">
        <v>110.15</v>
      </c>
      <c r="C1277" s="116">
        <v>107.6</v>
      </c>
      <c r="D1277" s="116">
        <v>102.85</v>
      </c>
      <c r="E1277" s="116">
        <v>108.75</v>
      </c>
      <c r="F1277" s="116">
        <v>107.6</v>
      </c>
      <c r="G1277">
        <v>2919</v>
      </c>
      <c r="H1277" s="116"/>
      <c r="I1277" s="116"/>
      <c r="L1277" s="170">
        <v>43893</v>
      </c>
      <c r="M1277" s="116">
        <v>139.4</v>
      </c>
      <c r="N1277" s="116">
        <v>143.9</v>
      </c>
      <c r="O1277" s="116">
        <v>137.5</v>
      </c>
      <c r="P1277" s="116">
        <v>142.44999999999999</v>
      </c>
      <c r="Q1277" s="116">
        <v>139.4</v>
      </c>
      <c r="R1277">
        <v>15222</v>
      </c>
    </row>
    <row r="1278" spans="1:18" x14ac:dyDescent="0.25">
      <c r="A1278" s="170">
        <v>43928</v>
      </c>
      <c r="B1278" s="116">
        <v>125.8</v>
      </c>
      <c r="C1278" s="116">
        <v>119.05</v>
      </c>
      <c r="D1278" s="116">
        <v>103.2</v>
      </c>
      <c r="E1278" s="116">
        <v>107.6</v>
      </c>
      <c r="F1278" s="116">
        <v>119.05</v>
      </c>
      <c r="G1278">
        <v>6151</v>
      </c>
      <c r="H1278" s="116"/>
      <c r="I1278" s="116"/>
      <c r="L1278" s="170">
        <v>43894</v>
      </c>
      <c r="M1278" s="116">
        <v>134.9</v>
      </c>
      <c r="N1278" s="116">
        <v>139</v>
      </c>
      <c r="O1278" s="116">
        <v>132.5</v>
      </c>
      <c r="P1278" s="116">
        <v>139</v>
      </c>
      <c r="Q1278" s="116">
        <v>134.9</v>
      </c>
      <c r="R1278">
        <v>10153</v>
      </c>
    </row>
    <row r="1279" spans="1:18" x14ac:dyDescent="0.25">
      <c r="A1279" s="170">
        <v>43929</v>
      </c>
      <c r="B1279" s="116">
        <v>140</v>
      </c>
      <c r="C1279" s="116">
        <v>134.9</v>
      </c>
      <c r="D1279" s="116">
        <v>117.45</v>
      </c>
      <c r="E1279" s="116">
        <v>122</v>
      </c>
      <c r="F1279" s="116">
        <v>134.9</v>
      </c>
      <c r="G1279">
        <v>11543</v>
      </c>
      <c r="H1279" s="116"/>
      <c r="I1279" s="116"/>
      <c r="L1279" s="170">
        <v>43895</v>
      </c>
      <c r="M1279" s="116">
        <v>134.5</v>
      </c>
      <c r="N1279" s="116">
        <v>139.80000000000001</v>
      </c>
      <c r="O1279" s="116">
        <v>132.15</v>
      </c>
      <c r="P1279" s="116">
        <v>139.44999999999999</v>
      </c>
      <c r="Q1279" s="116">
        <v>134.5</v>
      </c>
      <c r="R1279">
        <v>12261</v>
      </c>
    </row>
    <row r="1280" spans="1:18" x14ac:dyDescent="0.25">
      <c r="A1280" s="170">
        <v>43930</v>
      </c>
      <c r="B1280" s="116">
        <v>154.80000000000001</v>
      </c>
      <c r="C1280" s="116">
        <v>140.19999999999999</v>
      </c>
      <c r="D1280" s="116">
        <v>134.55000000000001</v>
      </c>
      <c r="E1280" s="116">
        <v>141.30000000000001</v>
      </c>
      <c r="F1280" s="116">
        <v>140.19999999999999</v>
      </c>
      <c r="G1280">
        <v>19032</v>
      </c>
      <c r="H1280" s="116"/>
      <c r="I1280" s="116"/>
      <c r="L1280" s="170">
        <v>43896</v>
      </c>
      <c r="M1280" s="116">
        <v>133.35</v>
      </c>
      <c r="N1280" s="116">
        <v>135</v>
      </c>
      <c r="O1280" s="116">
        <v>123</v>
      </c>
      <c r="P1280" s="116">
        <v>123</v>
      </c>
      <c r="Q1280" s="116">
        <v>133.35</v>
      </c>
      <c r="R1280">
        <v>12197</v>
      </c>
    </row>
    <row r="1281" spans="1:18" x14ac:dyDescent="0.25">
      <c r="A1281" s="170">
        <v>43934</v>
      </c>
      <c r="B1281" s="116">
        <v>156.94999999999999</v>
      </c>
      <c r="C1281" s="116">
        <v>130.69999999999999</v>
      </c>
      <c r="D1281" s="116">
        <v>127.4</v>
      </c>
      <c r="E1281" s="116">
        <v>156.94999999999999</v>
      </c>
      <c r="F1281" s="116">
        <v>130.69999999999999</v>
      </c>
      <c r="G1281">
        <v>3846</v>
      </c>
      <c r="H1281" s="116"/>
      <c r="I1281" s="116"/>
      <c r="L1281" s="170">
        <v>43899</v>
      </c>
      <c r="M1281" s="116">
        <v>124.7</v>
      </c>
      <c r="N1281" s="116">
        <v>130</v>
      </c>
      <c r="O1281" s="116">
        <v>122</v>
      </c>
      <c r="P1281" s="116">
        <v>130</v>
      </c>
      <c r="Q1281" s="116">
        <v>124.7</v>
      </c>
      <c r="R1281">
        <v>17041</v>
      </c>
    </row>
    <row r="1282" spans="1:18" x14ac:dyDescent="0.25">
      <c r="A1282" s="170">
        <v>43936</v>
      </c>
      <c r="B1282" s="116">
        <v>135.65</v>
      </c>
      <c r="C1282" s="116">
        <v>126.6</v>
      </c>
      <c r="D1282" s="116">
        <v>124.45</v>
      </c>
      <c r="E1282" s="116">
        <v>135.65</v>
      </c>
      <c r="F1282" s="116">
        <v>126.6</v>
      </c>
      <c r="G1282">
        <v>837</v>
      </c>
      <c r="H1282" s="116"/>
      <c r="I1282" s="116"/>
      <c r="L1282" s="170">
        <v>43901</v>
      </c>
      <c r="M1282" s="116">
        <v>125.6</v>
      </c>
      <c r="N1282" s="116">
        <v>130</v>
      </c>
      <c r="O1282" s="116">
        <v>122.25</v>
      </c>
      <c r="P1282" s="116">
        <v>130</v>
      </c>
      <c r="Q1282" s="116">
        <v>125.6</v>
      </c>
      <c r="R1282">
        <v>48094</v>
      </c>
    </row>
    <row r="1283" spans="1:18" x14ac:dyDescent="0.25">
      <c r="A1283" s="170">
        <v>43937</v>
      </c>
      <c r="B1283" s="116">
        <v>138.4</v>
      </c>
      <c r="C1283" s="116">
        <v>130.4</v>
      </c>
      <c r="D1283" s="116">
        <v>127.4</v>
      </c>
      <c r="E1283" s="116">
        <v>130</v>
      </c>
      <c r="F1283" s="116">
        <v>130.4</v>
      </c>
      <c r="G1283">
        <v>9646</v>
      </c>
      <c r="H1283" s="116"/>
      <c r="I1283" s="116"/>
      <c r="L1283" s="170">
        <v>43902</v>
      </c>
      <c r="M1283" s="116">
        <v>110.3</v>
      </c>
      <c r="N1283" s="116">
        <v>117.05</v>
      </c>
      <c r="O1283" s="116">
        <v>109.05</v>
      </c>
      <c r="P1283" s="116">
        <v>115</v>
      </c>
      <c r="Q1283" s="116">
        <v>110.3</v>
      </c>
      <c r="R1283">
        <v>34713</v>
      </c>
    </row>
    <row r="1284" spans="1:18" x14ac:dyDescent="0.25">
      <c r="A1284" s="170">
        <v>43938</v>
      </c>
      <c r="B1284" s="116">
        <v>140</v>
      </c>
      <c r="C1284" s="116">
        <v>131.65</v>
      </c>
      <c r="D1284" s="116">
        <v>130</v>
      </c>
      <c r="E1284" s="116">
        <v>140</v>
      </c>
      <c r="F1284" s="116">
        <v>131.65</v>
      </c>
      <c r="G1284">
        <v>3877</v>
      </c>
      <c r="H1284" s="116"/>
      <c r="I1284" s="116"/>
      <c r="L1284" s="170">
        <v>43903</v>
      </c>
      <c r="M1284" s="116">
        <v>126.25</v>
      </c>
      <c r="N1284" s="116">
        <v>127.45</v>
      </c>
      <c r="O1284" s="116">
        <v>90.5</v>
      </c>
      <c r="P1284" s="116">
        <v>101</v>
      </c>
      <c r="Q1284" s="116">
        <v>126.25</v>
      </c>
      <c r="R1284">
        <v>37313</v>
      </c>
    </row>
    <row r="1285" spans="1:18" x14ac:dyDescent="0.25">
      <c r="A1285" s="170">
        <v>43941</v>
      </c>
      <c r="B1285" s="116">
        <v>135.94999999999999</v>
      </c>
      <c r="C1285" s="116">
        <v>133.94999999999999</v>
      </c>
      <c r="D1285" s="116">
        <v>131</v>
      </c>
      <c r="E1285" s="116">
        <v>131.15</v>
      </c>
      <c r="F1285" s="116">
        <v>133.94999999999999</v>
      </c>
      <c r="G1285">
        <v>1578</v>
      </c>
      <c r="H1285" s="116"/>
      <c r="I1285" s="116"/>
      <c r="L1285" s="170">
        <v>43906</v>
      </c>
      <c r="M1285" s="116">
        <v>117</v>
      </c>
      <c r="N1285" s="116">
        <v>126.95</v>
      </c>
      <c r="O1285" s="116">
        <v>115.65</v>
      </c>
      <c r="P1285" s="116">
        <v>126.25</v>
      </c>
      <c r="Q1285" s="116">
        <v>117</v>
      </c>
      <c r="R1285">
        <v>7480</v>
      </c>
    </row>
    <row r="1286" spans="1:18" x14ac:dyDescent="0.25">
      <c r="A1286" s="170">
        <v>43942</v>
      </c>
      <c r="B1286" s="116">
        <v>132.30000000000001</v>
      </c>
      <c r="C1286" s="116">
        <v>127.2</v>
      </c>
      <c r="D1286" s="116">
        <v>126.55</v>
      </c>
      <c r="E1286" s="116">
        <v>129.94999999999999</v>
      </c>
      <c r="F1286" s="116">
        <v>127.2</v>
      </c>
      <c r="G1286">
        <v>637</v>
      </c>
      <c r="H1286" s="116"/>
      <c r="I1286" s="116"/>
      <c r="L1286" s="170">
        <v>43907</v>
      </c>
      <c r="M1286" s="116">
        <v>109.15</v>
      </c>
      <c r="N1286" s="116">
        <v>119.95</v>
      </c>
      <c r="O1286" s="116">
        <v>105.1</v>
      </c>
      <c r="P1286" s="116">
        <v>113.2</v>
      </c>
      <c r="Q1286" s="116">
        <v>109.15</v>
      </c>
      <c r="R1286">
        <v>12028</v>
      </c>
    </row>
    <row r="1287" spans="1:18" x14ac:dyDescent="0.25">
      <c r="A1287" s="170">
        <v>43943</v>
      </c>
      <c r="B1287" s="116">
        <v>137</v>
      </c>
      <c r="C1287" s="116">
        <v>130.30000000000001</v>
      </c>
      <c r="D1287" s="116">
        <v>129</v>
      </c>
      <c r="E1287" s="116">
        <v>137</v>
      </c>
      <c r="F1287" s="116">
        <v>130.30000000000001</v>
      </c>
      <c r="G1287">
        <v>1500</v>
      </c>
      <c r="H1287" s="116"/>
      <c r="I1287" s="116"/>
      <c r="L1287" s="170">
        <v>43908</v>
      </c>
      <c r="M1287" s="116">
        <v>101.5</v>
      </c>
      <c r="N1287" s="116">
        <v>114.4</v>
      </c>
      <c r="O1287" s="116">
        <v>90.95</v>
      </c>
      <c r="P1287" s="116">
        <v>108</v>
      </c>
      <c r="Q1287" s="116">
        <v>101.5</v>
      </c>
      <c r="R1287">
        <v>36719</v>
      </c>
    </row>
    <row r="1288" spans="1:18" x14ac:dyDescent="0.25">
      <c r="A1288" s="170">
        <v>43944</v>
      </c>
      <c r="B1288" s="116">
        <v>132.80000000000001</v>
      </c>
      <c r="C1288" s="116">
        <v>129.6</v>
      </c>
      <c r="D1288" s="116">
        <v>127.3</v>
      </c>
      <c r="E1288" s="116">
        <v>132.80000000000001</v>
      </c>
      <c r="F1288" s="116">
        <v>129.6</v>
      </c>
      <c r="G1288">
        <v>1537</v>
      </c>
      <c r="H1288" s="116"/>
      <c r="I1288" s="116"/>
      <c r="L1288" s="170">
        <v>43909</v>
      </c>
      <c r="M1288" s="116">
        <v>94.5</v>
      </c>
      <c r="N1288" s="116">
        <v>96.95</v>
      </c>
      <c r="O1288" s="116">
        <v>88</v>
      </c>
      <c r="P1288" s="116">
        <v>88</v>
      </c>
      <c r="Q1288" s="116">
        <v>94.5</v>
      </c>
      <c r="R1288">
        <v>33410</v>
      </c>
    </row>
    <row r="1289" spans="1:18" x14ac:dyDescent="0.25">
      <c r="A1289" s="170">
        <v>43945</v>
      </c>
      <c r="B1289" s="116">
        <v>131</v>
      </c>
      <c r="C1289" s="116">
        <v>124.75</v>
      </c>
      <c r="D1289" s="116">
        <v>117.95</v>
      </c>
      <c r="E1289" s="116">
        <v>131</v>
      </c>
      <c r="F1289" s="116">
        <v>124.75</v>
      </c>
      <c r="G1289">
        <v>1830</v>
      </c>
      <c r="H1289" s="116"/>
      <c r="I1289" s="116"/>
      <c r="L1289" s="170">
        <v>43910</v>
      </c>
      <c r="M1289" s="116">
        <v>99.7</v>
      </c>
      <c r="N1289" s="116">
        <v>102.6</v>
      </c>
      <c r="O1289" s="116">
        <v>94.05</v>
      </c>
      <c r="P1289" s="116">
        <v>94.35</v>
      </c>
      <c r="Q1289" s="116">
        <v>99.7</v>
      </c>
      <c r="R1289">
        <v>23801</v>
      </c>
    </row>
    <row r="1290" spans="1:18" x14ac:dyDescent="0.25">
      <c r="A1290" s="170">
        <v>43948</v>
      </c>
      <c r="B1290" s="116">
        <v>137</v>
      </c>
      <c r="C1290" s="116">
        <v>134.30000000000001</v>
      </c>
      <c r="D1290" s="116">
        <v>124.7</v>
      </c>
      <c r="E1290" s="116">
        <v>124.7</v>
      </c>
      <c r="F1290" s="116">
        <v>134.30000000000001</v>
      </c>
      <c r="G1290">
        <v>2750</v>
      </c>
      <c r="H1290" s="116"/>
      <c r="I1290" s="116"/>
      <c r="L1290" s="170">
        <v>43913</v>
      </c>
      <c r="M1290" s="116">
        <v>83.2</v>
      </c>
      <c r="N1290" s="116">
        <v>96</v>
      </c>
      <c r="O1290" s="116">
        <v>80</v>
      </c>
      <c r="P1290" s="116">
        <v>96</v>
      </c>
      <c r="Q1290" s="116">
        <v>83.2</v>
      </c>
      <c r="R1290">
        <v>24718</v>
      </c>
    </row>
    <row r="1291" spans="1:18" x14ac:dyDescent="0.25">
      <c r="A1291" s="170">
        <v>43949</v>
      </c>
      <c r="B1291" s="116">
        <v>149.69999999999999</v>
      </c>
      <c r="C1291" s="116">
        <v>141.15</v>
      </c>
      <c r="D1291" s="116">
        <v>131.4</v>
      </c>
      <c r="E1291" s="116">
        <v>134.80000000000001</v>
      </c>
      <c r="F1291" s="116">
        <v>141.15</v>
      </c>
      <c r="G1291">
        <v>9677</v>
      </c>
      <c r="H1291" s="116"/>
      <c r="I1291" s="116"/>
      <c r="L1291" s="170">
        <v>43914</v>
      </c>
      <c r="M1291" s="116">
        <v>85</v>
      </c>
      <c r="N1291" s="116">
        <v>92</v>
      </c>
      <c r="O1291" s="116">
        <v>80.05</v>
      </c>
      <c r="P1291" s="116">
        <v>88</v>
      </c>
      <c r="Q1291" s="116">
        <v>85</v>
      </c>
      <c r="R1291">
        <v>26604</v>
      </c>
    </row>
    <row r="1292" spans="1:18" x14ac:dyDescent="0.25">
      <c r="A1292" s="170">
        <v>43950</v>
      </c>
      <c r="B1292" s="116">
        <v>141</v>
      </c>
      <c r="C1292" s="116">
        <v>132.1</v>
      </c>
      <c r="D1292" s="116">
        <v>131.69999999999999</v>
      </c>
      <c r="E1292" s="116">
        <v>141</v>
      </c>
      <c r="F1292" s="116">
        <v>132.1</v>
      </c>
      <c r="G1292">
        <v>4486</v>
      </c>
      <c r="H1292" s="116"/>
      <c r="I1292" s="116"/>
      <c r="L1292" s="170">
        <v>43915</v>
      </c>
      <c r="M1292" s="116">
        <v>89.65</v>
      </c>
      <c r="N1292" s="116">
        <v>90</v>
      </c>
      <c r="O1292" s="116">
        <v>80.099999999999994</v>
      </c>
      <c r="P1292" s="116">
        <v>80.75</v>
      </c>
      <c r="Q1292" s="116">
        <v>89.65</v>
      </c>
      <c r="R1292">
        <v>10853</v>
      </c>
    </row>
    <row r="1293" spans="1:18" x14ac:dyDescent="0.25">
      <c r="A1293" s="170">
        <v>43951</v>
      </c>
      <c r="B1293" s="116">
        <v>135.05000000000001</v>
      </c>
      <c r="C1293" s="116">
        <v>132.6</v>
      </c>
      <c r="D1293" s="116">
        <v>130</v>
      </c>
      <c r="E1293" s="116">
        <v>133.15</v>
      </c>
      <c r="F1293" s="116">
        <v>132.6</v>
      </c>
      <c r="G1293">
        <v>2663</v>
      </c>
      <c r="H1293" s="116"/>
      <c r="I1293" s="116"/>
      <c r="L1293" s="170">
        <v>43916</v>
      </c>
      <c r="M1293" s="116">
        <v>104.4</v>
      </c>
      <c r="N1293" s="116">
        <v>107.55</v>
      </c>
      <c r="O1293" s="116">
        <v>85.25</v>
      </c>
      <c r="P1293" s="116">
        <v>92.65</v>
      </c>
      <c r="Q1293" s="116">
        <v>104.4</v>
      </c>
      <c r="R1293">
        <v>53137</v>
      </c>
    </row>
    <row r="1294" spans="1:18" x14ac:dyDescent="0.25">
      <c r="A1294" s="170">
        <v>43955</v>
      </c>
      <c r="B1294" s="116">
        <v>128.44999999999999</v>
      </c>
      <c r="C1294" s="116">
        <v>127.35</v>
      </c>
      <c r="D1294" s="116">
        <v>126.6</v>
      </c>
      <c r="E1294" s="116">
        <v>127.2</v>
      </c>
      <c r="F1294" s="116">
        <v>127.35</v>
      </c>
      <c r="G1294">
        <v>829</v>
      </c>
      <c r="H1294" s="116"/>
      <c r="I1294" s="116"/>
      <c r="L1294" s="170">
        <v>43917</v>
      </c>
      <c r="M1294" s="116">
        <v>102.95</v>
      </c>
      <c r="N1294" s="116">
        <v>109.5</v>
      </c>
      <c r="O1294" s="116">
        <v>100.75</v>
      </c>
      <c r="P1294" s="116">
        <v>109.5</v>
      </c>
      <c r="Q1294" s="116">
        <v>102.95</v>
      </c>
      <c r="R1294">
        <v>31708</v>
      </c>
    </row>
    <row r="1295" spans="1:18" x14ac:dyDescent="0.25">
      <c r="A1295" s="170">
        <v>43956</v>
      </c>
      <c r="B1295" s="116">
        <v>128.94999999999999</v>
      </c>
      <c r="C1295" s="116">
        <v>127.9</v>
      </c>
      <c r="D1295" s="116">
        <v>127.3</v>
      </c>
      <c r="E1295" s="116">
        <v>128.80000000000001</v>
      </c>
      <c r="F1295" s="116">
        <v>127.9</v>
      </c>
      <c r="G1295">
        <v>1260</v>
      </c>
      <c r="H1295" s="116"/>
      <c r="I1295" s="116"/>
      <c r="L1295" s="170">
        <v>43920</v>
      </c>
      <c r="M1295" s="116">
        <v>102.3</v>
      </c>
      <c r="N1295" s="116">
        <v>102.95</v>
      </c>
      <c r="O1295" s="116">
        <v>95.85</v>
      </c>
      <c r="P1295" s="116">
        <v>101</v>
      </c>
      <c r="Q1295" s="116">
        <v>102.3</v>
      </c>
      <c r="R1295">
        <v>14920</v>
      </c>
    </row>
    <row r="1296" spans="1:18" x14ac:dyDescent="0.25">
      <c r="A1296" s="170">
        <v>43957</v>
      </c>
      <c r="B1296" s="116">
        <v>129.30000000000001</v>
      </c>
      <c r="C1296" s="116">
        <v>127.75</v>
      </c>
      <c r="D1296" s="116">
        <v>127.15</v>
      </c>
      <c r="E1296" s="116">
        <v>129.30000000000001</v>
      </c>
      <c r="F1296" s="116">
        <v>127.75</v>
      </c>
      <c r="G1296">
        <v>492</v>
      </c>
      <c r="H1296" s="116"/>
      <c r="I1296" s="116"/>
      <c r="L1296" s="170">
        <v>43921</v>
      </c>
      <c r="M1296" s="116">
        <v>104.8</v>
      </c>
      <c r="N1296" s="116">
        <v>106</v>
      </c>
      <c r="O1296" s="116">
        <v>100</v>
      </c>
      <c r="P1296" s="116">
        <v>101.85</v>
      </c>
      <c r="Q1296" s="116">
        <v>104.8</v>
      </c>
      <c r="R1296">
        <v>5767</v>
      </c>
    </row>
    <row r="1297" spans="1:18" x14ac:dyDescent="0.25">
      <c r="A1297" s="170">
        <v>43958</v>
      </c>
      <c r="B1297" s="116">
        <v>137.75</v>
      </c>
      <c r="C1297" s="116">
        <v>133.5</v>
      </c>
      <c r="D1297" s="116">
        <v>128</v>
      </c>
      <c r="E1297" s="116">
        <v>128</v>
      </c>
      <c r="F1297" s="116">
        <v>133.5</v>
      </c>
      <c r="G1297">
        <v>2899</v>
      </c>
      <c r="H1297" s="116"/>
      <c r="I1297" s="116"/>
      <c r="L1297" s="170">
        <v>43922</v>
      </c>
      <c r="M1297" s="116">
        <v>107.7</v>
      </c>
      <c r="N1297" s="116">
        <v>111.5</v>
      </c>
      <c r="O1297" s="116">
        <v>102.7</v>
      </c>
      <c r="P1297" s="116">
        <v>104.8</v>
      </c>
      <c r="Q1297" s="116">
        <v>107.7</v>
      </c>
      <c r="R1297">
        <v>6119</v>
      </c>
    </row>
    <row r="1298" spans="1:18" x14ac:dyDescent="0.25">
      <c r="A1298" s="170">
        <v>43959</v>
      </c>
      <c r="B1298" s="116">
        <v>135.5</v>
      </c>
      <c r="C1298" s="116">
        <v>130.05000000000001</v>
      </c>
      <c r="D1298" s="116">
        <v>129.15</v>
      </c>
      <c r="E1298" s="116">
        <v>135.5</v>
      </c>
      <c r="F1298" s="116">
        <v>130.05000000000001</v>
      </c>
      <c r="G1298">
        <v>644</v>
      </c>
      <c r="H1298" s="116"/>
      <c r="I1298" s="116"/>
      <c r="L1298" s="170">
        <v>43924</v>
      </c>
      <c r="M1298" s="116">
        <v>105.7</v>
      </c>
      <c r="N1298" s="116">
        <v>115.5</v>
      </c>
      <c r="O1298" s="116">
        <v>102.2</v>
      </c>
      <c r="P1298" s="116">
        <v>112</v>
      </c>
      <c r="Q1298" s="116">
        <v>105.7</v>
      </c>
      <c r="R1298">
        <v>12741</v>
      </c>
    </row>
    <row r="1299" spans="1:18" x14ac:dyDescent="0.25">
      <c r="A1299" s="170">
        <v>43962</v>
      </c>
      <c r="B1299" s="116">
        <v>132</v>
      </c>
      <c r="C1299" s="116">
        <v>128.30000000000001</v>
      </c>
      <c r="D1299" s="116">
        <v>127.65</v>
      </c>
      <c r="E1299" s="116">
        <v>132</v>
      </c>
      <c r="F1299" s="116">
        <v>128.30000000000001</v>
      </c>
      <c r="G1299">
        <v>221</v>
      </c>
      <c r="H1299" s="116"/>
      <c r="I1299" s="116"/>
      <c r="L1299" s="170">
        <v>43928</v>
      </c>
      <c r="M1299" s="116">
        <v>118.75</v>
      </c>
      <c r="N1299" s="116">
        <v>125.65</v>
      </c>
      <c r="O1299" s="116">
        <v>107.1</v>
      </c>
      <c r="P1299" s="116">
        <v>109.95</v>
      </c>
      <c r="Q1299" s="116">
        <v>118.75</v>
      </c>
      <c r="R1299">
        <v>74064</v>
      </c>
    </row>
    <row r="1300" spans="1:18" x14ac:dyDescent="0.25">
      <c r="A1300" s="170">
        <v>43963</v>
      </c>
      <c r="B1300" s="116">
        <v>128.9</v>
      </c>
      <c r="C1300" s="116">
        <v>126.9</v>
      </c>
      <c r="D1300" s="116">
        <v>125.35</v>
      </c>
      <c r="E1300" s="116">
        <v>126.5</v>
      </c>
      <c r="F1300" s="116">
        <v>126.9</v>
      </c>
      <c r="G1300">
        <v>1370</v>
      </c>
      <c r="H1300" s="116"/>
      <c r="I1300" s="116"/>
      <c r="L1300" s="170">
        <v>43929</v>
      </c>
      <c r="M1300" s="116">
        <v>134.30000000000001</v>
      </c>
      <c r="N1300" s="116">
        <v>140</v>
      </c>
      <c r="O1300" s="116">
        <v>117</v>
      </c>
      <c r="P1300" s="116">
        <v>118.25</v>
      </c>
      <c r="Q1300" s="116">
        <v>134.30000000000001</v>
      </c>
      <c r="R1300">
        <v>243869</v>
      </c>
    </row>
    <row r="1301" spans="1:18" x14ac:dyDescent="0.25">
      <c r="A1301" s="170">
        <v>43964</v>
      </c>
      <c r="B1301" s="116">
        <v>130.15</v>
      </c>
      <c r="C1301" s="116">
        <v>128.9</v>
      </c>
      <c r="D1301" s="116">
        <v>126.3</v>
      </c>
      <c r="E1301" s="116">
        <v>130.15</v>
      </c>
      <c r="F1301" s="116">
        <v>128.9</v>
      </c>
      <c r="G1301">
        <v>3270</v>
      </c>
      <c r="H1301" s="116"/>
      <c r="I1301" s="116"/>
      <c r="L1301" s="170">
        <v>43930</v>
      </c>
      <c r="M1301" s="116">
        <v>140.35</v>
      </c>
      <c r="N1301" s="116">
        <v>154.75</v>
      </c>
      <c r="O1301" s="116">
        <v>136.05000000000001</v>
      </c>
      <c r="P1301" s="116">
        <v>140.85</v>
      </c>
      <c r="Q1301" s="116">
        <v>140.35</v>
      </c>
      <c r="R1301">
        <v>342781</v>
      </c>
    </row>
    <row r="1302" spans="1:18" x14ac:dyDescent="0.25">
      <c r="A1302" s="170">
        <v>43965</v>
      </c>
      <c r="B1302" s="116">
        <v>129.30000000000001</v>
      </c>
      <c r="C1302" s="116">
        <v>126</v>
      </c>
      <c r="D1302" s="116">
        <v>126</v>
      </c>
      <c r="E1302" s="116">
        <v>126.95</v>
      </c>
      <c r="F1302" s="116">
        <v>126</v>
      </c>
      <c r="G1302">
        <v>467</v>
      </c>
      <c r="H1302" s="116"/>
      <c r="I1302" s="116"/>
      <c r="L1302" s="170">
        <v>43934</v>
      </c>
      <c r="M1302" s="116">
        <v>129.94999999999999</v>
      </c>
      <c r="N1302" s="116">
        <v>145.80000000000001</v>
      </c>
      <c r="O1302" s="116">
        <v>128.1</v>
      </c>
      <c r="P1302" s="116">
        <v>145.80000000000001</v>
      </c>
      <c r="Q1302" s="116">
        <v>129.94999999999999</v>
      </c>
      <c r="R1302">
        <v>31156</v>
      </c>
    </row>
    <row r="1303" spans="1:18" x14ac:dyDescent="0.25">
      <c r="A1303" s="170">
        <v>43966</v>
      </c>
      <c r="B1303" s="116">
        <v>127.1</v>
      </c>
      <c r="C1303" s="116">
        <v>125.1</v>
      </c>
      <c r="D1303" s="116">
        <v>125.1</v>
      </c>
      <c r="E1303" s="116">
        <v>126.6</v>
      </c>
      <c r="F1303" s="116">
        <v>125.1</v>
      </c>
      <c r="G1303">
        <v>679</v>
      </c>
      <c r="H1303" s="116"/>
      <c r="I1303" s="116"/>
      <c r="L1303" s="170">
        <v>43936</v>
      </c>
      <c r="M1303" s="116">
        <v>124.6</v>
      </c>
      <c r="N1303" s="116">
        <v>135</v>
      </c>
      <c r="O1303" s="116">
        <v>121.3</v>
      </c>
      <c r="P1303" s="116">
        <v>135</v>
      </c>
      <c r="Q1303" s="116">
        <v>124.6</v>
      </c>
      <c r="R1303">
        <v>23043</v>
      </c>
    </row>
    <row r="1304" spans="1:18" x14ac:dyDescent="0.25">
      <c r="A1304" s="170">
        <v>43969</v>
      </c>
      <c r="B1304" s="116">
        <v>125.9</v>
      </c>
      <c r="C1304" s="116">
        <v>122.2</v>
      </c>
      <c r="D1304" s="116">
        <v>121.95</v>
      </c>
      <c r="E1304" s="116">
        <v>125.9</v>
      </c>
      <c r="F1304" s="116">
        <v>122.2</v>
      </c>
      <c r="G1304">
        <v>889</v>
      </c>
      <c r="H1304" s="116"/>
      <c r="I1304" s="116"/>
      <c r="L1304" s="170">
        <v>43937</v>
      </c>
      <c r="M1304" s="116">
        <v>130.69999999999999</v>
      </c>
      <c r="N1304" s="116">
        <v>138.5</v>
      </c>
      <c r="O1304" s="116">
        <v>129</v>
      </c>
      <c r="P1304" s="116">
        <v>135</v>
      </c>
      <c r="Q1304" s="116">
        <v>130.69999999999999</v>
      </c>
      <c r="R1304">
        <v>181542</v>
      </c>
    </row>
    <row r="1305" spans="1:18" x14ac:dyDescent="0.25">
      <c r="A1305" s="170">
        <v>43970</v>
      </c>
      <c r="B1305" s="116">
        <v>126.75</v>
      </c>
      <c r="C1305" s="116">
        <v>123.8</v>
      </c>
      <c r="D1305" s="116">
        <v>123.05</v>
      </c>
      <c r="E1305" s="116">
        <v>126.45</v>
      </c>
      <c r="F1305" s="116">
        <v>123.8</v>
      </c>
      <c r="G1305">
        <v>611</v>
      </c>
      <c r="H1305" s="116"/>
      <c r="I1305" s="116"/>
      <c r="L1305" s="170">
        <v>43938</v>
      </c>
      <c r="M1305" s="116">
        <v>132.44999999999999</v>
      </c>
      <c r="N1305" s="116">
        <v>134.80000000000001</v>
      </c>
      <c r="O1305" s="116">
        <v>129.80000000000001</v>
      </c>
      <c r="P1305" s="116">
        <v>134.80000000000001</v>
      </c>
      <c r="Q1305" s="116">
        <v>132.44999999999999</v>
      </c>
      <c r="R1305">
        <v>38576</v>
      </c>
    </row>
    <row r="1306" spans="1:18" x14ac:dyDescent="0.25">
      <c r="A1306" s="170">
        <v>43971</v>
      </c>
      <c r="B1306" s="116">
        <v>125.15</v>
      </c>
      <c r="C1306" s="116">
        <v>124.5</v>
      </c>
      <c r="D1306" s="116">
        <v>123.85</v>
      </c>
      <c r="E1306" s="116">
        <v>125</v>
      </c>
      <c r="F1306" s="116">
        <v>124.5</v>
      </c>
      <c r="G1306">
        <v>20</v>
      </c>
      <c r="H1306" s="116"/>
      <c r="I1306" s="116"/>
      <c r="L1306" s="170">
        <v>43941</v>
      </c>
      <c r="M1306" s="116">
        <v>132.4</v>
      </c>
      <c r="N1306" s="116">
        <v>137.5</v>
      </c>
      <c r="O1306" s="116">
        <v>131.1</v>
      </c>
      <c r="P1306" s="116">
        <v>134</v>
      </c>
      <c r="Q1306" s="116">
        <v>132.4</v>
      </c>
      <c r="R1306">
        <v>32723</v>
      </c>
    </row>
    <row r="1307" spans="1:18" x14ac:dyDescent="0.25">
      <c r="A1307" s="170">
        <v>43972</v>
      </c>
      <c r="B1307" s="116">
        <v>126.35</v>
      </c>
      <c r="C1307" s="116">
        <v>122.75</v>
      </c>
      <c r="D1307" s="116">
        <v>120.5</v>
      </c>
      <c r="E1307" s="116">
        <v>125.65</v>
      </c>
      <c r="F1307" s="116">
        <v>122.75</v>
      </c>
      <c r="G1307">
        <v>1250</v>
      </c>
      <c r="H1307" s="116"/>
      <c r="I1307" s="116"/>
      <c r="L1307" s="170">
        <v>43942</v>
      </c>
      <c r="M1307" s="116">
        <v>128.94999999999999</v>
      </c>
      <c r="N1307" s="116">
        <v>130.94999999999999</v>
      </c>
      <c r="O1307" s="116">
        <v>125.5</v>
      </c>
      <c r="P1307" s="116">
        <v>128</v>
      </c>
      <c r="Q1307" s="116">
        <v>128.94999999999999</v>
      </c>
      <c r="R1307">
        <v>15859</v>
      </c>
    </row>
    <row r="1308" spans="1:18" x14ac:dyDescent="0.25">
      <c r="A1308" s="170">
        <v>43973</v>
      </c>
      <c r="B1308" s="116">
        <v>122.55</v>
      </c>
      <c r="C1308" s="116">
        <v>120.65</v>
      </c>
      <c r="D1308" s="116">
        <v>120.5</v>
      </c>
      <c r="E1308" s="116">
        <v>122.45</v>
      </c>
      <c r="F1308" s="116">
        <v>120.65</v>
      </c>
      <c r="G1308">
        <v>190</v>
      </c>
      <c r="H1308" s="116"/>
      <c r="I1308" s="116"/>
      <c r="L1308" s="170">
        <v>43943</v>
      </c>
      <c r="M1308" s="116">
        <v>130.5</v>
      </c>
      <c r="N1308" s="116">
        <v>135.4</v>
      </c>
      <c r="O1308" s="116">
        <v>129.1</v>
      </c>
      <c r="P1308" s="116">
        <v>135</v>
      </c>
      <c r="Q1308" s="116">
        <v>130.5</v>
      </c>
      <c r="R1308">
        <v>20690</v>
      </c>
    </row>
    <row r="1309" spans="1:18" x14ac:dyDescent="0.25">
      <c r="A1309" s="170">
        <v>43977</v>
      </c>
      <c r="B1309" s="116">
        <v>121.3</v>
      </c>
      <c r="C1309" s="116">
        <v>119.4</v>
      </c>
      <c r="D1309" s="116">
        <v>118</v>
      </c>
      <c r="E1309" s="116">
        <v>120.4</v>
      </c>
      <c r="F1309" s="116">
        <v>119.4</v>
      </c>
      <c r="G1309">
        <v>872</v>
      </c>
      <c r="H1309" s="116"/>
      <c r="I1309" s="116"/>
      <c r="L1309" s="170">
        <v>43944</v>
      </c>
      <c r="M1309" s="116">
        <v>129.15</v>
      </c>
      <c r="N1309" s="116">
        <v>134.6</v>
      </c>
      <c r="O1309" s="116">
        <v>128.75</v>
      </c>
      <c r="P1309" s="116">
        <v>132.80000000000001</v>
      </c>
      <c r="Q1309" s="116">
        <v>129.15</v>
      </c>
      <c r="R1309">
        <v>17935</v>
      </c>
    </row>
    <row r="1310" spans="1:18" x14ac:dyDescent="0.25">
      <c r="A1310" s="170">
        <v>43978</v>
      </c>
      <c r="B1310" s="116">
        <v>122.7</v>
      </c>
      <c r="C1310" s="116">
        <v>122.7</v>
      </c>
      <c r="D1310" s="116">
        <v>122.7</v>
      </c>
      <c r="E1310" s="116">
        <v>122.7</v>
      </c>
      <c r="F1310" s="116">
        <v>122.7</v>
      </c>
      <c r="G1310">
        <v>5</v>
      </c>
      <c r="H1310" s="116"/>
      <c r="I1310" s="116"/>
      <c r="L1310" s="170">
        <v>43945</v>
      </c>
      <c r="M1310" s="116">
        <v>127.4</v>
      </c>
      <c r="N1310" s="116">
        <v>129</v>
      </c>
      <c r="O1310" s="116">
        <v>125.5</v>
      </c>
      <c r="P1310" s="116">
        <v>127.5</v>
      </c>
      <c r="Q1310" s="116">
        <v>127.4</v>
      </c>
      <c r="R1310">
        <v>9676</v>
      </c>
    </row>
    <row r="1311" spans="1:18" x14ac:dyDescent="0.25">
      <c r="A1311" s="170">
        <v>43979</v>
      </c>
      <c r="B1311" s="116">
        <v>126.5</v>
      </c>
      <c r="C1311" s="116">
        <v>124.05</v>
      </c>
      <c r="D1311" s="116">
        <v>123.8</v>
      </c>
      <c r="E1311" s="116">
        <v>125.45</v>
      </c>
      <c r="F1311" s="116">
        <v>124.05</v>
      </c>
      <c r="G1311">
        <v>941</v>
      </c>
      <c r="H1311" s="116"/>
      <c r="I1311" s="116"/>
      <c r="L1311" s="170">
        <v>43948</v>
      </c>
      <c r="M1311" s="116">
        <v>135.05000000000001</v>
      </c>
      <c r="N1311" s="116">
        <v>136.9</v>
      </c>
      <c r="O1311" s="116">
        <v>129.1</v>
      </c>
      <c r="P1311" s="116">
        <v>132</v>
      </c>
      <c r="Q1311" s="116">
        <v>135.05000000000001</v>
      </c>
      <c r="R1311">
        <v>32206</v>
      </c>
    </row>
    <row r="1312" spans="1:18" x14ac:dyDescent="0.25">
      <c r="A1312" s="170">
        <v>43980</v>
      </c>
      <c r="B1312" s="116">
        <v>127.05</v>
      </c>
      <c r="C1312" s="116">
        <v>123.05</v>
      </c>
      <c r="D1312" s="116">
        <v>122.85</v>
      </c>
      <c r="E1312" s="116">
        <v>126.4</v>
      </c>
      <c r="F1312" s="116">
        <v>123.05</v>
      </c>
      <c r="G1312">
        <v>1018</v>
      </c>
      <c r="H1312" s="116"/>
      <c r="I1312" s="116"/>
      <c r="L1312" s="170">
        <v>43949</v>
      </c>
      <c r="M1312" s="116">
        <v>141.5</v>
      </c>
      <c r="N1312" s="116">
        <v>150</v>
      </c>
      <c r="O1312" s="116">
        <v>129</v>
      </c>
      <c r="P1312" s="116">
        <v>135</v>
      </c>
      <c r="Q1312" s="116">
        <v>141.5</v>
      </c>
      <c r="R1312">
        <v>196926</v>
      </c>
    </row>
    <row r="1313" spans="1:18" x14ac:dyDescent="0.25">
      <c r="A1313" s="170">
        <v>43983</v>
      </c>
      <c r="B1313" s="116">
        <v>135</v>
      </c>
      <c r="C1313" s="116">
        <v>128</v>
      </c>
      <c r="D1313" s="116">
        <v>127.35</v>
      </c>
      <c r="E1313" s="116">
        <v>135</v>
      </c>
      <c r="F1313" s="116">
        <v>128</v>
      </c>
      <c r="G1313">
        <v>722</v>
      </c>
      <c r="H1313" s="116"/>
      <c r="I1313" s="116"/>
      <c r="L1313" s="170">
        <v>43950</v>
      </c>
      <c r="M1313" s="116">
        <v>132.15</v>
      </c>
      <c r="N1313" s="116">
        <v>144.94999999999999</v>
      </c>
      <c r="O1313" s="116">
        <v>131.6</v>
      </c>
      <c r="P1313" s="116">
        <v>144.94999999999999</v>
      </c>
      <c r="Q1313" s="116">
        <v>132.15</v>
      </c>
      <c r="R1313">
        <v>68587</v>
      </c>
    </row>
    <row r="1314" spans="1:18" x14ac:dyDescent="0.25">
      <c r="A1314" s="170">
        <v>43984</v>
      </c>
      <c r="B1314" s="116">
        <v>131.5</v>
      </c>
      <c r="C1314" s="116">
        <v>129.9</v>
      </c>
      <c r="D1314" s="116">
        <v>129</v>
      </c>
      <c r="E1314" s="116">
        <v>129</v>
      </c>
      <c r="F1314" s="116">
        <v>129.9</v>
      </c>
      <c r="G1314">
        <v>2186</v>
      </c>
      <c r="H1314" s="116"/>
      <c r="I1314" s="116"/>
      <c r="L1314" s="170">
        <v>43951</v>
      </c>
      <c r="M1314" s="116">
        <v>132.5</v>
      </c>
      <c r="N1314" s="116">
        <v>135.94999999999999</v>
      </c>
      <c r="O1314" s="116">
        <v>126.9</v>
      </c>
      <c r="P1314" s="116">
        <v>134.94999999999999</v>
      </c>
      <c r="Q1314" s="116">
        <v>132.5</v>
      </c>
      <c r="R1314">
        <v>54751</v>
      </c>
    </row>
    <row r="1315" spans="1:18" x14ac:dyDescent="0.25">
      <c r="A1315" s="170">
        <v>43985</v>
      </c>
      <c r="B1315" s="116">
        <v>154.75</v>
      </c>
      <c r="C1315" s="116">
        <v>142.30000000000001</v>
      </c>
      <c r="D1315" s="116">
        <v>130.85</v>
      </c>
      <c r="E1315" s="116">
        <v>133.15</v>
      </c>
      <c r="F1315" s="116">
        <v>142.30000000000001</v>
      </c>
      <c r="G1315">
        <v>17745</v>
      </c>
      <c r="H1315" s="116"/>
      <c r="I1315" s="116"/>
      <c r="L1315" s="170">
        <v>43955</v>
      </c>
      <c r="M1315" s="116">
        <v>127.15</v>
      </c>
      <c r="N1315" s="116">
        <v>130</v>
      </c>
      <c r="O1315" s="116">
        <v>126.5</v>
      </c>
      <c r="P1315" s="116">
        <v>127</v>
      </c>
      <c r="Q1315" s="116">
        <v>127.15</v>
      </c>
      <c r="R1315">
        <v>24962</v>
      </c>
    </row>
    <row r="1316" spans="1:18" x14ac:dyDescent="0.25">
      <c r="A1316" s="170">
        <v>43986</v>
      </c>
      <c r="B1316" s="116">
        <v>144.15</v>
      </c>
      <c r="C1316" s="116">
        <v>140.55000000000001</v>
      </c>
      <c r="D1316" s="116">
        <v>137.5</v>
      </c>
      <c r="E1316" s="116">
        <v>143.30000000000001</v>
      </c>
      <c r="F1316" s="116">
        <v>140.55000000000001</v>
      </c>
      <c r="G1316">
        <v>10245</v>
      </c>
      <c r="H1316" s="116"/>
      <c r="I1316" s="116"/>
      <c r="L1316" s="170">
        <v>43956</v>
      </c>
      <c r="M1316" s="116">
        <v>127.55</v>
      </c>
      <c r="N1316" s="116">
        <v>130.30000000000001</v>
      </c>
      <c r="O1316" s="116">
        <v>127.1</v>
      </c>
      <c r="P1316" s="116">
        <v>130</v>
      </c>
      <c r="Q1316" s="116">
        <v>127.55</v>
      </c>
      <c r="R1316">
        <v>9711</v>
      </c>
    </row>
    <row r="1317" spans="1:18" x14ac:dyDescent="0.25">
      <c r="A1317" s="170">
        <v>43987</v>
      </c>
      <c r="B1317" s="116">
        <v>144.80000000000001</v>
      </c>
      <c r="C1317" s="116">
        <v>143.1</v>
      </c>
      <c r="D1317" s="116">
        <v>138.1</v>
      </c>
      <c r="E1317" s="116">
        <v>142.30000000000001</v>
      </c>
      <c r="F1317" s="116">
        <v>143.1</v>
      </c>
      <c r="G1317">
        <v>1591</v>
      </c>
      <c r="H1317" s="116"/>
      <c r="I1317" s="116"/>
      <c r="L1317" s="170">
        <v>43957</v>
      </c>
      <c r="M1317" s="116">
        <v>127.5</v>
      </c>
      <c r="N1317" s="116">
        <v>129</v>
      </c>
      <c r="O1317" s="116">
        <v>126.45</v>
      </c>
      <c r="P1317" s="116">
        <v>128.94999999999999</v>
      </c>
      <c r="Q1317" s="116">
        <v>127.5</v>
      </c>
      <c r="R1317">
        <v>7384</v>
      </c>
    </row>
    <row r="1318" spans="1:18" x14ac:dyDescent="0.25">
      <c r="A1318" s="170">
        <v>43990</v>
      </c>
      <c r="B1318" s="116">
        <v>161.5</v>
      </c>
      <c r="C1318" s="116">
        <v>155</v>
      </c>
      <c r="D1318" s="116">
        <v>141</v>
      </c>
      <c r="E1318" s="116">
        <v>141</v>
      </c>
      <c r="F1318" s="116">
        <v>155</v>
      </c>
      <c r="G1318">
        <v>20494</v>
      </c>
      <c r="H1318" s="116"/>
      <c r="I1318" s="116"/>
      <c r="L1318" s="170">
        <v>43958</v>
      </c>
      <c r="M1318" s="116">
        <v>133.44999999999999</v>
      </c>
      <c r="N1318" s="116">
        <v>138.35</v>
      </c>
      <c r="O1318" s="116">
        <v>127.05</v>
      </c>
      <c r="P1318" s="116">
        <v>128.30000000000001</v>
      </c>
      <c r="Q1318" s="116">
        <v>133.44999999999999</v>
      </c>
      <c r="R1318">
        <v>63917</v>
      </c>
    </row>
    <row r="1319" spans="1:18" x14ac:dyDescent="0.25">
      <c r="A1319" s="170">
        <v>43991</v>
      </c>
      <c r="B1319" s="116">
        <v>169</v>
      </c>
      <c r="C1319" s="116">
        <v>162.15</v>
      </c>
      <c r="D1319" s="116">
        <v>149.75</v>
      </c>
      <c r="E1319" s="116">
        <v>164.5</v>
      </c>
      <c r="F1319" s="116">
        <v>162.15</v>
      </c>
      <c r="G1319">
        <v>20102</v>
      </c>
      <c r="H1319" s="116"/>
      <c r="I1319" s="116"/>
      <c r="L1319" s="170">
        <v>43959</v>
      </c>
      <c r="M1319" s="116">
        <v>130.19999999999999</v>
      </c>
      <c r="N1319" s="116">
        <v>134.69999999999999</v>
      </c>
      <c r="O1319" s="116">
        <v>128.05000000000001</v>
      </c>
      <c r="P1319" s="116">
        <v>133.44999999999999</v>
      </c>
      <c r="Q1319" s="116">
        <v>130.19999999999999</v>
      </c>
      <c r="R1319">
        <v>24353</v>
      </c>
    </row>
    <row r="1320" spans="1:18" x14ac:dyDescent="0.25">
      <c r="A1320" s="170">
        <v>43992</v>
      </c>
      <c r="B1320" s="116">
        <v>160</v>
      </c>
      <c r="C1320" s="116">
        <v>154</v>
      </c>
      <c r="D1320" s="116">
        <v>153.75</v>
      </c>
      <c r="E1320" s="116">
        <v>160</v>
      </c>
      <c r="F1320" s="116">
        <v>154</v>
      </c>
      <c r="G1320">
        <v>2434</v>
      </c>
      <c r="H1320" s="116"/>
      <c r="I1320" s="116"/>
      <c r="L1320" s="170">
        <v>43962</v>
      </c>
      <c r="M1320" s="116">
        <v>128.25</v>
      </c>
      <c r="N1320" s="116">
        <v>132.9</v>
      </c>
      <c r="O1320" s="116">
        <v>126.25</v>
      </c>
      <c r="P1320" s="116">
        <v>129.15</v>
      </c>
      <c r="Q1320" s="116">
        <v>128.25</v>
      </c>
      <c r="R1320">
        <v>10569</v>
      </c>
    </row>
    <row r="1321" spans="1:18" x14ac:dyDescent="0.25">
      <c r="A1321" s="170">
        <v>43993</v>
      </c>
      <c r="B1321" s="116">
        <v>162.15</v>
      </c>
      <c r="C1321" s="116">
        <v>153.1</v>
      </c>
      <c r="D1321" s="116">
        <v>152.44999999999999</v>
      </c>
      <c r="E1321" s="116">
        <v>154</v>
      </c>
      <c r="F1321" s="116">
        <v>153.1</v>
      </c>
      <c r="G1321">
        <v>9602</v>
      </c>
      <c r="H1321" s="116"/>
      <c r="I1321" s="116"/>
      <c r="L1321" s="170">
        <v>43963</v>
      </c>
      <c r="M1321" s="116">
        <v>126.85</v>
      </c>
      <c r="N1321" s="116">
        <v>129.69999999999999</v>
      </c>
      <c r="O1321" s="116">
        <v>125.5</v>
      </c>
      <c r="P1321" s="116">
        <v>129.65</v>
      </c>
      <c r="Q1321" s="116">
        <v>126.85</v>
      </c>
      <c r="R1321">
        <v>9978</v>
      </c>
    </row>
    <row r="1322" spans="1:18" x14ac:dyDescent="0.25">
      <c r="A1322" s="170">
        <v>43994</v>
      </c>
      <c r="B1322" s="116">
        <v>183.7</v>
      </c>
      <c r="C1322" s="116">
        <v>179.45</v>
      </c>
      <c r="D1322" s="116">
        <v>147</v>
      </c>
      <c r="E1322" s="116">
        <v>150</v>
      </c>
      <c r="F1322" s="116">
        <v>179.45</v>
      </c>
      <c r="G1322">
        <v>32684</v>
      </c>
      <c r="H1322" s="116"/>
      <c r="I1322" s="116"/>
      <c r="L1322" s="170">
        <v>43964</v>
      </c>
      <c r="M1322" s="116">
        <v>128.65</v>
      </c>
      <c r="N1322" s="116">
        <v>132</v>
      </c>
      <c r="O1322" s="116">
        <v>126</v>
      </c>
      <c r="P1322" s="116">
        <v>130</v>
      </c>
      <c r="Q1322" s="116">
        <v>128.65</v>
      </c>
      <c r="R1322">
        <v>15745</v>
      </c>
    </row>
    <row r="1323" spans="1:18" x14ac:dyDescent="0.25">
      <c r="A1323" s="170">
        <v>43997</v>
      </c>
      <c r="B1323" s="116">
        <v>181</v>
      </c>
      <c r="C1323" s="116">
        <v>164.05</v>
      </c>
      <c r="D1323" s="116">
        <v>162.05000000000001</v>
      </c>
      <c r="E1323" s="116">
        <v>181</v>
      </c>
      <c r="F1323" s="116">
        <v>164.05</v>
      </c>
      <c r="G1323">
        <v>18839</v>
      </c>
      <c r="H1323" s="116"/>
      <c r="I1323" s="116"/>
      <c r="L1323" s="170">
        <v>43965</v>
      </c>
      <c r="M1323" s="116">
        <v>126.3</v>
      </c>
      <c r="N1323" s="116">
        <v>130.69999999999999</v>
      </c>
      <c r="O1323" s="116">
        <v>125.1</v>
      </c>
      <c r="P1323" s="116">
        <v>130.69999999999999</v>
      </c>
      <c r="Q1323" s="116">
        <v>126.3</v>
      </c>
      <c r="R1323">
        <v>9658</v>
      </c>
    </row>
    <row r="1324" spans="1:18" x14ac:dyDescent="0.25">
      <c r="A1324" s="170">
        <v>43998</v>
      </c>
      <c r="B1324" s="116">
        <v>171</v>
      </c>
      <c r="C1324" s="116">
        <v>159.9</v>
      </c>
      <c r="D1324" s="116">
        <v>158</v>
      </c>
      <c r="E1324" s="116">
        <v>171</v>
      </c>
      <c r="F1324" s="116">
        <v>159.9</v>
      </c>
      <c r="G1324">
        <v>3295</v>
      </c>
      <c r="H1324" s="116"/>
      <c r="I1324" s="116"/>
      <c r="L1324" s="170">
        <v>43966</v>
      </c>
      <c r="M1324" s="116">
        <v>125.55</v>
      </c>
      <c r="N1324" s="116">
        <v>127.75</v>
      </c>
      <c r="O1324" s="116">
        <v>125.05</v>
      </c>
      <c r="P1324" s="116">
        <v>126.35</v>
      </c>
      <c r="Q1324" s="116">
        <v>125.55</v>
      </c>
      <c r="R1324">
        <v>9462</v>
      </c>
    </row>
    <row r="1325" spans="1:18" x14ac:dyDescent="0.25">
      <c r="A1325" s="170">
        <v>43999</v>
      </c>
      <c r="B1325" s="116">
        <v>173.8</v>
      </c>
      <c r="C1325" s="116">
        <v>159.69999999999999</v>
      </c>
      <c r="D1325" s="116">
        <v>159</v>
      </c>
      <c r="E1325" s="116">
        <v>160.55000000000001</v>
      </c>
      <c r="F1325" s="116">
        <v>159.69999999999999</v>
      </c>
      <c r="G1325">
        <v>7977</v>
      </c>
      <c r="H1325" s="116"/>
      <c r="I1325" s="116"/>
      <c r="L1325" s="170">
        <v>43969</v>
      </c>
      <c r="M1325" s="116">
        <v>121.85</v>
      </c>
      <c r="N1325" s="116">
        <v>127</v>
      </c>
      <c r="O1325" s="116">
        <v>121</v>
      </c>
      <c r="P1325" s="116">
        <v>126.95</v>
      </c>
      <c r="Q1325" s="116">
        <v>121.85</v>
      </c>
      <c r="R1325">
        <v>9866</v>
      </c>
    </row>
    <row r="1326" spans="1:18" x14ac:dyDescent="0.25">
      <c r="A1326" s="170">
        <v>44000</v>
      </c>
      <c r="B1326" s="116">
        <v>165.5</v>
      </c>
      <c r="C1326" s="116">
        <v>162.9</v>
      </c>
      <c r="D1326" s="116">
        <v>155.05000000000001</v>
      </c>
      <c r="E1326" s="116">
        <v>163</v>
      </c>
      <c r="F1326" s="116">
        <v>162.9</v>
      </c>
      <c r="G1326">
        <v>9992</v>
      </c>
      <c r="H1326" s="116"/>
      <c r="I1326" s="116"/>
      <c r="L1326" s="170">
        <v>43970</v>
      </c>
      <c r="M1326" s="116">
        <v>123.85</v>
      </c>
      <c r="N1326" s="116">
        <v>135.5</v>
      </c>
      <c r="O1326" s="116">
        <v>123</v>
      </c>
      <c r="P1326" s="116">
        <v>125.15</v>
      </c>
      <c r="Q1326" s="116">
        <v>123.85</v>
      </c>
      <c r="R1326">
        <v>10459</v>
      </c>
    </row>
    <row r="1327" spans="1:18" x14ac:dyDescent="0.25">
      <c r="A1327" s="170">
        <v>44001</v>
      </c>
      <c r="B1327" s="116">
        <v>165.7</v>
      </c>
      <c r="C1327" s="116">
        <v>160.94999999999999</v>
      </c>
      <c r="D1327" s="116">
        <v>157</v>
      </c>
      <c r="E1327" s="116">
        <v>163.9</v>
      </c>
      <c r="F1327" s="116">
        <v>160.94999999999999</v>
      </c>
      <c r="G1327">
        <v>11182</v>
      </c>
      <c r="H1327" s="116"/>
      <c r="I1327" s="116"/>
      <c r="L1327" s="170">
        <v>43971</v>
      </c>
      <c r="M1327" s="116">
        <v>124.2</v>
      </c>
      <c r="N1327" s="116">
        <v>125.75</v>
      </c>
      <c r="O1327" s="116">
        <v>123.1</v>
      </c>
      <c r="P1327" s="116">
        <v>123.15</v>
      </c>
      <c r="Q1327" s="116">
        <v>124.2</v>
      </c>
      <c r="R1327">
        <v>2344</v>
      </c>
    </row>
    <row r="1328" spans="1:18" x14ac:dyDescent="0.25">
      <c r="A1328" s="170">
        <v>44004</v>
      </c>
      <c r="B1328" s="116">
        <v>174.9</v>
      </c>
      <c r="C1328" s="116">
        <v>166.45</v>
      </c>
      <c r="D1328" s="116">
        <v>156.1</v>
      </c>
      <c r="E1328" s="116">
        <v>160.30000000000001</v>
      </c>
      <c r="F1328" s="116">
        <v>166.45</v>
      </c>
      <c r="G1328">
        <v>28071</v>
      </c>
      <c r="H1328" s="116"/>
      <c r="I1328" s="116"/>
      <c r="L1328" s="170">
        <v>43972</v>
      </c>
      <c r="M1328" s="116">
        <v>122.4</v>
      </c>
      <c r="N1328" s="116">
        <v>128.44999999999999</v>
      </c>
      <c r="O1328" s="116">
        <v>120.65</v>
      </c>
      <c r="P1328" s="116">
        <v>127.6</v>
      </c>
      <c r="Q1328" s="116">
        <v>122.4</v>
      </c>
      <c r="R1328">
        <v>15303</v>
      </c>
    </row>
    <row r="1329" spans="1:18" x14ac:dyDescent="0.25">
      <c r="A1329" s="170">
        <v>44005</v>
      </c>
      <c r="B1329" s="116">
        <v>167.5</v>
      </c>
      <c r="C1329" s="116">
        <v>162.35</v>
      </c>
      <c r="D1329" s="116">
        <v>160.15</v>
      </c>
      <c r="E1329" s="116">
        <v>167.5</v>
      </c>
      <c r="F1329" s="116">
        <v>162.35</v>
      </c>
      <c r="G1329">
        <v>9223</v>
      </c>
      <c r="H1329" s="116"/>
      <c r="I1329" s="116"/>
      <c r="L1329" s="170">
        <v>43973</v>
      </c>
      <c r="M1329" s="116">
        <v>120.5</v>
      </c>
      <c r="N1329" s="116">
        <v>123.8</v>
      </c>
      <c r="O1329" s="116">
        <v>119.95</v>
      </c>
      <c r="P1329" s="116">
        <v>121.1</v>
      </c>
      <c r="Q1329" s="116">
        <v>120.5</v>
      </c>
      <c r="R1329">
        <v>7488</v>
      </c>
    </row>
    <row r="1330" spans="1:18" x14ac:dyDescent="0.25">
      <c r="A1330" s="170">
        <v>44006</v>
      </c>
      <c r="B1330" s="116">
        <v>165</v>
      </c>
      <c r="C1330" s="116">
        <v>157.75</v>
      </c>
      <c r="D1330" s="116">
        <v>156.19999999999999</v>
      </c>
      <c r="E1330" s="116">
        <v>163.80000000000001</v>
      </c>
      <c r="F1330" s="116">
        <v>157.75</v>
      </c>
      <c r="G1330">
        <v>11854</v>
      </c>
      <c r="H1330" s="116"/>
      <c r="I1330" s="116"/>
      <c r="L1330" s="170">
        <v>43977</v>
      </c>
      <c r="M1330" s="116">
        <v>120.25</v>
      </c>
      <c r="N1330" s="116">
        <v>124.4</v>
      </c>
      <c r="O1330" s="116">
        <v>116.7</v>
      </c>
      <c r="P1330" s="116">
        <v>116.7</v>
      </c>
      <c r="Q1330" s="116">
        <v>120.25</v>
      </c>
      <c r="R1330">
        <v>9059</v>
      </c>
    </row>
    <row r="1331" spans="1:18" x14ac:dyDescent="0.25">
      <c r="A1331" s="170">
        <v>44007</v>
      </c>
      <c r="B1331" s="116">
        <v>160.44999999999999</v>
      </c>
      <c r="C1331" s="116">
        <v>156.25</v>
      </c>
      <c r="D1331" s="116">
        <v>150</v>
      </c>
      <c r="E1331" s="116">
        <v>157.75</v>
      </c>
      <c r="F1331" s="116">
        <v>156.25</v>
      </c>
      <c r="G1331">
        <v>11114</v>
      </c>
      <c r="H1331" s="116"/>
      <c r="I1331" s="116"/>
      <c r="L1331" s="170">
        <v>43978</v>
      </c>
      <c r="M1331" s="116">
        <v>121.6</v>
      </c>
      <c r="N1331" s="116">
        <v>123.35</v>
      </c>
      <c r="O1331" s="116">
        <v>119.65</v>
      </c>
      <c r="P1331" s="116">
        <v>123.35</v>
      </c>
      <c r="Q1331" s="116">
        <v>121.6</v>
      </c>
      <c r="R1331">
        <v>6029</v>
      </c>
    </row>
    <row r="1332" spans="1:18" x14ac:dyDescent="0.25">
      <c r="A1332" s="170">
        <v>44008</v>
      </c>
      <c r="B1332" s="116">
        <v>160.25</v>
      </c>
      <c r="C1332" s="116">
        <v>156.25</v>
      </c>
      <c r="D1332" s="116">
        <v>151.65</v>
      </c>
      <c r="E1332" s="116">
        <v>151.65</v>
      </c>
      <c r="F1332" s="116">
        <v>156.25</v>
      </c>
      <c r="G1332">
        <v>3472</v>
      </c>
      <c r="H1332" s="116"/>
      <c r="I1332" s="116"/>
      <c r="L1332" s="170">
        <v>43979</v>
      </c>
      <c r="M1332" s="116">
        <v>124.1</v>
      </c>
      <c r="N1332" s="116">
        <v>128</v>
      </c>
      <c r="O1332" s="116">
        <v>123.35</v>
      </c>
      <c r="P1332" s="116">
        <v>123.4</v>
      </c>
      <c r="Q1332" s="116">
        <v>124.1</v>
      </c>
      <c r="R1332">
        <v>16221</v>
      </c>
    </row>
    <row r="1333" spans="1:18" x14ac:dyDescent="0.25">
      <c r="A1333" s="170">
        <v>44011</v>
      </c>
      <c r="B1333" s="116">
        <v>167.4</v>
      </c>
      <c r="C1333" s="116">
        <v>165.4</v>
      </c>
      <c r="D1333" s="116">
        <v>153.5</v>
      </c>
      <c r="E1333" s="116">
        <v>156.5</v>
      </c>
      <c r="F1333" s="116">
        <v>165.4</v>
      </c>
      <c r="G1333">
        <v>17438</v>
      </c>
      <c r="H1333" s="116"/>
      <c r="I1333" s="116"/>
      <c r="L1333" s="170">
        <v>43980</v>
      </c>
      <c r="M1333" s="116">
        <v>123.85</v>
      </c>
      <c r="N1333" s="116">
        <v>127.7</v>
      </c>
      <c r="O1333" s="116">
        <v>122</v>
      </c>
      <c r="P1333" s="116">
        <v>123.5</v>
      </c>
      <c r="Q1333" s="116">
        <v>123.85</v>
      </c>
      <c r="R1333">
        <v>19851</v>
      </c>
    </row>
    <row r="1334" spans="1:18" x14ac:dyDescent="0.25">
      <c r="A1334" s="170">
        <v>44012</v>
      </c>
      <c r="B1334" s="116">
        <v>170</v>
      </c>
      <c r="C1334" s="116">
        <v>158.4</v>
      </c>
      <c r="D1334" s="116">
        <v>156.75</v>
      </c>
      <c r="E1334" s="116">
        <v>168</v>
      </c>
      <c r="F1334" s="116">
        <v>158.4</v>
      </c>
      <c r="G1334">
        <v>6754</v>
      </c>
      <c r="H1334" s="116"/>
      <c r="I1334" s="116"/>
      <c r="L1334" s="170">
        <v>43983</v>
      </c>
      <c r="M1334" s="116">
        <v>127.9</v>
      </c>
      <c r="N1334" s="116">
        <v>130.85</v>
      </c>
      <c r="O1334" s="116">
        <v>127.55</v>
      </c>
      <c r="P1334" s="116">
        <v>127.7</v>
      </c>
      <c r="Q1334" s="116">
        <v>127.9</v>
      </c>
      <c r="R1334">
        <v>27860</v>
      </c>
    </row>
    <row r="1335" spans="1:18" x14ac:dyDescent="0.25">
      <c r="A1335" s="170">
        <v>44013</v>
      </c>
      <c r="B1335" s="116">
        <v>160.55000000000001</v>
      </c>
      <c r="C1335" s="116">
        <v>156.5</v>
      </c>
      <c r="D1335" s="116">
        <v>155.6</v>
      </c>
      <c r="E1335" s="116">
        <v>158.85</v>
      </c>
      <c r="F1335" s="116">
        <v>156.5</v>
      </c>
      <c r="G1335">
        <v>7508</v>
      </c>
      <c r="H1335" s="116"/>
      <c r="I1335" s="116"/>
      <c r="L1335" s="170">
        <v>43984</v>
      </c>
      <c r="M1335" s="116">
        <v>129.75</v>
      </c>
      <c r="N1335" s="116">
        <v>132</v>
      </c>
      <c r="O1335" s="116">
        <v>128.75</v>
      </c>
      <c r="P1335" s="116">
        <v>128.75</v>
      </c>
      <c r="Q1335" s="116">
        <v>129.75</v>
      </c>
      <c r="R1335">
        <v>38264</v>
      </c>
    </row>
    <row r="1336" spans="1:18" x14ac:dyDescent="0.25">
      <c r="A1336" s="170">
        <v>44014</v>
      </c>
      <c r="B1336" s="116">
        <v>157.94999999999999</v>
      </c>
      <c r="C1336" s="116">
        <v>154.44999999999999</v>
      </c>
      <c r="D1336" s="116">
        <v>154.1</v>
      </c>
      <c r="E1336" s="116">
        <v>157.05000000000001</v>
      </c>
      <c r="F1336" s="116">
        <v>154.44999999999999</v>
      </c>
      <c r="G1336">
        <v>9391</v>
      </c>
      <c r="H1336" s="116"/>
      <c r="I1336" s="116"/>
      <c r="L1336" s="170">
        <v>43985</v>
      </c>
      <c r="M1336" s="116">
        <v>143.35</v>
      </c>
      <c r="N1336" s="116">
        <v>154</v>
      </c>
      <c r="O1336" s="116">
        <v>130</v>
      </c>
      <c r="P1336" s="116">
        <v>133.6</v>
      </c>
      <c r="Q1336" s="116">
        <v>143.35</v>
      </c>
      <c r="R1336">
        <v>360049</v>
      </c>
    </row>
    <row r="1337" spans="1:18" x14ac:dyDescent="0.25">
      <c r="A1337" s="170">
        <v>44015</v>
      </c>
      <c r="B1337" s="116">
        <v>158.1</v>
      </c>
      <c r="C1337" s="116">
        <v>154.5</v>
      </c>
      <c r="D1337" s="116">
        <v>154.5</v>
      </c>
      <c r="E1337" s="116">
        <v>154.5</v>
      </c>
      <c r="F1337" s="116">
        <v>154.5</v>
      </c>
      <c r="G1337">
        <v>1748</v>
      </c>
      <c r="H1337" s="116"/>
      <c r="I1337" s="116"/>
      <c r="L1337" s="170">
        <v>43986</v>
      </c>
      <c r="M1337" s="116">
        <v>140.25</v>
      </c>
      <c r="N1337" s="116">
        <v>145.05000000000001</v>
      </c>
      <c r="O1337" s="116">
        <v>137</v>
      </c>
      <c r="P1337" s="116">
        <v>145.05000000000001</v>
      </c>
      <c r="Q1337" s="116">
        <v>140.25</v>
      </c>
      <c r="R1337">
        <v>87116</v>
      </c>
    </row>
    <row r="1338" spans="1:18" x14ac:dyDescent="0.25">
      <c r="A1338" s="170">
        <v>44018</v>
      </c>
      <c r="B1338" s="116">
        <v>163</v>
      </c>
      <c r="C1338" s="116">
        <v>156.35</v>
      </c>
      <c r="D1338" s="116">
        <v>155.4</v>
      </c>
      <c r="E1338" s="116">
        <v>156.30000000000001</v>
      </c>
      <c r="F1338" s="116">
        <v>156.35</v>
      </c>
      <c r="G1338">
        <v>4654</v>
      </c>
      <c r="H1338" s="116"/>
      <c r="I1338" s="116"/>
      <c r="L1338" s="170">
        <v>43987</v>
      </c>
      <c r="M1338" s="116">
        <v>142.75</v>
      </c>
      <c r="N1338" s="116">
        <v>144.94999999999999</v>
      </c>
      <c r="O1338" s="116">
        <v>138.94999999999999</v>
      </c>
      <c r="P1338" s="116">
        <v>138.94999999999999</v>
      </c>
      <c r="Q1338" s="116">
        <v>142.75</v>
      </c>
      <c r="R1338">
        <v>30116</v>
      </c>
    </row>
    <row r="1339" spans="1:18" x14ac:dyDescent="0.25">
      <c r="A1339" s="170">
        <v>44019</v>
      </c>
      <c r="B1339" s="116">
        <v>157</v>
      </c>
      <c r="C1339" s="116">
        <v>154.80000000000001</v>
      </c>
      <c r="D1339" s="116">
        <v>154.05000000000001</v>
      </c>
      <c r="E1339" s="116">
        <v>155.05000000000001</v>
      </c>
      <c r="F1339" s="116">
        <v>154.80000000000001</v>
      </c>
      <c r="G1339">
        <v>2755</v>
      </c>
      <c r="H1339" s="116"/>
      <c r="I1339" s="116"/>
      <c r="L1339" s="170">
        <v>43990</v>
      </c>
      <c r="M1339" s="116">
        <v>155.69999999999999</v>
      </c>
      <c r="N1339" s="116">
        <v>163</v>
      </c>
      <c r="O1339" s="116">
        <v>142.75</v>
      </c>
      <c r="P1339" s="116">
        <v>145</v>
      </c>
      <c r="Q1339" s="116">
        <v>155.69999999999999</v>
      </c>
      <c r="R1339">
        <v>335899</v>
      </c>
    </row>
    <row r="1340" spans="1:18" x14ac:dyDescent="0.25">
      <c r="A1340" s="170">
        <v>44020</v>
      </c>
      <c r="B1340" s="116">
        <v>157.5</v>
      </c>
      <c r="C1340" s="116">
        <v>152.69999999999999</v>
      </c>
      <c r="D1340" s="116">
        <v>149</v>
      </c>
      <c r="E1340" s="116">
        <v>154.5</v>
      </c>
      <c r="F1340" s="116">
        <v>152.69999999999999</v>
      </c>
      <c r="G1340">
        <v>5878</v>
      </c>
      <c r="H1340" s="116"/>
      <c r="I1340" s="116"/>
      <c r="L1340" s="170">
        <v>43991</v>
      </c>
      <c r="M1340" s="116">
        <v>161.94999999999999</v>
      </c>
      <c r="N1340" s="116">
        <v>169.5</v>
      </c>
      <c r="O1340" s="116">
        <v>148.94999999999999</v>
      </c>
      <c r="P1340" s="116">
        <v>159</v>
      </c>
      <c r="Q1340" s="116">
        <v>161.94999999999999</v>
      </c>
      <c r="R1340">
        <v>330101</v>
      </c>
    </row>
    <row r="1341" spans="1:18" x14ac:dyDescent="0.25">
      <c r="A1341" s="170">
        <v>44021</v>
      </c>
      <c r="B1341" s="116">
        <v>155.6</v>
      </c>
      <c r="C1341" s="116">
        <v>153.25</v>
      </c>
      <c r="D1341" s="116">
        <v>153</v>
      </c>
      <c r="E1341" s="116">
        <v>153.1</v>
      </c>
      <c r="F1341" s="116">
        <v>153.25</v>
      </c>
      <c r="G1341">
        <v>2171</v>
      </c>
      <c r="H1341" s="116"/>
      <c r="I1341" s="116"/>
      <c r="L1341" s="170">
        <v>43992</v>
      </c>
      <c r="M1341" s="116">
        <v>154.25</v>
      </c>
      <c r="N1341" s="116">
        <v>160.94999999999999</v>
      </c>
      <c r="O1341" s="116">
        <v>153.25</v>
      </c>
      <c r="P1341" s="116">
        <v>159.6</v>
      </c>
      <c r="Q1341" s="116">
        <v>154.25</v>
      </c>
      <c r="R1341">
        <v>49103</v>
      </c>
    </row>
    <row r="1342" spans="1:18" x14ac:dyDescent="0.25">
      <c r="A1342" s="170">
        <v>44022</v>
      </c>
      <c r="B1342" s="116">
        <v>153.4</v>
      </c>
      <c r="C1342" s="116">
        <v>150.55000000000001</v>
      </c>
      <c r="D1342" s="116">
        <v>147.1</v>
      </c>
      <c r="E1342" s="116">
        <v>150.55000000000001</v>
      </c>
      <c r="F1342" s="116">
        <v>150.55000000000001</v>
      </c>
      <c r="G1342">
        <v>3125</v>
      </c>
      <c r="H1342" s="116"/>
      <c r="I1342" s="116"/>
      <c r="L1342" s="170">
        <v>43993</v>
      </c>
      <c r="M1342" s="116">
        <v>153.4</v>
      </c>
      <c r="N1342" s="116">
        <v>162.75</v>
      </c>
      <c r="O1342" s="116">
        <v>151</v>
      </c>
      <c r="P1342" s="116">
        <v>153.1</v>
      </c>
      <c r="Q1342" s="116">
        <v>153.4</v>
      </c>
      <c r="R1342">
        <v>62696</v>
      </c>
    </row>
    <row r="1343" spans="1:18" x14ac:dyDescent="0.25">
      <c r="A1343" s="170">
        <v>44025</v>
      </c>
      <c r="B1343" s="116">
        <v>154.25</v>
      </c>
      <c r="C1343" s="116">
        <v>152.35</v>
      </c>
      <c r="D1343" s="116">
        <v>151.69999999999999</v>
      </c>
      <c r="E1343" s="116">
        <v>152.94999999999999</v>
      </c>
      <c r="F1343" s="116">
        <v>152.35</v>
      </c>
      <c r="G1343">
        <v>1073</v>
      </c>
      <c r="H1343" s="116"/>
      <c r="I1343" s="116"/>
      <c r="L1343" s="170">
        <v>43994</v>
      </c>
      <c r="M1343" s="116">
        <v>179.5</v>
      </c>
      <c r="N1343" s="116">
        <v>184.05</v>
      </c>
      <c r="O1343" s="116">
        <v>145</v>
      </c>
      <c r="P1343" s="116">
        <v>145.1</v>
      </c>
      <c r="Q1343" s="116">
        <v>179.5</v>
      </c>
      <c r="R1343">
        <v>586404</v>
      </c>
    </row>
    <row r="1344" spans="1:18" x14ac:dyDescent="0.25">
      <c r="A1344" s="170">
        <v>44026</v>
      </c>
      <c r="B1344" s="116">
        <v>152.35</v>
      </c>
      <c r="C1344" s="116">
        <v>149.6</v>
      </c>
      <c r="D1344" s="116">
        <v>146</v>
      </c>
      <c r="E1344" s="116">
        <v>152.35</v>
      </c>
      <c r="F1344" s="116">
        <v>149.6</v>
      </c>
      <c r="G1344">
        <v>2909</v>
      </c>
      <c r="H1344" s="116"/>
      <c r="I1344" s="116"/>
      <c r="L1344" s="170">
        <v>43997</v>
      </c>
      <c r="M1344" s="116">
        <v>164.4</v>
      </c>
      <c r="N1344" s="116">
        <v>178</v>
      </c>
      <c r="O1344" s="116">
        <v>162.05000000000001</v>
      </c>
      <c r="P1344" s="116">
        <v>178</v>
      </c>
      <c r="Q1344" s="116">
        <v>164.4</v>
      </c>
      <c r="R1344">
        <v>372242</v>
      </c>
    </row>
    <row r="1345" spans="1:18" x14ac:dyDescent="0.25">
      <c r="A1345" s="170">
        <v>44027</v>
      </c>
      <c r="B1345" s="116">
        <v>155</v>
      </c>
      <c r="C1345" s="116">
        <v>153.35</v>
      </c>
      <c r="D1345" s="116">
        <v>148.80000000000001</v>
      </c>
      <c r="E1345" s="116">
        <v>149.19999999999999</v>
      </c>
      <c r="F1345" s="116">
        <v>153.35</v>
      </c>
      <c r="G1345">
        <v>7763</v>
      </c>
      <c r="H1345" s="116"/>
      <c r="I1345" s="116"/>
      <c r="L1345" s="170">
        <v>43998</v>
      </c>
      <c r="M1345" s="116">
        <v>160.05000000000001</v>
      </c>
      <c r="N1345" s="116">
        <v>169.7</v>
      </c>
      <c r="O1345" s="116">
        <v>157.05000000000001</v>
      </c>
      <c r="P1345" s="116">
        <v>166.6</v>
      </c>
      <c r="Q1345" s="116">
        <v>160.05000000000001</v>
      </c>
      <c r="R1345">
        <v>64738</v>
      </c>
    </row>
    <row r="1346" spans="1:18" x14ac:dyDescent="0.25">
      <c r="A1346" s="170">
        <v>44028</v>
      </c>
      <c r="B1346" s="116">
        <v>156</v>
      </c>
      <c r="C1346" s="116">
        <v>155</v>
      </c>
      <c r="D1346" s="116">
        <v>150.69999999999999</v>
      </c>
      <c r="E1346" s="116">
        <v>152.15</v>
      </c>
      <c r="F1346" s="116">
        <v>155</v>
      </c>
      <c r="G1346">
        <v>1292</v>
      </c>
      <c r="H1346" s="116"/>
      <c r="I1346" s="116"/>
      <c r="L1346" s="170">
        <v>43999</v>
      </c>
      <c r="M1346" s="116">
        <v>159.75</v>
      </c>
      <c r="N1346" s="116">
        <v>175</v>
      </c>
      <c r="O1346" s="116">
        <v>157.35</v>
      </c>
      <c r="P1346" s="116">
        <v>158.35</v>
      </c>
      <c r="Q1346" s="116">
        <v>159.75</v>
      </c>
      <c r="R1346">
        <v>154513</v>
      </c>
    </row>
    <row r="1347" spans="1:18" x14ac:dyDescent="0.25">
      <c r="A1347" s="170">
        <v>44029</v>
      </c>
      <c r="B1347" s="116">
        <v>160.1</v>
      </c>
      <c r="C1347" s="116">
        <v>153.5</v>
      </c>
      <c r="D1347" s="116">
        <v>150.80000000000001</v>
      </c>
      <c r="E1347" s="116">
        <v>156.6</v>
      </c>
      <c r="F1347" s="116">
        <v>153.5</v>
      </c>
      <c r="G1347">
        <v>1288</v>
      </c>
      <c r="H1347" s="116"/>
      <c r="I1347" s="116"/>
      <c r="L1347" s="170">
        <v>44000</v>
      </c>
      <c r="M1347" s="116">
        <v>162.25</v>
      </c>
      <c r="N1347" s="116">
        <v>164.9</v>
      </c>
      <c r="O1347" s="116">
        <v>158.15</v>
      </c>
      <c r="P1347" s="116">
        <v>159.75</v>
      </c>
      <c r="Q1347" s="116">
        <v>162.25</v>
      </c>
      <c r="R1347">
        <v>205486</v>
      </c>
    </row>
    <row r="1348" spans="1:18" x14ac:dyDescent="0.25">
      <c r="A1348" s="170">
        <v>44032</v>
      </c>
      <c r="B1348" s="116">
        <v>155.1</v>
      </c>
      <c r="C1348" s="116">
        <v>153.9</v>
      </c>
      <c r="D1348" s="116">
        <v>152</v>
      </c>
      <c r="E1348" s="116">
        <v>155.1</v>
      </c>
      <c r="F1348" s="116">
        <v>153.9</v>
      </c>
      <c r="G1348">
        <v>9180</v>
      </c>
      <c r="H1348" s="116"/>
      <c r="I1348" s="116"/>
      <c r="L1348" s="170">
        <v>44001</v>
      </c>
      <c r="M1348" s="116">
        <v>160.69999999999999</v>
      </c>
      <c r="N1348" s="116">
        <v>164.55</v>
      </c>
      <c r="O1348" s="116">
        <v>160.05000000000001</v>
      </c>
      <c r="P1348" s="116">
        <v>163.5</v>
      </c>
      <c r="Q1348" s="116">
        <v>160.69999999999999</v>
      </c>
      <c r="R1348">
        <v>44538</v>
      </c>
    </row>
    <row r="1349" spans="1:18" x14ac:dyDescent="0.25">
      <c r="A1349" s="170">
        <v>44033</v>
      </c>
      <c r="B1349" s="116">
        <v>155</v>
      </c>
      <c r="C1349" s="116">
        <v>151.94999999999999</v>
      </c>
      <c r="D1349" s="116">
        <v>150.5</v>
      </c>
      <c r="E1349" s="116">
        <v>154.30000000000001</v>
      </c>
      <c r="F1349" s="116">
        <v>151.94999999999999</v>
      </c>
      <c r="G1349">
        <v>1183</v>
      </c>
      <c r="H1349" s="116"/>
      <c r="I1349" s="116"/>
      <c r="L1349" s="170">
        <v>44004</v>
      </c>
      <c r="M1349" s="116">
        <v>166.45</v>
      </c>
      <c r="N1349" s="116">
        <v>174</v>
      </c>
      <c r="O1349" s="116">
        <v>160.1</v>
      </c>
      <c r="P1349" s="116">
        <v>161</v>
      </c>
      <c r="Q1349" s="116">
        <v>166.45</v>
      </c>
      <c r="R1349">
        <v>267545</v>
      </c>
    </row>
    <row r="1350" spans="1:18" x14ac:dyDescent="0.25">
      <c r="A1350" s="170">
        <v>44034</v>
      </c>
      <c r="B1350" s="116">
        <v>154.19999999999999</v>
      </c>
      <c r="C1350" s="116">
        <v>152.85</v>
      </c>
      <c r="D1350" s="116">
        <v>150.65</v>
      </c>
      <c r="E1350" s="116">
        <v>153.6</v>
      </c>
      <c r="F1350" s="116">
        <v>152.85</v>
      </c>
      <c r="G1350">
        <v>4389</v>
      </c>
      <c r="H1350" s="116"/>
      <c r="I1350" s="116"/>
      <c r="L1350" s="170">
        <v>44005</v>
      </c>
      <c r="M1350" s="116">
        <v>162</v>
      </c>
      <c r="N1350" s="116">
        <v>168.5</v>
      </c>
      <c r="O1350" s="116">
        <v>161.5</v>
      </c>
      <c r="P1350" s="116">
        <v>166.7</v>
      </c>
      <c r="Q1350" s="116">
        <v>162</v>
      </c>
      <c r="R1350">
        <v>88597</v>
      </c>
    </row>
    <row r="1351" spans="1:18" x14ac:dyDescent="0.25">
      <c r="A1351" s="170">
        <v>44035</v>
      </c>
      <c r="B1351" s="116">
        <v>155.69999999999999</v>
      </c>
      <c r="C1351" s="116">
        <v>152.85</v>
      </c>
      <c r="D1351" s="116">
        <v>151.15</v>
      </c>
      <c r="E1351" s="116">
        <v>151.5</v>
      </c>
      <c r="F1351" s="116">
        <v>152.85</v>
      </c>
      <c r="G1351">
        <v>3721</v>
      </c>
      <c r="H1351" s="116"/>
      <c r="I1351" s="116"/>
      <c r="L1351" s="170">
        <v>44006</v>
      </c>
      <c r="M1351" s="116">
        <v>157.69999999999999</v>
      </c>
      <c r="N1351" s="116">
        <v>165</v>
      </c>
      <c r="O1351" s="116">
        <v>156.05000000000001</v>
      </c>
      <c r="P1351" s="116">
        <v>164.75</v>
      </c>
      <c r="Q1351" s="116">
        <v>157.69999999999999</v>
      </c>
      <c r="R1351">
        <v>62406</v>
      </c>
    </row>
    <row r="1352" spans="1:18" x14ac:dyDescent="0.25">
      <c r="A1352" s="170">
        <v>44036</v>
      </c>
      <c r="B1352" s="116">
        <v>152.85</v>
      </c>
      <c r="C1352" s="116">
        <v>149.30000000000001</v>
      </c>
      <c r="D1352" s="116">
        <v>148.9</v>
      </c>
      <c r="E1352" s="116">
        <v>152.30000000000001</v>
      </c>
      <c r="F1352" s="116">
        <v>149.30000000000001</v>
      </c>
      <c r="G1352">
        <v>2474</v>
      </c>
      <c r="H1352" s="116"/>
      <c r="I1352" s="116"/>
      <c r="L1352" s="170">
        <v>44007</v>
      </c>
      <c r="M1352" s="116">
        <v>156.1</v>
      </c>
      <c r="N1352" s="116">
        <v>161.4</v>
      </c>
      <c r="O1352" s="116">
        <v>150.5</v>
      </c>
      <c r="P1352" s="116">
        <v>155.6</v>
      </c>
      <c r="Q1352" s="116">
        <v>156.1</v>
      </c>
      <c r="R1352">
        <v>148720</v>
      </c>
    </row>
    <row r="1353" spans="1:18" x14ac:dyDescent="0.25">
      <c r="A1353" s="170">
        <v>44039</v>
      </c>
      <c r="B1353" s="116">
        <v>153.94999999999999</v>
      </c>
      <c r="C1353" s="116">
        <v>150.25</v>
      </c>
      <c r="D1353" s="116">
        <v>145.25</v>
      </c>
      <c r="E1353" s="116">
        <v>149.35</v>
      </c>
      <c r="F1353" s="116">
        <v>150.25</v>
      </c>
      <c r="G1353">
        <v>10891</v>
      </c>
      <c r="H1353" s="116"/>
      <c r="I1353" s="116"/>
      <c r="L1353" s="170">
        <v>44008</v>
      </c>
      <c r="M1353" s="116">
        <v>156.30000000000001</v>
      </c>
      <c r="N1353" s="116">
        <v>161</v>
      </c>
      <c r="O1353" s="116">
        <v>155.75</v>
      </c>
      <c r="P1353" s="116">
        <v>160.9</v>
      </c>
      <c r="Q1353" s="116">
        <v>156.30000000000001</v>
      </c>
      <c r="R1353">
        <v>86033</v>
      </c>
    </row>
    <row r="1354" spans="1:18" x14ac:dyDescent="0.25">
      <c r="A1354" s="170">
        <v>44040</v>
      </c>
      <c r="B1354" s="116">
        <v>152</v>
      </c>
      <c r="C1354" s="116">
        <v>151.69999999999999</v>
      </c>
      <c r="D1354" s="116">
        <v>145.30000000000001</v>
      </c>
      <c r="E1354" s="116">
        <v>147</v>
      </c>
      <c r="F1354" s="116">
        <v>151.69999999999999</v>
      </c>
      <c r="G1354">
        <v>10318</v>
      </c>
      <c r="H1354" s="116"/>
      <c r="I1354" s="116"/>
      <c r="L1354" s="170">
        <v>44011</v>
      </c>
      <c r="M1354" s="116">
        <v>165.45</v>
      </c>
      <c r="N1354" s="116">
        <v>167.4</v>
      </c>
      <c r="O1354" s="116">
        <v>154.1</v>
      </c>
      <c r="P1354" s="116">
        <v>156</v>
      </c>
      <c r="Q1354" s="116">
        <v>165.45</v>
      </c>
      <c r="R1354">
        <v>571437</v>
      </c>
    </row>
    <row r="1355" spans="1:18" x14ac:dyDescent="0.25">
      <c r="A1355" s="170">
        <v>44041</v>
      </c>
      <c r="B1355" s="116">
        <v>153.5</v>
      </c>
      <c r="C1355" s="116">
        <v>149.4</v>
      </c>
      <c r="D1355" s="116">
        <v>148.5</v>
      </c>
      <c r="E1355" s="116">
        <v>151.30000000000001</v>
      </c>
      <c r="F1355" s="116">
        <v>149.4</v>
      </c>
      <c r="G1355">
        <v>7825</v>
      </c>
      <c r="H1355" s="116"/>
      <c r="I1355" s="116"/>
      <c r="L1355" s="170">
        <v>44012</v>
      </c>
      <c r="M1355" s="116">
        <v>158.1</v>
      </c>
      <c r="N1355" s="116">
        <v>169.5</v>
      </c>
      <c r="O1355" s="116">
        <v>156</v>
      </c>
      <c r="P1355" s="116">
        <v>167.7</v>
      </c>
      <c r="Q1355" s="116">
        <v>158.1</v>
      </c>
      <c r="R1355">
        <v>165738</v>
      </c>
    </row>
    <row r="1356" spans="1:18" x14ac:dyDescent="0.25">
      <c r="A1356" s="170">
        <v>44042</v>
      </c>
      <c r="B1356" s="116">
        <v>149.85</v>
      </c>
      <c r="C1356" s="116">
        <v>145.05000000000001</v>
      </c>
      <c r="D1356" s="116">
        <v>144.05000000000001</v>
      </c>
      <c r="E1356" s="116">
        <v>149</v>
      </c>
      <c r="F1356" s="116">
        <v>145.05000000000001</v>
      </c>
      <c r="G1356">
        <v>3580</v>
      </c>
      <c r="H1356" s="116"/>
      <c r="I1356" s="116"/>
      <c r="L1356" s="170">
        <v>44013</v>
      </c>
      <c r="M1356" s="116">
        <v>156.4</v>
      </c>
      <c r="N1356" s="116">
        <v>160.80000000000001</v>
      </c>
      <c r="O1356" s="116">
        <v>155.5</v>
      </c>
      <c r="P1356" s="116">
        <v>158.80000000000001</v>
      </c>
      <c r="Q1356" s="116">
        <v>156.4</v>
      </c>
      <c r="R1356">
        <v>58829</v>
      </c>
    </row>
    <row r="1357" spans="1:18" x14ac:dyDescent="0.25">
      <c r="A1357" s="170">
        <v>44043</v>
      </c>
      <c r="B1357" s="116">
        <v>149.44999999999999</v>
      </c>
      <c r="C1357" s="116">
        <v>147.80000000000001</v>
      </c>
      <c r="D1357" s="116">
        <v>144.80000000000001</v>
      </c>
      <c r="E1357" s="116">
        <v>146.4</v>
      </c>
      <c r="F1357" s="116">
        <v>147.80000000000001</v>
      </c>
      <c r="G1357">
        <v>2440</v>
      </c>
      <c r="H1357" s="116"/>
      <c r="I1357" s="116"/>
      <c r="L1357" s="170">
        <v>44014</v>
      </c>
      <c r="M1357" s="116">
        <v>154.44999999999999</v>
      </c>
      <c r="N1357" s="116">
        <v>158.85</v>
      </c>
      <c r="O1357" s="116">
        <v>153.94999999999999</v>
      </c>
      <c r="P1357" s="116">
        <v>158.1</v>
      </c>
      <c r="Q1357" s="116">
        <v>154.44999999999999</v>
      </c>
      <c r="R1357">
        <v>71372</v>
      </c>
    </row>
    <row r="1358" spans="1:18" x14ac:dyDescent="0.25">
      <c r="A1358" s="170">
        <v>44046</v>
      </c>
      <c r="B1358" s="116">
        <v>148</v>
      </c>
      <c r="C1358" s="116">
        <v>146</v>
      </c>
      <c r="D1358" s="116">
        <v>146</v>
      </c>
      <c r="E1358" s="116">
        <v>147.9</v>
      </c>
      <c r="F1358" s="116">
        <v>146</v>
      </c>
      <c r="G1358">
        <v>370</v>
      </c>
      <c r="H1358" s="116"/>
      <c r="I1358" s="116"/>
      <c r="L1358" s="170">
        <v>44015</v>
      </c>
      <c r="M1358" s="116">
        <v>154.75</v>
      </c>
      <c r="N1358" s="116">
        <v>157.94999999999999</v>
      </c>
      <c r="O1358" s="116">
        <v>154</v>
      </c>
      <c r="P1358" s="116">
        <v>155.44999999999999</v>
      </c>
      <c r="Q1358" s="116">
        <v>154.75</v>
      </c>
      <c r="R1358">
        <v>70683</v>
      </c>
    </row>
    <row r="1359" spans="1:18" x14ac:dyDescent="0.25">
      <c r="A1359" s="170">
        <v>44047</v>
      </c>
      <c r="B1359" s="116">
        <v>149.30000000000001</v>
      </c>
      <c r="C1359" s="116">
        <v>148.6</v>
      </c>
      <c r="D1359" s="116">
        <v>148</v>
      </c>
      <c r="E1359" s="116">
        <v>148.35</v>
      </c>
      <c r="F1359" s="116">
        <v>148.6</v>
      </c>
      <c r="G1359">
        <v>2802</v>
      </c>
      <c r="H1359" s="116"/>
      <c r="I1359" s="116"/>
      <c r="L1359" s="170">
        <v>44018</v>
      </c>
      <c r="M1359" s="116">
        <v>156.1</v>
      </c>
      <c r="N1359" s="116">
        <v>164</v>
      </c>
      <c r="O1359" s="116">
        <v>153.44999999999999</v>
      </c>
      <c r="P1359" s="116">
        <v>155.35</v>
      </c>
      <c r="Q1359" s="116">
        <v>156.1</v>
      </c>
      <c r="R1359">
        <v>127726</v>
      </c>
    </row>
    <row r="1360" spans="1:18" x14ac:dyDescent="0.25">
      <c r="A1360" s="170">
        <v>44048</v>
      </c>
      <c r="B1360" s="116">
        <v>149.85</v>
      </c>
      <c r="C1360" s="116">
        <v>148.5</v>
      </c>
      <c r="D1360" s="116">
        <v>148.5</v>
      </c>
      <c r="E1360" s="116">
        <v>149.19999999999999</v>
      </c>
      <c r="F1360" s="116">
        <v>148.5</v>
      </c>
      <c r="G1360">
        <v>308</v>
      </c>
      <c r="H1360" s="116"/>
      <c r="I1360" s="116"/>
      <c r="L1360" s="170">
        <v>44019</v>
      </c>
      <c r="M1360" s="116">
        <v>154.75</v>
      </c>
      <c r="N1360" s="116">
        <v>157.4</v>
      </c>
      <c r="O1360" s="116">
        <v>154.1</v>
      </c>
      <c r="P1360" s="116">
        <v>157</v>
      </c>
      <c r="Q1360" s="116">
        <v>154.75</v>
      </c>
      <c r="R1360">
        <v>40450</v>
      </c>
    </row>
    <row r="1361" spans="1:18" x14ac:dyDescent="0.25">
      <c r="A1361" s="170">
        <v>44049</v>
      </c>
      <c r="B1361" s="116">
        <v>151</v>
      </c>
      <c r="C1361" s="116">
        <v>149.9</v>
      </c>
      <c r="D1361" s="116">
        <v>148.25</v>
      </c>
      <c r="E1361" s="116">
        <v>149</v>
      </c>
      <c r="F1361" s="116">
        <v>149.9</v>
      </c>
      <c r="G1361">
        <v>689</v>
      </c>
      <c r="H1361" s="116"/>
      <c r="I1361" s="116"/>
      <c r="L1361" s="170">
        <v>44020</v>
      </c>
      <c r="M1361" s="116">
        <v>152.85</v>
      </c>
      <c r="N1361" s="116">
        <v>157.55000000000001</v>
      </c>
      <c r="O1361" s="116">
        <v>152.05000000000001</v>
      </c>
      <c r="P1361" s="116">
        <v>153.5</v>
      </c>
      <c r="Q1361" s="116">
        <v>152.85</v>
      </c>
      <c r="R1361">
        <v>47226</v>
      </c>
    </row>
    <row r="1362" spans="1:18" x14ac:dyDescent="0.25">
      <c r="A1362" s="170">
        <v>44050</v>
      </c>
      <c r="B1362" s="116">
        <v>150.55000000000001</v>
      </c>
      <c r="C1362" s="116">
        <v>147.9</v>
      </c>
      <c r="D1362" s="116">
        <v>146.5</v>
      </c>
      <c r="E1362" s="116">
        <v>150.1</v>
      </c>
      <c r="F1362" s="116">
        <v>147.9</v>
      </c>
      <c r="G1362">
        <v>869</v>
      </c>
      <c r="H1362" s="116"/>
      <c r="I1362" s="116"/>
      <c r="L1362" s="170">
        <v>44021</v>
      </c>
      <c r="M1362" s="116">
        <v>153.35</v>
      </c>
      <c r="N1362" s="116">
        <v>155.9</v>
      </c>
      <c r="O1362" s="116">
        <v>152.85</v>
      </c>
      <c r="P1362" s="116">
        <v>152.85</v>
      </c>
      <c r="Q1362" s="116">
        <v>153.35</v>
      </c>
      <c r="R1362">
        <v>44105</v>
      </c>
    </row>
    <row r="1363" spans="1:18" x14ac:dyDescent="0.25">
      <c r="A1363" s="170">
        <v>44053</v>
      </c>
      <c r="B1363" s="116">
        <v>151.4</v>
      </c>
      <c r="C1363" s="116">
        <v>150.4</v>
      </c>
      <c r="D1363" s="116">
        <v>144.9</v>
      </c>
      <c r="E1363" s="116">
        <v>147</v>
      </c>
      <c r="F1363" s="116">
        <v>150.4</v>
      </c>
      <c r="G1363">
        <v>7910</v>
      </c>
      <c r="H1363" s="116"/>
      <c r="I1363" s="116"/>
      <c r="L1363" s="170">
        <v>44022</v>
      </c>
      <c r="M1363" s="116">
        <v>150.55000000000001</v>
      </c>
      <c r="N1363" s="116">
        <v>153.75</v>
      </c>
      <c r="O1363" s="116">
        <v>149.6</v>
      </c>
      <c r="P1363" s="116">
        <v>152</v>
      </c>
      <c r="Q1363" s="116">
        <v>150.55000000000001</v>
      </c>
      <c r="R1363">
        <v>57732</v>
      </c>
    </row>
    <row r="1364" spans="1:18" x14ac:dyDescent="0.25">
      <c r="A1364" s="170">
        <v>44054</v>
      </c>
      <c r="B1364" s="116">
        <v>159.5</v>
      </c>
      <c r="C1364" s="116">
        <v>155.69999999999999</v>
      </c>
      <c r="D1364" s="116">
        <v>150.4</v>
      </c>
      <c r="E1364" s="116">
        <v>152</v>
      </c>
      <c r="F1364" s="116">
        <v>155.69999999999999</v>
      </c>
      <c r="G1364">
        <v>20630</v>
      </c>
      <c r="H1364" s="116"/>
      <c r="I1364" s="116"/>
      <c r="L1364" s="170">
        <v>44025</v>
      </c>
      <c r="M1364" s="116">
        <v>152.6</v>
      </c>
      <c r="N1364" s="116">
        <v>154.44999999999999</v>
      </c>
      <c r="O1364" s="116">
        <v>151.1</v>
      </c>
      <c r="P1364" s="116">
        <v>151.9</v>
      </c>
      <c r="Q1364" s="116">
        <v>152.6</v>
      </c>
      <c r="R1364">
        <v>23484</v>
      </c>
    </row>
    <row r="1365" spans="1:18" x14ac:dyDescent="0.25">
      <c r="A1365" s="170">
        <v>44055</v>
      </c>
      <c r="B1365" s="116">
        <v>156.1</v>
      </c>
      <c r="C1365" s="116">
        <v>151</v>
      </c>
      <c r="D1365" s="116">
        <v>150</v>
      </c>
      <c r="E1365" s="116">
        <v>154.5</v>
      </c>
      <c r="F1365" s="116">
        <v>151</v>
      </c>
      <c r="G1365">
        <v>1697</v>
      </c>
      <c r="H1365" s="116"/>
      <c r="I1365" s="116"/>
      <c r="L1365" s="170">
        <v>44026</v>
      </c>
      <c r="M1365" s="116">
        <v>149.1</v>
      </c>
      <c r="N1365" s="116">
        <v>154.9</v>
      </c>
      <c r="O1365" s="116">
        <v>145.25</v>
      </c>
      <c r="P1365" s="116">
        <v>151</v>
      </c>
      <c r="Q1365" s="116">
        <v>149.1</v>
      </c>
      <c r="R1365">
        <v>61464</v>
      </c>
    </row>
    <row r="1366" spans="1:18" x14ac:dyDescent="0.25">
      <c r="A1366" s="170">
        <v>44056</v>
      </c>
      <c r="B1366" s="116">
        <v>154</v>
      </c>
      <c r="C1366" s="116">
        <v>153.65</v>
      </c>
      <c r="D1366" s="116">
        <v>149.9</v>
      </c>
      <c r="E1366" s="116">
        <v>149.9</v>
      </c>
      <c r="F1366" s="116">
        <v>153.65</v>
      </c>
      <c r="G1366">
        <v>2711</v>
      </c>
      <c r="H1366" s="116"/>
      <c r="I1366" s="116"/>
      <c r="L1366" s="170">
        <v>44027</v>
      </c>
      <c r="M1366" s="116">
        <v>153.69999999999999</v>
      </c>
      <c r="N1366" s="116">
        <v>155.44999999999999</v>
      </c>
      <c r="O1366" s="116">
        <v>149.05000000000001</v>
      </c>
      <c r="P1366" s="116">
        <v>149.05000000000001</v>
      </c>
      <c r="Q1366" s="116">
        <v>153.69999999999999</v>
      </c>
      <c r="R1366">
        <v>81484</v>
      </c>
    </row>
    <row r="1367" spans="1:18" x14ac:dyDescent="0.25">
      <c r="A1367" s="170">
        <v>44057</v>
      </c>
      <c r="B1367" s="116">
        <v>159</v>
      </c>
      <c r="C1367" s="116">
        <v>148.35</v>
      </c>
      <c r="D1367" s="116">
        <v>146.55000000000001</v>
      </c>
      <c r="E1367" s="116">
        <v>159</v>
      </c>
      <c r="F1367" s="116">
        <v>148.35</v>
      </c>
      <c r="G1367">
        <v>5826</v>
      </c>
      <c r="H1367" s="116"/>
      <c r="I1367" s="116"/>
      <c r="L1367" s="170">
        <v>44028</v>
      </c>
      <c r="M1367" s="116">
        <v>155</v>
      </c>
      <c r="N1367" s="116">
        <v>156.30000000000001</v>
      </c>
      <c r="O1367" s="116">
        <v>150.65</v>
      </c>
      <c r="P1367" s="116">
        <v>154.75</v>
      </c>
      <c r="Q1367" s="116">
        <v>155</v>
      </c>
      <c r="R1367">
        <v>83380</v>
      </c>
    </row>
    <row r="1368" spans="1:18" x14ac:dyDescent="0.25">
      <c r="A1368" s="170">
        <v>44060</v>
      </c>
      <c r="B1368" s="116">
        <v>155.25</v>
      </c>
      <c r="C1368" s="116">
        <v>154.6</v>
      </c>
      <c r="D1368" s="116">
        <v>148.94999999999999</v>
      </c>
      <c r="E1368" s="116">
        <v>148.94999999999999</v>
      </c>
      <c r="F1368" s="116">
        <v>154.6</v>
      </c>
      <c r="G1368">
        <v>1906</v>
      </c>
      <c r="H1368" s="116"/>
      <c r="I1368" s="116"/>
      <c r="L1368" s="170">
        <v>44029</v>
      </c>
      <c r="M1368" s="116">
        <v>153.30000000000001</v>
      </c>
      <c r="N1368" s="116">
        <v>159</v>
      </c>
      <c r="O1368" s="116">
        <v>152.65</v>
      </c>
      <c r="P1368" s="116">
        <v>155.65</v>
      </c>
      <c r="Q1368" s="116">
        <v>153.30000000000001</v>
      </c>
      <c r="R1368">
        <v>64325</v>
      </c>
    </row>
    <row r="1369" spans="1:18" x14ac:dyDescent="0.25">
      <c r="A1369" s="170">
        <v>44061</v>
      </c>
      <c r="B1369" s="116">
        <v>159.9</v>
      </c>
      <c r="C1369" s="116">
        <v>156.85</v>
      </c>
      <c r="D1369" s="116">
        <v>155</v>
      </c>
      <c r="E1369" s="116">
        <v>157.69999999999999</v>
      </c>
      <c r="F1369" s="116">
        <v>156.85</v>
      </c>
      <c r="G1369">
        <v>5743</v>
      </c>
      <c r="H1369" s="116"/>
      <c r="I1369" s="116"/>
      <c r="L1369" s="170">
        <v>44032</v>
      </c>
      <c r="M1369" s="116">
        <v>154</v>
      </c>
      <c r="N1369" s="116">
        <v>155</v>
      </c>
      <c r="O1369" s="116">
        <v>152</v>
      </c>
      <c r="P1369" s="116">
        <v>155</v>
      </c>
      <c r="Q1369" s="116">
        <v>154</v>
      </c>
      <c r="R1369">
        <v>66997</v>
      </c>
    </row>
    <row r="1370" spans="1:18" x14ac:dyDescent="0.25">
      <c r="A1370" s="170">
        <v>44062</v>
      </c>
      <c r="B1370" s="116">
        <v>161.15</v>
      </c>
      <c r="C1370" s="116">
        <v>159</v>
      </c>
      <c r="D1370" s="116">
        <v>155.69999999999999</v>
      </c>
      <c r="E1370" s="116">
        <v>159.9</v>
      </c>
      <c r="F1370" s="116">
        <v>159</v>
      </c>
      <c r="G1370">
        <v>2737</v>
      </c>
      <c r="H1370" s="116"/>
      <c r="I1370" s="116"/>
      <c r="L1370" s="170">
        <v>44033</v>
      </c>
      <c r="M1370" s="116">
        <v>151.5</v>
      </c>
      <c r="N1370" s="116">
        <v>155</v>
      </c>
      <c r="O1370" s="116">
        <v>150</v>
      </c>
      <c r="P1370" s="116">
        <v>154.15</v>
      </c>
      <c r="Q1370" s="116">
        <v>151.5</v>
      </c>
      <c r="R1370">
        <v>42925</v>
      </c>
    </row>
    <row r="1371" spans="1:18" x14ac:dyDescent="0.25">
      <c r="A1371" s="170">
        <v>44063</v>
      </c>
      <c r="B1371" s="116">
        <v>160.19999999999999</v>
      </c>
      <c r="C1371" s="116">
        <v>158.44999999999999</v>
      </c>
      <c r="D1371" s="116">
        <v>155.85</v>
      </c>
      <c r="E1371" s="116">
        <v>156.25</v>
      </c>
      <c r="F1371" s="116">
        <v>158.44999999999999</v>
      </c>
      <c r="G1371">
        <v>2779</v>
      </c>
      <c r="H1371" s="116"/>
      <c r="I1371" s="116"/>
      <c r="L1371" s="170">
        <v>44034</v>
      </c>
      <c r="M1371" s="116">
        <v>153.30000000000001</v>
      </c>
      <c r="N1371" s="116">
        <v>154.25</v>
      </c>
      <c r="O1371" s="116">
        <v>151.05000000000001</v>
      </c>
      <c r="P1371" s="116">
        <v>152.9</v>
      </c>
      <c r="Q1371" s="116">
        <v>153.30000000000001</v>
      </c>
      <c r="R1371">
        <v>83840</v>
      </c>
    </row>
    <row r="1372" spans="1:18" x14ac:dyDescent="0.25">
      <c r="A1372" s="170">
        <v>44064</v>
      </c>
      <c r="B1372" s="116">
        <v>161.1</v>
      </c>
      <c r="C1372" s="116">
        <v>157.35</v>
      </c>
      <c r="D1372" s="116">
        <v>156.65</v>
      </c>
      <c r="E1372" s="116">
        <v>161.1</v>
      </c>
      <c r="F1372" s="116">
        <v>157.35</v>
      </c>
      <c r="G1372">
        <v>2403</v>
      </c>
      <c r="H1372" s="116"/>
      <c r="I1372" s="116"/>
      <c r="L1372" s="170">
        <v>44035</v>
      </c>
      <c r="M1372" s="116">
        <v>152.9</v>
      </c>
      <c r="N1372" s="116">
        <v>156</v>
      </c>
      <c r="O1372" s="116">
        <v>151.35</v>
      </c>
      <c r="P1372" s="116">
        <v>153</v>
      </c>
      <c r="Q1372" s="116">
        <v>152.9</v>
      </c>
      <c r="R1372">
        <v>70852</v>
      </c>
    </row>
    <row r="1373" spans="1:18" x14ac:dyDescent="0.25">
      <c r="A1373" s="170">
        <v>44067</v>
      </c>
      <c r="B1373" s="116">
        <v>159.25</v>
      </c>
      <c r="C1373" s="116">
        <v>155.44999999999999</v>
      </c>
      <c r="D1373" s="116">
        <v>155.30000000000001</v>
      </c>
      <c r="E1373" s="116">
        <v>159.19999999999999</v>
      </c>
      <c r="F1373" s="116">
        <v>155.44999999999999</v>
      </c>
      <c r="G1373">
        <v>1790</v>
      </c>
      <c r="H1373" s="116"/>
      <c r="I1373" s="116"/>
      <c r="L1373" s="170">
        <v>44036</v>
      </c>
      <c r="M1373" s="116">
        <v>149</v>
      </c>
      <c r="N1373" s="116">
        <v>152.55000000000001</v>
      </c>
      <c r="O1373" s="116">
        <v>148.5</v>
      </c>
      <c r="P1373" s="116">
        <v>151.4</v>
      </c>
      <c r="Q1373" s="116">
        <v>149</v>
      </c>
      <c r="R1373">
        <v>61068</v>
      </c>
    </row>
    <row r="1374" spans="1:18" x14ac:dyDescent="0.25">
      <c r="A1374" s="170">
        <v>44068</v>
      </c>
      <c r="B1374" s="116">
        <v>156.75</v>
      </c>
      <c r="C1374" s="116">
        <v>156</v>
      </c>
      <c r="D1374" s="116">
        <v>155.25</v>
      </c>
      <c r="E1374" s="116">
        <v>155.25</v>
      </c>
      <c r="F1374" s="116">
        <v>156</v>
      </c>
      <c r="G1374">
        <v>4612</v>
      </c>
      <c r="H1374" s="116"/>
      <c r="I1374" s="116"/>
      <c r="L1374" s="170">
        <v>44039</v>
      </c>
      <c r="M1374" s="116">
        <v>149.75</v>
      </c>
      <c r="N1374" s="116">
        <v>153.80000000000001</v>
      </c>
      <c r="O1374" s="116">
        <v>148.19999999999999</v>
      </c>
      <c r="P1374" s="116">
        <v>151.35</v>
      </c>
      <c r="Q1374" s="116">
        <v>149.75</v>
      </c>
      <c r="R1374">
        <v>116653</v>
      </c>
    </row>
    <row r="1375" spans="1:18" x14ac:dyDescent="0.25">
      <c r="A1375" s="170">
        <v>44069</v>
      </c>
      <c r="B1375" s="116">
        <v>156.69999999999999</v>
      </c>
      <c r="C1375" s="116">
        <v>154.4</v>
      </c>
      <c r="D1375" s="116">
        <v>151.94999999999999</v>
      </c>
      <c r="E1375" s="116">
        <v>156.5</v>
      </c>
      <c r="F1375" s="116">
        <v>154.4</v>
      </c>
      <c r="G1375">
        <v>3069</v>
      </c>
      <c r="H1375" s="116"/>
      <c r="I1375" s="116"/>
      <c r="L1375" s="170">
        <v>44040</v>
      </c>
      <c r="M1375" s="116">
        <v>151.25</v>
      </c>
      <c r="N1375" s="116">
        <v>152.05000000000001</v>
      </c>
      <c r="O1375" s="116">
        <v>146</v>
      </c>
      <c r="P1375" s="116">
        <v>146.55000000000001</v>
      </c>
      <c r="Q1375" s="116">
        <v>151.25</v>
      </c>
      <c r="R1375">
        <v>79099</v>
      </c>
    </row>
    <row r="1376" spans="1:18" x14ac:dyDescent="0.25">
      <c r="A1376" s="170">
        <v>44070</v>
      </c>
      <c r="B1376" s="116">
        <v>156.35</v>
      </c>
      <c r="C1376" s="116">
        <v>153.55000000000001</v>
      </c>
      <c r="D1376" s="116">
        <v>150.75</v>
      </c>
      <c r="E1376" s="116">
        <v>154.1</v>
      </c>
      <c r="F1376" s="116">
        <v>153.55000000000001</v>
      </c>
      <c r="G1376">
        <v>3252</v>
      </c>
      <c r="H1376" s="116"/>
      <c r="I1376" s="116"/>
      <c r="L1376" s="170">
        <v>44041</v>
      </c>
      <c r="M1376" s="116">
        <v>149.15</v>
      </c>
      <c r="N1376" s="116">
        <v>154</v>
      </c>
      <c r="O1376" s="116">
        <v>148.05000000000001</v>
      </c>
      <c r="P1376" s="116">
        <v>148.05000000000001</v>
      </c>
      <c r="Q1376" s="116">
        <v>149.15</v>
      </c>
      <c r="R1376">
        <v>58685</v>
      </c>
    </row>
    <row r="1377" spans="1:18" x14ac:dyDescent="0.25">
      <c r="A1377" s="170">
        <v>44071</v>
      </c>
      <c r="B1377" s="116">
        <v>155</v>
      </c>
      <c r="C1377" s="116">
        <v>153.44999999999999</v>
      </c>
      <c r="D1377" s="116">
        <v>151.55000000000001</v>
      </c>
      <c r="E1377" s="116">
        <v>153.75</v>
      </c>
      <c r="F1377" s="116">
        <v>153.44999999999999</v>
      </c>
      <c r="G1377">
        <v>1480</v>
      </c>
      <c r="H1377" s="116"/>
      <c r="I1377" s="116"/>
      <c r="L1377" s="170">
        <v>44042</v>
      </c>
      <c r="M1377" s="116">
        <v>144.85</v>
      </c>
      <c r="N1377" s="116">
        <v>150.5</v>
      </c>
      <c r="O1377" s="116">
        <v>143.5</v>
      </c>
      <c r="P1377" s="116">
        <v>148.1</v>
      </c>
      <c r="Q1377" s="116">
        <v>144.85</v>
      </c>
      <c r="R1377">
        <v>45227</v>
      </c>
    </row>
    <row r="1378" spans="1:18" x14ac:dyDescent="0.25">
      <c r="A1378" s="170">
        <v>44074</v>
      </c>
      <c r="B1378" s="116">
        <v>154.55000000000001</v>
      </c>
      <c r="C1378" s="116">
        <v>151.19999999999999</v>
      </c>
      <c r="D1378" s="116">
        <v>146.05000000000001</v>
      </c>
      <c r="E1378" s="116">
        <v>153.44999999999999</v>
      </c>
      <c r="F1378" s="116">
        <v>151.19999999999999</v>
      </c>
      <c r="G1378">
        <v>12608</v>
      </c>
      <c r="H1378" s="116"/>
      <c r="I1378" s="116"/>
      <c r="L1378" s="170">
        <v>44043</v>
      </c>
      <c r="M1378" s="116">
        <v>148.35</v>
      </c>
      <c r="N1378" s="116">
        <v>149.69999999999999</v>
      </c>
      <c r="O1378" s="116">
        <v>144.25</v>
      </c>
      <c r="P1378" s="116">
        <v>146.35</v>
      </c>
      <c r="Q1378" s="116">
        <v>148.35</v>
      </c>
      <c r="R1378">
        <v>43985</v>
      </c>
    </row>
    <row r="1379" spans="1:18" x14ac:dyDescent="0.25">
      <c r="A1379" s="170">
        <v>44075</v>
      </c>
      <c r="B1379" s="116">
        <v>151.15</v>
      </c>
      <c r="C1379" s="116">
        <v>149.85</v>
      </c>
      <c r="D1379" s="116">
        <v>144</v>
      </c>
      <c r="E1379" s="116">
        <v>151.15</v>
      </c>
      <c r="F1379" s="116">
        <v>149.85</v>
      </c>
      <c r="G1379">
        <v>3767</v>
      </c>
      <c r="H1379" s="116"/>
      <c r="I1379" s="116"/>
      <c r="L1379" s="170">
        <v>44046</v>
      </c>
      <c r="M1379" s="116">
        <v>146.30000000000001</v>
      </c>
      <c r="N1379" s="116">
        <v>148</v>
      </c>
      <c r="O1379" s="116">
        <v>146.1</v>
      </c>
      <c r="P1379" s="116">
        <v>147.94999999999999</v>
      </c>
      <c r="Q1379" s="116">
        <v>146.30000000000001</v>
      </c>
      <c r="R1379">
        <v>13978</v>
      </c>
    </row>
    <row r="1380" spans="1:18" x14ac:dyDescent="0.25">
      <c r="A1380" s="170">
        <v>44076</v>
      </c>
      <c r="B1380" s="116">
        <v>153</v>
      </c>
      <c r="C1380" s="116">
        <v>149.55000000000001</v>
      </c>
      <c r="D1380" s="116">
        <v>144</v>
      </c>
      <c r="E1380" s="116">
        <v>149</v>
      </c>
      <c r="F1380" s="116">
        <v>149.55000000000001</v>
      </c>
      <c r="G1380">
        <v>1985</v>
      </c>
      <c r="H1380" s="116"/>
      <c r="I1380" s="116"/>
      <c r="L1380" s="170">
        <v>44047</v>
      </c>
      <c r="M1380" s="116">
        <v>149.30000000000001</v>
      </c>
      <c r="N1380" s="116">
        <v>150</v>
      </c>
      <c r="O1380" s="116">
        <v>146.44999999999999</v>
      </c>
      <c r="P1380" s="116">
        <v>146.85</v>
      </c>
      <c r="Q1380" s="116">
        <v>149.30000000000001</v>
      </c>
      <c r="R1380">
        <v>109946</v>
      </c>
    </row>
    <row r="1381" spans="1:18" x14ac:dyDescent="0.25">
      <c r="A1381" s="170">
        <v>44077</v>
      </c>
      <c r="B1381" s="116">
        <v>151.44999999999999</v>
      </c>
      <c r="C1381" s="116">
        <v>149.6</v>
      </c>
      <c r="D1381" s="116">
        <v>147.1</v>
      </c>
      <c r="E1381" s="116">
        <v>147.1</v>
      </c>
      <c r="F1381" s="116">
        <v>149.6</v>
      </c>
      <c r="G1381">
        <v>752</v>
      </c>
      <c r="H1381" s="116"/>
      <c r="I1381" s="116"/>
      <c r="L1381" s="170">
        <v>44048</v>
      </c>
      <c r="M1381" s="116">
        <v>149.4</v>
      </c>
      <c r="N1381" s="116">
        <v>152.30000000000001</v>
      </c>
      <c r="O1381" s="116">
        <v>148.1</v>
      </c>
      <c r="P1381" s="116">
        <v>152.30000000000001</v>
      </c>
      <c r="Q1381" s="116">
        <v>149.4</v>
      </c>
      <c r="R1381">
        <v>18908</v>
      </c>
    </row>
    <row r="1382" spans="1:18" x14ac:dyDescent="0.25">
      <c r="A1382" s="170">
        <v>44078</v>
      </c>
      <c r="B1382" s="116">
        <v>151.55000000000001</v>
      </c>
      <c r="C1382" s="116">
        <v>149.4</v>
      </c>
      <c r="D1382" s="116">
        <v>147</v>
      </c>
      <c r="E1382" s="116">
        <v>147</v>
      </c>
      <c r="F1382" s="116">
        <v>149.4</v>
      </c>
      <c r="G1382">
        <v>3226</v>
      </c>
      <c r="H1382" s="116"/>
      <c r="I1382" s="116"/>
      <c r="L1382" s="170">
        <v>44049</v>
      </c>
      <c r="M1382" s="116">
        <v>150.05000000000001</v>
      </c>
      <c r="N1382" s="116">
        <v>150.9</v>
      </c>
      <c r="O1382" s="116">
        <v>148</v>
      </c>
      <c r="P1382" s="116">
        <v>148.05000000000001</v>
      </c>
      <c r="Q1382" s="116">
        <v>150.05000000000001</v>
      </c>
      <c r="R1382">
        <v>45787</v>
      </c>
    </row>
    <row r="1383" spans="1:18" x14ac:dyDescent="0.25">
      <c r="A1383" s="170">
        <v>44081</v>
      </c>
      <c r="B1383" s="116">
        <v>149</v>
      </c>
      <c r="C1383" s="116">
        <v>147.69999999999999</v>
      </c>
      <c r="D1383" s="116">
        <v>147.65</v>
      </c>
      <c r="E1383" s="116">
        <v>149</v>
      </c>
      <c r="F1383" s="116">
        <v>147.69999999999999</v>
      </c>
      <c r="G1383">
        <v>145</v>
      </c>
      <c r="H1383" s="116"/>
      <c r="I1383" s="116"/>
      <c r="L1383" s="170">
        <v>44050</v>
      </c>
      <c r="M1383" s="116">
        <v>147.65</v>
      </c>
      <c r="N1383" s="116">
        <v>150.75</v>
      </c>
      <c r="O1383" s="116">
        <v>146.1</v>
      </c>
      <c r="P1383" s="116">
        <v>150</v>
      </c>
      <c r="Q1383" s="116">
        <v>147.65</v>
      </c>
      <c r="R1383">
        <v>33224</v>
      </c>
    </row>
    <row r="1384" spans="1:18" x14ac:dyDescent="0.25">
      <c r="A1384" s="170">
        <v>44082</v>
      </c>
      <c r="B1384" s="116">
        <v>149.05000000000001</v>
      </c>
      <c r="C1384" s="116">
        <v>142.69999999999999</v>
      </c>
      <c r="D1384" s="116">
        <v>140.85</v>
      </c>
      <c r="E1384" s="116">
        <v>148.94999999999999</v>
      </c>
      <c r="F1384" s="116">
        <v>142.69999999999999</v>
      </c>
      <c r="G1384">
        <v>3922</v>
      </c>
      <c r="H1384" s="116"/>
      <c r="I1384" s="116"/>
      <c r="L1384" s="170">
        <v>44053</v>
      </c>
      <c r="M1384" s="116">
        <v>150.19999999999999</v>
      </c>
      <c r="N1384" s="116">
        <v>151.9</v>
      </c>
      <c r="O1384" s="116">
        <v>145</v>
      </c>
      <c r="P1384" s="116">
        <v>147.65</v>
      </c>
      <c r="Q1384" s="116">
        <v>150.19999999999999</v>
      </c>
      <c r="R1384">
        <v>95392</v>
      </c>
    </row>
    <row r="1385" spans="1:18" x14ac:dyDescent="0.25">
      <c r="A1385" s="170">
        <v>44083</v>
      </c>
      <c r="B1385" s="116">
        <v>145.9</v>
      </c>
      <c r="C1385" s="116">
        <v>144.55000000000001</v>
      </c>
      <c r="D1385" s="116">
        <v>140</v>
      </c>
      <c r="E1385" s="116">
        <v>143.1</v>
      </c>
      <c r="F1385" s="116">
        <v>144.55000000000001</v>
      </c>
      <c r="G1385">
        <v>5280</v>
      </c>
      <c r="H1385" s="116"/>
      <c r="I1385" s="116"/>
      <c r="L1385" s="170">
        <v>44054</v>
      </c>
      <c r="M1385" s="116">
        <v>156.05000000000001</v>
      </c>
      <c r="N1385" s="116">
        <v>160</v>
      </c>
      <c r="O1385" s="116">
        <v>150.35</v>
      </c>
      <c r="P1385" s="116">
        <v>151.4</v>
      </c>
      <c r="Q1385" s="116">
        <v>156.05000000000001</v>
      </c>
      <c r="R1385">
        <v>186570</v>
      </c>
    </row>
    <row r="1386" spans="1:18" x14ac:dyDescent="0.25">
      <c r="A1386" s="170">
        <v>44084</v>
      </c>
      <c r="B1386" s="116">
        <v>148.05000000000001</v>
      </c>
      <c r="C1386" s="116">
        <v>146.1</v>
      </c>
      <c r="D1386" s="116">
        <v>144.5</v>
      </c>
      <c r="E1386" s="116">
        <v>147</v>
      </c>
      <c r="F1386" s="116">
        <v>146.1</v>
      </c>
      <c r="G1386">
        <v>6609</v>
      </c>
      <c r="H1386" s="116"/>
      <c r="I1386" s="116"/>
      <c r="L1386" s="170">
        <v>44055</v>
      </c>
      <c r="M1386" s="116">
        <v>150.80000000000001</v>
      </c>
      <c r="N1386" s="116">
        <v>156.25</v>
      </c>
      <c r="O1386" s="116">
        <v>150.05000000000001</v>
      </c>
      <c r="P1386" s="116">
        <v>156.19999999999999</v>
      </c>
      <c r="Q1386" s="116">
        <v>150.80000000000001</v>
      </c>
      <c r="R1386">
        <v>46977</v>
      </c>
    </row>
    <row r="1387" spans="1:18" x14ac:dyDescent="0.25">
      <c r="A1387" s="170">
        <v>44085</v>
      </c>
      <c r="B1387" s="116">
        <v>146.55000000000001</v>
      </c>
      <c r="C1387" s="116">
        <v>144.94999999999999</v>
      </c>
      <c r="D1387" s="116">
        <v>144.44999999999999</v>
      </c>
      <c r="E1387" s="116">
        <v>146.55000000000001</v>
      </c>
      <c r="F1387" s="116">
        <v>144.94999999999999</v>
      </c>
      <c r="G1387">
        <v>328</v>
      </c>
      <c r="H1387" s="116"/>
      <c r="I1387" s="116"/>
      <c r="L1387" s="170">
        <v>44056</v>
      </c>
      <c r="M1387" s="116">
        <v>153</v>
      </c>
      <c r="N1387" s="116">
        <v>154.55000000000001</v>
      </c>
      <c r="O1387" s="116">
        <v>150</v>
      </c>
      <c r="P1387" s="116">
        <v>150.1</v>
      </c>
      <c r="Q1387" s="116">
        <v>153</v>
      </c>
      <c r="R1387">
        <v>66275</v>
      </c>
    </row>
    <row r="1388" spans="1:18" x14ac:dyDescent="0.25">
      <c r="A1388" s="170">
        <v>44088</v>
      </c>
      <c r="B1388" s="116">
        <v>148.4</v>
      </c>
      <c r="C1388" s="116">
        <v>145.94999999999999</v>
      </c>
      <c r="D1388" s="116">
        <v>145</v>
      </c>
      <c r="E1388" s="116">
        <v>147</v>
      </c>
      <c r="F1388" s="116">
        <v>145.94999999999999</v>
      </c>
      <c r="G1388">
        <v>807</v>
      </c>
      <c r="H1388" s="116"/>
      <c r="I1388" s="116"/>
      <c r="L1388" s="170">
        <v>44057</v>
      </c>
      <c r="M1388" s="116">
        <v>148.6</v>
      </c>
      <c r="N1388" s="116">
        <v>156</v>
      </c>
      <c r="O1388" s="116">
        <v>145.75</v>
      </c>
      <c r="P1388" s="116">
        <v>152.05000000000001</v>
      </c>
      <c r="Q1388" s="116">
        <v>148.6</v>
      </c>
      <c r="R1388">
        <v>36839</v>
      </c>
    </row>
    <row r="1389" spans="1:18" x14ac:dyDescent="0.25">
      <c r="A1389" s="170">
        <v>44089</v>
      </c>
      <c r="B1389" s="116">
        <v>146.80000000000001</v>
      </c>
      <c r="C1389" s="116">
        <v>143.44999999999999</v>
      </c>
      <c r="D1389" s="116">
        <v>142</v>
      </c>
      <c r="E1389" s="116">
        <v>146.65</v>
      </c>
      <c r="F1389" s="116">
        <v>143.44999999999999</v>
      </c>
      <c r="G1389">
        <v>1690</v>
      </c>
      <c r="H1389" s="116"/>
      <c r="I1389" s="116"/>
      <c r="L1389" s="170">
        <v>44060</v>
      </c>
      <c r="M1389" s="116">
        <v>154.75</v>
      </c>
      <c r="N1389" s="116">
        <v>156</v>
      </c>
      <c r="O1389" s="116">
        <v>148.5</v>
      </c>
      <c r="P1389" s="116">
        <v>151.35</v>
      </c>
      <c r="Q1389" s="116">
        <v>154.75</v>
      </c>
      <c r="R1389">
        <v>78049</v>
      </c>
    </row>
    <row r="1390" spans="1:18" x14ac:dyDescent="0.25">
      <c r="A1390" s="170">
        <v>44090</v>
      </c>
      <c r="B1390" s="116">
        <v>146</v>
      </c>
      <c r="C1390" s="116">
        <v>144.25</v>
      </c>
      <c r="D1390" s="116">
        <v>143.4</v>
      </c>
      <c r="E1390" s="116">
        <v>145</v>
      </c>
      <c r="F1390" s="116">
        <v>144.25</v>
      </c>
      <c r="G1390">
        <v>1177</v>
      </c>
      <c r="H1390" s="116"/>
      <c r="I1390" s="116"/>
      <c r="L1390" s="170">
        <v>44061</v>
      </c>
      <c r="M1390" s="116">
        <v>157</v>
      </c>
      <c r="N1390" s="116">
        <v>159.9</v>
      </c>
      <c r="O1390" s="116">
        <v>153</v>
      </c>
      <c r="P1390" s="116">
        <v>156.4</v>
      </c>
      <c r="Q1390" s="116">
        <v>157</v>
      </c>
      <c r="R1390">
        <v>124650</v>
      </c>
    </row>
    <row r="1391" spans="1:18" x14ac:dyDescent="0.25">
      <c r="A1391" s="170">
        <v>44091</v>
      </c>
      <c r="B1391" s="116">
        <v>143.75</v>
      </c>
      <c r="C1391" s="116">
        <v>142.4</v>
      </c>
      <c r="D1391" s="116">
        <v>142.25</v>
      </c>
      <c r="E1391" s="116">
        <v>143.75</v>
      </c>
      <c r="F1391" s="116">
        <v>142.4</v>
      </c>
      <c r="G1391">
        <v>435</v>
      </c>
      <c r="H1391" s="116"/>
      <c r="I1391" s="116"/>
      <c r="L1391" s="170">
        <v>44062</v>
      </c>
      <c r="M1391" s="116">
        <v>158.94999999999999</v>
      </c>
      <c r="N1391" s="116">
        <v>162</v>
      </c>
      <c r="O1391" s="116">
        <v>156</v>
      </c>
      <c r="P1391" s="116">
        <v>158.44999999999999</v>
      </c>
      <c r="Q1391" s="116">
        <v>158.94999999999999</v>
      </c>
      <c r="R1391">
        <v>143133</v>
      </c>
    </row>
    <row r="1392" spans="1:18" x14ac:dyDescent="0.25">
      <c r="A1392" s="170">
        <v>44092</v>
      </c>
      <c r="B1392" s="116">
        <v>145.1</v>
      </c>
      <c r="C1392" s="116">
        <v>143</v>
      </c>
      <c r="D1392" s="116">
        <v>140</v>
      </c>
      <c r="E1392" s="116">
        <v>144.5</v>
      </c>
      <c r="F1392" s="116">
        <v>143</v>
      </c>
      <c r="G1392">
        <v>4647</v>
      </c>
      <c r="H1392" s="116"/>
      <c r="I1392" s="116"/>
      <c r="L1392" s="170">
        <v>44063</v>
      </c>
      <c r="M1392" s="116">
        <v>158.9</v>
      </c>
      <c r="N1392" s="116">
        <v>160</v>
      </c>
      <c r="O1392" s="116">
        <v>156</v>
      </c>
      <c r="P1392" s="116">
        <v>158</v>
      </c>
      <c r="Q1392" s="116">
        <v>158.9</v>
      </c>
      <c r="R1392">
        <v>60135</v>
      </c>
    </row>
    <row r="1393" spans="1:18" x14ac:dyDescent="0.25">
      <c r="A1393" s="170">
        <v>44095</v>
      </c>
      <c r="B1393" s="116">
        <v>143.85</v>
      </c>
      <c r="C1393" s="116">
        <v>138.4</v>
      </c>
      <c r="D1393" s="116">
        <v>138</v>
      </c>
      <c r="E1393" s="116">
        <v>143.44999999999999</v>
      </c>
      <c r="F1393" s="116">
        <v>138.4</v>
      </c>
      <c r="G1393">
        <v>3302</v>
      </c>
      <c r="H1393" s="116"/>
      <c r="I1393" s="116"/>
      <c r="L1393" s="170">
        <v>44064</v>
      </c>
      <c r="M1393" s="116">
        <v>157.55000000000001</v>
      </c>
      <c r="N1393" s="116">
        <v>162</v>
      </c>
      <c r="O1393" s="116">
        <v>156</v>
      </c>
      <c r="P1393" s="116">
        <v>158.19999999999999</v>
      </c>
      <c r="Q1393" s="116">
        <v>157.55000000000001</v>
      </c>
      <c r="R1393">
        <v>68036</v>
      </c>
    </row>
    <row r="1394" spans="1:18" x14ac:dyDescent="0.25">
      <c r="A1394" s="170">
        <v>44096</v>
      </c>
      <c r="B1394" s="116">
        <v>138.5</v>
      </c>
      <c r="C1394" s="116">
        <v>136.25</v>
      </c>
      <c r="D1394" s="116">
        <v>133.05000000000001</v>
      </c>
      <c r="E1394" s="116">
        <v>138.5</v>
      </c>
      <c r="F1394" s="116">
        <v>136.25</v>
      </c>
      <c r="G1394">
        <v>1634</v>
      </c>
      <c r="H1394" s="116"/>
      <c r="I1394" s="116"/>
      <c r="L1394" s="170">
        <v>44067</v>
      </c>
      <c r="M1394" s="116">
        <v>155.6</v>
      </c>
      <c r="N1394" s="116">
        <v>159.9</v>
      </c>
      <c r="O1394" s="116">
        <v>155.1</v>
      </c>
      <c r="P1394" s="116">
        <v>158.5</v>
      </c>
      <c r="Q1394" s="116">
        <v>155.6</v>
      </c>
      <c r="R1394">
        <v>36172</v>
      </c>
    </row>
    <row r="1395" spans="1:18" x14ac:dyDescent="0.25">
      <c r="A1395" s="170">
        <v>44097</v>
      </c>
      <c r="B1395" s="116">
        <v>138.80000000000001</v>
      </c>
      <c r="C1395" s="116">
        <v>136.44999999999999</v>
      </c>
      <c r="D1395" s="116">
        <v>136.1</v>
      </c>
      <c r="E1395" s="116">
        <v>137.69999999999999</v>
      </c>
      <c r="F1395" s="116">
        <v>136.44999999999999</v>
      </c>
      <c r="G1395">
        <v>707</v>
      </c>
      <c r="H1395" s="116"/>
      <c r="I1395" s="116"/>
      <c r="L1395" s="170">
        <v>44068</v>
      </c>
      <c r="M1395" s="116">
        <v>156.1</v>
      </c>
      <c r="N1395" s="116">
        <v>157</v>
      </c>
      <c r="O1395" s="116">
        <v>155</v>
      </c>
      <c r="P1395" s="116">
        <v>156</v>
      </c>
      <c r="Q1395" s="116">
        <v>156.1</v>
      </c>
      <c r="R1395">
        <v>84785</v>
      </c>
    </row>
    <row r="1396" spans="1:18" x14ac:dyDescent="0.25">
      <c r="A1396" s="170">
        <v>44098</v>
      </c>
      <c r="B1396" s="116">
        <v>134.19999999999999</v>
      </c>
      <c r="C1396" s="116">
        <v>134.19999999999999</v>
      </c>
      <c r="D1396" s="116">
        <v>132.5</v>
      </c>
      <c r="E1396" s="116">
        <v>133.80000000000001</v>
      </c>
      <c r="F1396" s="116">
        <v>134.19999999999999</v>
      </c>
      <c r="G1396">
        <v>105</v>
      </c>
      <c r="H1396" s="116"/>
      <c r="I1396" s="116"/>
      <c r="L1396" s="170">
        <v>44069</v>
      </c>
      <c r="M1396" s="116">
        <v>154.19999999999999</v>
      </c>
      <c r="N1396" s="116">
        <v>157.05000000000001</v>
      </c>
      <c r="O1396" s="116">
        <v>152.25</v>
      </c>
      <c r="P1396" s="116">
        <v>156.4</v>
      </c>
      <c r="Q1396" s="116">
        <v>154.19999999999999</v>
      </c>
      <c r="R1396">
        <v>22477</v>
      </c>
    </row>
    <row r="1397" spans="1:18" x14ac:dyDescent="0.25">
      <c r="A1397" s="170">
        <v>44099</v>
      </c>
      <c r="B1397" s="116">
        <v>142</v>
      </c>
      <c r="C1397" s="116">
        <v>140.80000000000001</v>
      </c>
      <c r="D1397" s="116">
        <v>133.4</v>
      </c>
      <c r="E1397" s="116">
        <v>136.5</v>
      </c>
      <c r="F1397" s="116">
        <v>140.80000000000001</v>
      </c>
      <c r="G1397">
        <v>901</v>
      </c>
      <c r="H1397" s="116"/>
      <c r="I1397" s="116"/>
      <c r="L1397" s="170">
        <v>44070</v>
      </c>
      <c r="M1397" s="116">
        <v>153.65</v>
      </c>
      <c r="N1397" s="116">
        <v>156.4</v>
      </c>
      <c r="O1397" s="116">
        <v>150.05000000000001</v>
      </c>
      <c r="P1397" s="116">
        <v>155.30000000000001</v>
      </c>
      <c r="Q1397" s="116">
        <v>153.65</v>
      </c>
      <c r="R1397">
        <v>62862</v>
      </c>
    </row>
    <row r="1398" spans="1:18" x14ac:dyDescent="0.25">
      <c r="A1398" s="170">
        <v>44102</v>
      </c>
      <c r="B1398" s="116">
        <v>141.80000000000001</v>
      </c>
      <c r="C1398" s="116">
        <v>139.30000000000001</v>
      </c>
      <c r="D1398" s="116">
        <v>132.35</v>
      </c>
      <c r="E1398" s="116">
        <v>132.35</v>
      </c>
      <c r="F1398" s="116">
        <v>139.30000000000001</v>
      </c>
      <c r="G1398">
        <v>783</v>
      </c>
      <c r="H1398" s="116"/>
      <c r="I1398" s="116"/>
      <c r="L1398" s="170">
        <v>44071</v>
      </c>
      <c r="M1398" s="116">
        <v>152.85</v>
      </c>
      <c r="N1398" s="116">
        <v>156.65</v>
      </c>
      <c r="O1398" s="116">
        <v>151.55000000000001</v>
      </c>
      <c r="P1398" s="116">
        <v>152.6</v>
      </c>
      <c r="Q1398" s="116">
        <v>152.85</v>
      </c>
      <c r="R1398">
        <v>32281</v>
      </c>
    </row>
    <row r="1399" spans="1:18" x14ac:dyDescent="0.25">
      <c r="A1399" s="170">
        <v>44103</v>
      </c>
      <c r="B1399" s="116">
        <v>140.1</v>
      </c>
      <c r="C1399" s="116">
        <v>136.85</v>
      </c>
      <c r="D1399" s="116">
        <v>136.85</v>
      </c>
      <c r="E1399" s="116">
        <v>140.1</v>
      </c>
      <c r="F1399" s="116">
        <v>136.85</v>
      </c>
      <c r="G1399">
        <v>1030</v>
      </c>
      <c r="H1399" s="116"/>
      <c r="I1399" s="116"/>
      <c r="L1399" s="170">
        <v>44074</v>
      </c>
      <c r="M1399" s="116">
        <v>150.65</v>
      </c>
      <c r="N1399" s="116">
        <v>156.65</v>
      </c>
      <c r="O1399" s="116">
        <v>146.1</v>
      </c>
      <c r="P1399" s="116">
        <v>156.65</v>
      </c>
      <c r="Q1399" s="116">
        <v>150.65</v>
      </c>
      <c r="R1399">
        <v>50001</v>
      </c>
    </row>
    <row r="1400" spans="1:18" x14ac:dyDescent="0.25">
      <c r="A1400" s="170">
        <v>44104</v>
      </c>
      <c r="B1400" s="116">
        <v>137.80000000000001</v>
      </c>
      <c r="C1400" s="116">
        <v>136.19999999999999</v>
      </c>
      <c r="D1400" s="116">
        <v>133</v>
      </c>
      <c r="E1400" s="116">
        <v>136.85</v>
      </c>
      <c r="F1400" s="116">
        <v>136.19999999999999</v>
      </c>
      <c r="G1400">
        <v>619</v>
      </c>
      <c r="H1400" s="116"/>
      <c r="I1400" s="116"/>
      <c r="L1400" s="170">
        <v>44075</v>
      </c>
      <c r="M1400" s="116">
        <v>149.4</v>
      </c>
      <c r="N1400" s="116">
        <v>153.6</v>
      </c>
      <c r="O1400" s="116">
        <v>146.9</v>
      </c>
      <c r="P1400" s="116">
        <v>150.15</v>
      </c>
      <c r="Q1400" s="116">
        <v>149.4</v>
      </c>
      <c r="R1400">
        <v>21868</v>
      </c>
    </row>
    <row r="1401" spans="1:18" x14ac:dyDescent="0.25">
      <c r="A1401" s="170">
        <v>44105</v>
      </c>
      <c r="B1401" s="116">
        <v>138</v>
      </c>
      <c r="C1401" s="116">
        <v>137.75</v>
      </c>
      <c r="D1401" s="116">
        <v>137.6</v>
      </c>
      <c r="E1401" s="116">
        <v>138</v>
      </c>
      <c r="F1401" s="116">
        <v>137.75</v>
      </c>
      <c r="G1401">
        <v>213</v>
      </c>
      <c r="H1401" s="116"/>
      <c r="I1401" s="116"/>
      <c r="L1401" s="170">
        <v>44076</v>
      </c>
      <c r="M1401" s="116">
        <v>149.1</v>
      </c>
      <c r="N1401" s="116">
        <v>153.1</v>
      </c>
      <c r="O1401" s="116">
        <v>147.44999999999999</v>
      </c>
      <c r="P1401" s="116">
        <v>148.05000000000001</v>
      </c>
      <c r="Q1401" s="116">
        <v>149.1</v>
      </c>
      <c r="R1401">
        <v>7119</v>
      </c>
    </row>
    <row r="1402" spans="1:18" x14ac:dyDescent="0.25">
      <c r="A1402" s="170">
        <v>44109</v>
      </c>
      <c r="B1402" s="116">
        <v>138</v>
      </c>
      <c r="C1402" s="116">
        <v>135.25</v>
      </c>
      <c r="D1402" s="116">
        <v>132</v>
      </c>
      <c r="E1402" s="116">
        <v>138</v>
      </c>
      <c r="F1402" s="116">
        <v>135.25</v>
      </c>
      <c r="G1402">
        <v>735</v>
      </c>
      <c r="H1402" s="116"/>
      <c r="I1402" s="116"/>
      <c r="L1402" s="170">
        <v>44077</v>
      </c>
      <c r="M1402" s="116">
        <v>149.4</v>
      </c>
      <c r="N1402" s="116">
        <v>152.35</v>
      </c>
      <c r="O1402" s="116">
        <v>149.05000000000001</v>
      </c>
      <c r="P1402" s="116">
        <v>149.5</v>
      </c>
      <c r="Q1402" s="116">
        <v>149.4</v>
      </c>
      <c r="R1402">
        <v>12594</v>
      </c>
    </row>
    <row r="1403" spans="1:18" x14ac:dyDescent="0.25">
      <c r="A1403" s="170">
        <v>44110</v>
      </c>
      <c r="B1403" s="116">
        <v>137.80000000000001</v>
      </c>
      <c r="C1403" s="116">
        <v>136.9</v>
      </c>
      <c r="D1403" s="116">
        <v>134.30000000000001</v>
      </c>
      <c r="E1403" s="116">
        <v>136.1</v>
      </c>
      <c r="F1403" s="116">
        <v>136.9</v>
      </c>
      <c r="G1403">
        <v>2737</v>
      </c>
      <c r="H1403" s="116"/>
      <c r="I1403" s="116"/>
      <c r="L1403" s="170">
        <v>44078</v>
      </c>
      <c r="M1403" s="116">
        <v>149.6</v>
      </c>
      <c r="N1403" s="116">
        <v>151.55000000000001</v>
      </c>
      <c r="O1403" s="116">
        <v>146.94999999999999</v>
      </c>
      <c r="P1403" s="116">
        <v>149</v>
      </c>
      <c r="Q1403" s="116">
        <v>149.6</v>
      </c>
      <c r="R1403">
        <v>21070</v>
      </c>
    </row>
    <row r="1404" spans="1:18" x14ac:dyDescent="0.25">
      <c r="A1404" s="170">
        <v>44111</v>
      </c>
      <c r="B1404" s="116">
        <v>138.94999999999999</v>
      </c>
      <c r="C1404" s="116">
        <v>136.5</v>
      </c>
      <c r="D1404" s="116">
        <v>135.15</v>
      </c>
      <c r="E1404" s="116">
        <v>135.25</v>
      </c>
      <c r="F1404" s="116">
        <v>136.5</v>
      </c>
      <c r="G1404">
        <v>1528</v>
      </c>
      <c r="H1404" s="116"/>
      <c r="I1404" s="116"/>
      <c r="L1404" s="170">
        <v>44081</v>
      </c>
      <c r="M1404" s="116">
        <v>147.55000000000001</v>
      </c>
      <c r="N1404" s="116">
        <v>153.9</v>
      </c>
      <c r="O1404" s="116">
        <v>147</v>
      </c>
      <c r="P1404" s="116">
        <v>153.9</v>
      </c>
      <c r="Q1404" s="116">
        <v>147.55000000000001</v>
      </c>
      <c r="R1404">
        <v>9533</v>
      </c>
    </row>
    <row r="1405" spans="1:18" x14ac:dyDescent="0.25">
      <c r="A1405" s="170">
        <v>44112</v>
      </c>
      <c r="B1405" s="116">
        <v>136.69999999999999</v>
      </c>
      <c r="C1405" s="116">
        <v>133.80000000000001</v>
      </c>
      <c r="D1405" s="116">
        <v>130.85</v>
      </c>
      <c r="E1405" s="116">
        <v>136.4</v>
      </c>
      <c r="F1405" s="116">
        <v>133.80000000000001</v>
      </c>
      <c r="G1405">
        <v>3550</v>
      </c>
      <c r="H1405" s="116"/>
      <c r="I1405" s="116"/>
      <c r="L1405" s="170">
        <v>44082</v>
      </c>
      <c r="M1405" s="116">
        <v>142.55000000000001</v>
      </c>
      <c r="N1405" s="116">
        <v>149.15</v>
      </c>
      <c r="O1405" s="116">
        <v>140.9</v>
      </c>
      <c r="P1405" s="116">
        <v>148.5</v>
      </c>
      <c r="Q1405" s="116">
        <v>142.55000000000001</v>
      </c>
      <c r="R1405">
        <v>24292</v>
      </c>
    </row>
    <row r="1406" spans="1:18" x14ac:dyDescent="0.25">
      <c r="A1406" s="170">
        <v>44113</v>
      </c>
      <c r="B1406" s="116">
        <v>136.1</v>
      </c>
      <c r="C1406" s="116">
        <v>135.1</v>
      </c>
      <c r="D1406" s="116">
        <v>132.30000000000001</v>
      </c>
      <c r="E1406" s="116">
        <v>133.30000000000001</v>
      </c>
      <c r="F1406" s="116">
        <v>135.1</v>
      </c>
      <c r="G1406">
        <v>3613</v>
      </c>
      <c r="H1406" s="116"/>
      <c r="I1406" s="116"/>
      <c r="L1406" s="170">
        <v>44083</v>
      </c>
      <c r="M1406" s="116">
        <v>145.35</v>
      </c>
      <c r="N1406" s="116">
        <v>147</v>
      </c>
      <c r="O1406" s="116">
        <v>138.44999999999999</v>
      </c>
      <c r="P1406" s="116">
        <v>145</v>
      </c>
      <c r="Q1406" s="116">
        <v>145.35</v>
      </c>
      <c r="R1406">
        <v>55171</v>
      </c>
    </row>
    <row r="1407" spans="1:18" x14ac:dyDescent="0.25">
      <c r="A1407" s="170">
        <v>44116</v>
      </c>
      <c r="B1407" s="116">
        <v>135.6</v>
      </c>
      <c r="C1407" s="116">
        <v>132</v>
      </c>
      <c r="D1407" s="116">
        <v>131.15</v>
      </c>
      <c r="E1407" s="116">
        <v>135.6</v>
      </c>
      <c r="F1407" s="116">
        <v>132</v>
      </c>
      <c r="G1407">
        <v>1536</v>
      </c>
      <c r="H1407" s="116"/>
      <c r="I1407" s="116"/>
      <c r="L1407" s="170">
        <v>44084</v>
      </c>
      <c r="M1407" s="116">
        <v>146.25</v>
      </c>
      <c r="N1407" s="116">
        <v>148.05000000000001</v>
      </c>
      <c r="O1407" s="116">
        <v>144.05000000000001</v>
      </c>
      <c r="P1407" s="116">
        <v>146.75</v>
      </c>
      <c r="Q1407" s="116">
        <v>146.25</v>
      </c>
      <c r="R1407">
        <v>41109</v>
      </c>
    </row>
    <row r="1408" spans="1:18" x14ac:dyDescent="0.25">
      <c r="A1408" s="170">
        <v>44117</v>
      </c>
      <c r="B1408" s="116">
        <v>137.85</v>
      </c>
      <c r="C1408" s="116">
        <v>136.35</v>
      </c>
      <c r="D1408" s="116">
        <v>129.69999999999999</v>
      </c>
      <c r="E1408" s="116">
        <v>133</v>
      </c>
      <c r="F1408" s="116">
        <v>136.35</v>
      </c>
      <c r="G1408">
        <v>1192</v>
      </c>
      <c r="H1408" s="116"/>
      <c r="I1408" s="116"/>
      <c r="L1408" s="170">
        <v>44085</v>
      </c>
      <c r="M1408" s="116">
        <v>144.85</v>
      </c>
      <c r="N1408" s="116">
        <v>147</v>
      </c>
      <c r="O1408" s="116">
        <v>144.15</v>
      </c>
      <c r="P1408" s="116">
        <v>147</v>
      </c>
      <c r="Q1408" s="116">
        <v>144.85</v>
      </c>
      <c r="R1408">
        <v>7157</v>
      </c>
    </row>
    <row r="1409" spans="1:18" x14ac:dyDescent="0.25">
      <c r="A1409" s="170">
        <v>44118</v>
      </c>
      <c r="B1409" s="116">
        <v>134.6</v>
      </c>
      <c r="C1409" s="116">
        <v>131.1</v>
      </c>
      <c r="D1409" s="116">
        <v>131.1</v>
      </c>
      <c r="E1409" s="116">
        <v>133.30000000000001</v>
      </c>
      <c r="F1409" s="116">
        <v>131.1</v>
      </c>
      <c r="G1409">
        <v>498</v>
      </c>
      <c r="H1409" s="116"/>
      <c r="I1409" s="116"/>
      <c r="L1409" s="170">
        <v>44088</v>
      </c>
      <c r="M1409" s="116">
        <v>145.55000000000001</v>
      </c>
      <c r="N1409" s="116">
        <v>148.55000000000001</v>
      </c>
      <c r="O1409" s="116">
        <v>145.05000000000001</v>
      </c>
      <c r="P1409" s="116">
        <v>148.4</v>
      </c>
      <c r="Q1409" s="116">
        <v>145.55000000000001</v>
      </c>
      <c r="R1409">
        <v>18227</v>
      </c>
    </row>
    <row r="1410" spans="1:18" x14ac:dyDescent="0.25">
      <c r="A1410" s="170">
        <v>44119</v>
      </c>
      <c r="B1410" s="116">
        <v>132.9</v>
      </c>
      <c r="C1410" s="116">
        <v>130.30000000000001</v>
      </c>
      <c r="D1410" s="116">
        <v>130</v>
      </c>
      <c r="E1410" s="116">
        <v>132.9</v>
      </c>
      <c r="F1410" s="116">
        <v>130.30000000000001</v>
      </c>
      <c r="G1410">
        <v>514</v>
      </c>
      <c r="H1410" s="116"/>
      <c r="I1410" s="116"/>
      <c r="L1410" s="170">
        <v>44089</v>
      </c>
      <c r="M1410" s="116">
        <v>144.6</v>
      </c>
      <c r="N1410" s="116">
        <v>146.9</v>
      </c>
      <c r="O1410" s="116">
        <v>142</v>
      </c>
      <c r="P1410" s="116">
        <v>146.9</v>
      </c>
      <c r="Q1410" s="116">
        <v>144.6</v>
      </c>
      <c r="R1410">
        <v>22610</v>
      </c>
    </row>
    <row r="1411" spans="1:18" x14ac:dyDescent="0.25">
      <c r="A1411" s="170">
        <v>44120</v>
      </c>
      <c r="B1411" s="116">
        <v>131.15</v>
      </c>
      <c r="C1411" s="116">
        <v>131</v>
      </c>
      <c r="D1411" s="116">
        <v>129.25</v>
      </c>
      <c r="E1411" s="116">
        <v>131.15</v>
      </c>
      <c r="F1411" s="116">
        <v>131</v>
      </c>
      <c r="G1411">
        <v>738</v>
      </c>
      <c r="H1411" s="116"/>
      <c r="I1411" s="116"/>
      <c r="L1411" s="170">
        <v>44090</v>
      </c>
      <c r="M1411" s="116">
        <v>144.4</v>
      </c>
      <c r="N1411" s="116">
        <v>146.5</v>
      </c>
      <c r="O1411" s="116">
        <v>143</v>
      </c>
      <c r="P1411" s="116">
        <v>146.05000000000001</v>
      </c>
      <c r="Q1411" s="116">
        <v>144.4</v>
      </c>
      <c r="R1411">
        <v>14379</v>
      </c>
    </row>
    <row r="1412" spans="1:18" x14ac:dyDescent="0.25">
      <c r="A1412" s="170">
        <v>44123</v>
      </c>
      <c r="B1412" s="116">
        <v>132.55000000000001</v>
      </c>
      <c r="C1412" s="116">
        <v>132.05000000000001</v>
      </c>
      <c r="D1412" s="116">
        <v>131.55000000000001</v>
      </c>
      <c r="E1412" s="116">
        <v>132.55000000000001</v>
      </c>
      <c r="F1412" s="116">
        <v>132.05000000000001</v>
      </c>
      <c r="G1412">
        <v>391</v>
      </c>
      <c r="H1412" s="116"/>
      <c r="I1412" s="116"/>
      <c r="L1412" s="170">
        <v>44091</v>
      </c>
      <c r="M1412" s="116">
        <v>142.35</v>
      </c>
      <c r="N1412" s="116">
        <v>145.30000000000001</v>
      </c>
      <c r="O1412" s="116">
        <v>141.69999999999999</v>
      </c>
      <c r="P1412" s="116">
        <v>143.85</v>
      </c>
      <c r="Q1412" s="116">
        <v>142.35</v>
      </c>
      <c r="R1412">
        <v>14463</v>
      </c>
    </row>
    <row r="1413" spans="1:18" x14ac:dyDescent="0.25">
      <c r="A1413" s="170">
        <v>44124</v>
      </c>
      <c r="B1413" s="116">
        <v>133.19999999999999</v>
      </c>
      <c r="C1413" s="116">
        <v>131.30000000000001</v>
      </c>
      <c r="D1413" s="116">
        <v>130.9</v>
      </c>
      <c r="E1413" s="116">
        <v>132.35</v>
      </c>
      <c r="F1413" s="116">
        <v>131.30000000000001</v>
      </c>
      <c r="G1413">
        <v>944</v>
      </c>
      <c r="H1413" s="116"/>
      <c r="I1413" s="116"/>
      <c r="L1413" s="170">
        <v>44092</v>
      </c>
      <c r="M1413" s="116">
        <v>142.55000000000001</v>
      </c>
      <c r="N1413" s="116">
        <v>145.65</v>
      </c>
      <c r="O1413" s="116">
        <v>141.1</v>
      </c>
      <c r="P1413" s="116">
        <v>142.80000000000001</v>
      </c>
      <c r="Q1413" s="116">
        <v>142.55000000000001</v>
      </c>
      <c r="R1413">
        <v>27144</v>
      </c>
    </row>
    <row r="1414" spans="1:18" x14ac:dyDescent="0.25">
      <c r="A1414" s="170">
        <v>44125</v>
      </c>
      <c r="B1414" s="116">
        <v>132.55000000000001</v>
      </c>
      <c r="C1414" s="116">
        <v>131.19999999999999</v>
      </c>
      <c r="D1414" s="116">
        <v>129.85</v>
      </c>
      <c r="E1414" s="116">
        <v>132.05000000000001</v>
      </c>
      <c r="F1414" s="116">
        <v>131.19999999999999</v>
      </c>
      <c r="G1414">
        <v>721</v>
      </c>
      <c r="H1414" s="116"/>
      <c r="I1414" s="116"/>
      <c r="L1414" s="170">
        <v>44095</v>
      </c>
      <c r="M1414" s="116">
        <v>138.30000000000001</v>
      </c>
      <c r="N1414" s="116">
        <v>143.30000000000001</v>
      </c>
      <c r="O1414" s="116">
        <v>137.44999999999999</v>
      </c>
      <c r="P1414" s="116">
        <v>143.1</v>
      </c>
      <c r="Q1414" s="116">
        <v>138.30000000000001</v>
      </c>
      <c r="R1414">
        <v>17672</v>
      </c>
    </row>
    <row r="1415" spans="1:18" x14ac:dyDescent="0.25">
      <c r="A1415" s="170">
        <v>44126</v>
      </c>
      <c r="B1415" s="116">
        <v>132.35</v>
      </c>
      <c r="C1415" s="116">
        <v>129.80000000000001</v>
      </c>
      <c r="D1415" s="116">
        <v>126</v>
      </c>
      <c r="E1415" s="116">
        <v>132.35</v>
      </c>
      <c r="F1415" s="116">
        <v>129.80000000000001</v>
      </c>
      <c r="G1415">
        <v>3955</v>
      </c>
      <c r="H1415" s="116"/>
      <c r="I1415" s="116"/>
      <c r="L1415" s="170">
        <v>44096</v>
      </c>
      <c r="M1415" s="116">
        <v>136.05000000000001</v>
      </c>
      <c r="N1415" s="116">
        <v>138.30000000000001</v>
      </c>
      <c r="O1415" s="116">
        <v>132</v>
      </c>
      <c r="P1415" s="116">
        <v>138.30000000000001</v>
      </c>
      <c r="Q1415" s="116">
        <v>136.05000000000001</v>
      </c>
      <c r="R1415">
        <v>14598</v>
      </c>
    </row>
    <row r="1416" spans="1:18" x14ac:dyDescent="0.25">
      <c r="A1416" s="170">
        <v>44127</v>
      </c>
      <c r="B1416" s="116">
        <v>131.25</v>
      </c>
      <c r="C1416" s="116">
        <v>130.05000000000001</v>
      </c>
      <c r="D1416" s="116">
        <v>129.80000000000001</v>
      </c>
      <c r="E1416" s="116">
        <v>130.30000000000001</v>
      </c>
      <c r="F1416" s="116">
        <v>130.05000000000001</v>
      </c>
      <c r="G1416">
        <v>1859</v>
      </c>
      <c r="H1416" s="116"/>
      <c r="I1416" s="116"/>
      <c r="L1416" s="170">
        <v>44097</v>
      </c>
      <c r="M1416" s="116">
        <v>136.5</v>
      </c>
      <c r="N1416" s="116">
        <v>139.25</v>
      </c>
      <c r="O1416" s="116">
        <v>135.4</v>
      </c>
      <c r="P1416" s="116">
        <v>137.80000000000001</v>
      </c>
      <c r="Q1416" s="116">
        <v>136.5</v>
      </c>
      <c r="R1416">
        <v>14811</v>
      </c>
    </row>
    <row r="1417" spans="1:18" x14ac:dyDescent="0.25">
      <c r="A1417" s="170">
        <v>44130</v>
      </c>
      <c r="B1417" s="116">
        <v>131</v>
      </c>
      <c r="C1417" s="116">
        <v>130.55000000000001</v>
      </c>
      <c r="D1417" s="116">
        <v>127.85</v>
      </c>
      <c r="E1417" s="116">
        <v>131</v>
      </c>
      <c r="F1417" s="116">
        <v>130.55000000000001</v>
      </c>
      <c r="G1417">
        <v>2385</v>
      </c>
      <c r="H1417" s="116"/>
      <c r="I1417" s="116"/>
      <c r="L1417" s="170">
        <v>44098</v>
      </c>
      <c r="M1417" s="116">
        <v>133.4</v>
      </c>
      <c r="N1417" s="116">
        <v>134.75</v>
      </c>
      <c r="O1417" s="116">
        <v>132</v>
      </c>
      <c r="P1417" s="116">
        <v>134</v>
      </c>
      <c r="Q1417" s="116">
        <v>133.4</v>
      </c>
      <c r="R1417">
        <v>8078</v>
      </c>
    </row>
    <row r="1418" spans="1:18" x14ac:dyDescent="0.25">
      <c r="A1418" s="170">
        <v>44131</v>
      </c>
      <c r="B1418" s="116">
        <v>130.9</v>
      </c>
      <c r="C1418" s="116">
        <v>129.4</v>
      </c>
      <c r="D1418" s="116">
        <v>126</v>
      </c>
      <c r="E1418" s="116">
        <v>130.6</v>
      </c>
      <c r="F1418" s="116">
        <v>129.4</v>
      </c>
      <c r="G1418">
        <v>2754</v>
      </c>
      <c r="H1418" s="116"/>
      <c r="I1418" s="116"/>
      <c r="L1418" s="170">
        <v>44099</v>
      </c>
      <c r="M1418" s="116">
        <v>141.6</v>
      </c>
      <c r="N1418" s="116">
        <v>142.80000000000001</v>
      </c>
      <c r="O1418" s="116">
        <v>133.30000000000001</v>
      </c>
      <c r="P1418" s="116">
        <v>136.94999999999999</v>
      </c>
      <c r="Q1418" s="116">
        <v>141.6</v>
      </c>
      <c r="R1418">
        <v>12955</v>
      </c>
    </row>
    <row r="1419" spans="1:18" x14ac:dyDescent="0.25">
      <c r="A1419" s="170">
        <v>44132</v>
      </c>
      <c r="B1419" s="116">
        <v>131.44999999999999</v>
      </c>
      <c r="C1419" s="116">
        <v>129.65</v>
      </c>
      <c r="D1419" s="116">
        <v>129.44999999999999</v>
      </c>
      <c r="E1419" s="116">
        <v>131.4</v>
      </c>
      <c r="F1419" s="116">
        <v>129.65</v>
      </c>
      <c r="G1419">
        <v>45</v>
      </c>
      <c r="H1419" s="116"/>
      <c r="I1419" s="116"/>
      <c r="L1419" s="170">
        <v>44102</v>
      </c>
      <c r="M1419" s="116">
        <v>139.80000000000001</v>
      </c>
      <c r="N1419" s="116">
        <v>141.15</v>
      </c>
      <c r="O1419" s="116">
        <v>138.5</v>
      </c>
      <c r="P1419" s="116">
        <v>140.5</v>
      </c>
      <c r="Q1419" s="116">
        <v>139.80000000000001</v>
      </c>
      <c r="R1419">
        <v>8520</v>
      </c>
    </row>
    <row r="1420" spans="1:18" x14ac:dyDescent="0.25">
      <c r="A1420" s="170">
        <v>44133</v>
      </c>
      <c r="B1420" s="116">
        <v>130.75</v>
      </c>
      <c r="C1420" s="116">
        <v>128.75</v>
      </c>
      <c r="D1420" s="116">
        <v>127.5</v>
      </c>
      <c r="E1420" s="116">
        <v>129.80000000000001</v>
      </c>
      <c r="F1420" s="116">
        <v>128.75</v>
      </c>
      <c r="G1420">
        <v>962</v>
      </c>
      <c r="H1420" s="116"/>
      <c r="I1420" s="116"/>
      <c r="L1420" s="170">
        <v>44103</v>
      </c>
      <c r="M1420" s="116">
        <v>136.75</v>
      </c>
      <c r="N1420" s="116">
        <v>140.5</v>
      </c>
      <c r="O1420" s="116">
        <v>136.1</v>
      </c>
      <c r="P1420" s="116">
        <v>138.80000000000001</v>
      </c>
      <c r="Q1420" s="116">
        <v>136.75</v>
      </c>
      <c r="R1420">
        <v>9686</v>
      </c>
    </row>
    <row r="1421" spans="1:18" x14ac:dyDescent="0.25">
      <c r="A1421" s="170">
        <v>44134</v>
      </c>
      <c r="B1421" s="116">
        <v>130.25</v>
      </c>
      <c r="C1421" s="116">
        <v>128.4</v>
      </c>
      <c r="D1421" s="116">
        <v>127.95</v>
      </c>
      <c r="E1421" s="116">
        <v>130.25</v>
      </c>
      <c r="F1421" s="116">
        <v>128.4</v>
      </c>
      <c r="G1421">
        <v>4577</v>
      </c>
      <c r="H1421" s="116"/>
      <c r="I1421" s="116"/>
      <c r="L1421" s="170">
        <v>44104</v>
      </c>
      <c r="M1421" s="116">
        <v>136.4</v>
      </c>
      <c r="N1421" s="116">
        <v>138.69999999999999</v>
      </c>
      <c r="O1421" s="116">
        <v>135.19999999999999</v>
      </c>
      <c r="P1421" s="116">
        <v>137.94999999999999</v>
      </c>
      <c r="Q1421" s="116">
        <v>136.4</v>
      </c>
      <c r="R1421">
        <v>7520</v>
      </c>
    </row>
    <row r="1422" spans="1:18" x14ac:dyDescent="0.25">
      <c r="A1422" s="170">
        <v>44137</v>
      </c>
      <c r="B1422" s="116">
        <v>128.44999999999999</v>
      </c>
      <c r="C1422" s="116">
        <v>127.9</v>
      </c>
      <c r="D1422" s="116">
        <v>127.15</v>
      </c>
      <c r="E1422" s="116">
        <v>127.5</v>
      </c>
      <c r="F1422" s="116">
        <v>127.9</v>
      </c>
      <c r="G1422">
        <v>965</v>
      </c>
      <c r="H1422" s="116"/>
      <c r="I1422" s="116"/>
      <c r="L1422" s="170">
        <v>44105</v>
      </c>
      <c r="M1422" s="116">
        <v>136.85</v>
      </c>
      <c r="N1422" s="116">
        <v>140.19999999999999</v>
      </c>
      <c r="O1422" s="116">
        <v>136.35</v>
      </c>
      <c r="P1422" s="116">
        <v>139</v>
      </c>
      <c r="Q1422" s="116">
        <v>136.85</v>
      </c>
      <c r="R1422">
        <v>11762</v>
      </c>
    </row>
    <row r="1423" spans="1:18" x14ac:dyDescent="0.25">
      <c r="A1423" s="170">
        <v>44138</v>
      </c>
      <c r="B1423" s="116">
        <v>129.55000000000001</v>
      </c>
      <c r="C1423" s="116">
        <v>128.85</v>
      </c>
      <c r="D1423" s="116">
        <v>128.5</v>
      </c>
      <c r="E1423" s="116">
        <v>129</v>
      </c>
      <c r="F1423" s="116">
        <v>128.85</v>
      </c>
      <c r="G1423">
        <v>204</v>
      </c>
      <c r="H1423" s="116"/>
      <c r="I1423" s="116"/>
      <c r="L1423" s="170">
        <v>44109</v>
      </c>
      <c r="M1423" s="116">
        <v>135</v>
      </c>
      <c r="N1423" s="116">
        <v>139.94999999999999</v>
      </c>
      <c r="O1423" s="116">
        <v>134.75</v>
      </c>
      <c r="P1423" s="116">
        <v>139.94999999999999</v>
      </c>
      <c r="Q1423" s="116">
        <v>135</v>
      </c>
      <c r="R1423">
        <v>9150</v>
      </c>
    </row>
    <row r="1424" spans="1:18" x14ac:dyDescent="0.25">
      <c r="A1424" s="170">
        <v>44139</v>
      </c>
      <c r="B1424" s="116">
        <v>129.30000000000001</v>
      </c>
      <c r="C1424" s="116">
        <v>129.30000000000001</v>
      </c>
      <c r="D1424" s="116">
        <v>129.30000000000001</v>
      </c>
      <c r="E1424" s="116">
        <v>129.30000000000001</v>
      </c>
      <c r="F1424" s="116">
        <v>129.30000000000001</v>
      </c>
      <c r="G1424">
        <v>28</v>
      </c>
      <c r="H1424" s="116"/>
      <c r="I1424" s="116"/>
      <c r="L1424" s="170">
        <v>44110</v>
      </c>
      <c r="M1424" s="116">
        <v>136.55000000000001</v>
      </c>
      <c r="N1424" s="116">
        <v>138</v>
      </c>
      <c r="O1424" s="116">
        <v>134.4</v>
      </c>
      <c r="P1424" s="116">
        <v>135.94999999999999</v>
      </c>
      <c r="Q1424" s="116">
        <v>136.55000000000001</v>
      </c>
      <c r="R1424">
        <v>39584</v>
      </c>
    </row>
    <row r="1425" spans="1:18" x14ac:dyDescent="0.25">
      <c r="A1425" s="170">
        <v>44140</v>
      </c>
      <c r="B1425" s="116">
        <v>130.30000000000001</v>
      </c>
      <c r="C1425" s="116">
        <v>128.94999999999999</v>
      </c>
      <c r="D1425" s="116">
        <v>127.6</v>
      </c>
      <c r="E1425" s="116">
        <v>130.30000000000001</v>
      </c>
      <c r="F1425" s="116">
        <v>128.94999999999999</v>
      </c>
      <c r="G1425">
        <v>872</v>
      </c>
      <c r="H1425" s="116"/>
      <c r="I1425" s="116"/>
      <c r="L1425" s="170">
        <v>44111</v>
      </c>
      <c r="M1425" s="116">
        <v>136.19999999999999</v>
      </c>
      <c r="N1425" s="116">
        <v>137.85</v>
      </c>
      <c r="O1425" s="116">
        <v>135.05000000000001</v>
      </c>
      <c r="P1425" s="116">
        <v>137.85</v>
      </c>
      <c r="Q1425" s="116">
        <v>136.19999999999999</v>
      </c>
      <c r="R1425">
        <v>8970</v>
      </c>
    </row>
    <row r="1426" spans="1:18" x14ac:dyDescent="0.25">
      <c r="A1426" s="170">
        <v>44141</v>
      </c>
      <c r="B1426" s="116">
        <v>130.55000000000001</v>
      </c>
      <c r="C1426" s="116">
        <v>129.15</v>
      </c>
      <c r="D1426" s="116">
        <v>129</v>
      </c>
      <c r="E1426" s="116">
        <v>129.94999999999999</v>
      </c>
      <c r="F1426" s="116">
        <v>129.15</v>
      </c>
      <c r="G1426">
        <v>586</v>
      </c>
      <c r="H1426" s="116"/>
      <c r="I1426" s="116"/>
      <c r="L1426" s="170">
        <v>44112</v>
      </c>
      <c r="M1426" s="116">
        <v>133.69999999999999</v>
      </c>
      <c r="N1426" s="116">
        <v>137.15</v>
      </c>
      <c r="O1426" s="116">
        <v>130.44999999999999</v>
      </c>
      <c r="P1426" s="116">
        <v>136.75</v>
      </c>
      <c r="Q1426" s="116">
        <v>133.69999999999999</v>
      </c>
      <c r="R1426">
        <v>114329</v>
      </c>
    </row>
    <row r="1427" spans="1:18" x14ac:dyDescent="0.25">
      <c r="A1427" s="170">
        <v>44144</v>
      </c>
      <c r="B1427" s="116">
        <v>131.44999999999999</v>
      </c>
      <c r="C1427" s="116">
        <v>129.5</v>
      </c>
      <c r="D1427" s="116">
        <v>127</v>
      </c>
      <c r="E1427" s="116">
        <v>128.9</v>
      </c>
      <c r="F1427" s="116">
        <v>129.5</v>
      </c>
      <c r="G1427">
        <v>2430</v>
      </c>
      <c r="H1427" s="116"/>
      <c r="I1427" s="116"/>
      <c r="L1427" s="170">
        <v>44113</v>
      </c>
      <c r="M1427" s="116">
        <v>135.69999999999999</v>
      </c>
      <c r="N1427" s="116">
        <v>137</v>
      </c>
      <c r="O1427" s="116">
        <v>132.4</v>
      </c>
      <c r="P1427" s="116">
        <v>134.9</v>
      </c>
      <c r="Q1427" s="116">
        <v>135.69999999999999</v>
      </c>
      <c r="R1427">
        <v>72909</v>
      </c>
    </row>
    <row r="1428" spans="1:18" x14ac:dyDescent="0.25">
      <c r="A1428" s="170">
        <v>44145</v>
      </c>
      <c r="B1428" s="116">
        <v>137.05000000000001</v>
      </c>
      <c r="C1428" s="116">
        <v>130.30000000000001</v>
      </c>
      <c r="D1428" s="116">
        <v>129.25</v>
      </c>
      <c r="E1428" s="116">
        <v>132.19999999999999</v>
      </c>
      <c r="F1428" s="116">
        <v>130.30000000000001</v>
      </c>
      <c r="G1428">
        <v>12826</v>
      </c>
      <c r="H1428" s="116"/>
      <c r="I1428" s="116"/>
      <c r="L1428" s="170">
        <v>44116</v>
      </c>
      <c r="M1428" s="116">
        <v>131.75</v>
      </c>
      <c r="N1428" s="116">
        <v>135</v>
      </c>
      <c r="O1428" s="116">
        <v>131</v>
      </c>
      <c r="P1428" s="116">
        <v>134.69999999999999</v>
      </c>
      <c r="Q1428" s="116">
        <v>131.75</v>
      </c>
      <c r="R1428">
        <v>17114</v>
      </c>
    </row>
    <row r="1429" spans="1:18" x14ac:dyDescent="0.25">
      <c r="A1429" s="170">
        <v>44146</v>
      </c>
      <c r="B1429" s="116">
        <v>131.94999999999999</v>
      </c>
      <c r="C1429" s="116">
        <v>129.6</v>
      </c>
      <c r="D1429" s="116">
        <v>126</v>
      </c>
      <c r="E1429" s="116">
        <v>130.5</v>
      </c>
      <c r="F1429" s="116">
        <v>129.6</v>
      </c>
      <c r="G1429">
        <v>3907</v>
      </c>
      <c r="H1429" s="116"/>
      <c r="I1429" s="116"/>
      <c r="L1429" s="170">
        <v>44117</v>
      </c>
      <c r="M1429" s="116">
        <v>136.85</v>
      </c>
      <c r="N1429" s="116">
        <v>144.44999999999999</v>
      </c>
      <c r="O1429" s="116">
        <v>129.19999999999999</v>
      </c>
      <c r="P1429" s="116">
        <v>132.65</v>
      </c>
      <c r="Q1429" s="116">
        <v>136.85</v>
      </c>
      <c r="R1429">
        <v>37338</v>
      </c>
    </row>
    <row r="1430" spans="1:18" x14ac:dyDescent="0.25">
      <c r="A1430" s="170">
        <v>44147</v>
      </c>
      <c r="B1430" s="116">
        <v>130.6</v>
      </c>
      <c r="C1430" s="116">
        <v>128.85</v>
      </c>
      <c r="D1430" s="116">
        <v>128.4</v>
      </c>
      <c r="E1430" s="116">
        <v>130.35</v>
      </c>
      <c r="F1430" s="116">
        <v>128.85</v>
      </c>
      <c r="G1430">
        <v>1208</v>
      </c>
      <c r="H1430" s="116"/>
      <c r="I1430" s="116"/>
      <c r="L1430" s="170">
        <v>44118</v>
      </c>
      <c r="M1430" s="116">
        <v>131.19999999999999</v>
      </c>
      <c r="N1430" s="116">
        <v>135.80000000000001</v>
      </c>
      <c r="O1430" s="116">
        <v>130.94999999999999</v>
      </c>
      <c r="P1430" s="116">
        <v>135</v>
      </c>
      <c r="Q1430" s="116">
        <v>131.19999999999999</v>
      </c>
      <c r="R1430">
        <v>20657</v>
      </c>
    </row>
    <row r="1431" spans="1:18" x14ac:dyDescent="0.25">
      <c r="A1431" s="170">
        <v>44148</v>
      </c>
      <c r="B1431" s="116">
        <v>131</v>
      </c>
      <c r="C1431" s="116">
        <v>128.80000000000001</v>
      </c>
      <c r="D1431" s="116">
        <v>127.7</v>
      </c>
      <c r="E1431" s="116">
        <v>129.19999999999999</v>
      </c>
      <c r="F1431" s="116">
        <v>128.80000000000001</v>
      </c>
      <c r="G1431">
        <v>2077</v>
      </c>
      <c r="H1431" s="116"/>
      <c r="I1431" s="116"/>
      <c r="L1431" s="170">
        <v>44119</v>
      </c>
      <c r="M1431" s="116">
        <v>130.9</v>
      </c>
      <c r="N1431" s="116">
        <v>133.69999999999999</v>
      </c>
      <c r="O1431" s="116">
        <v>129</v>
      </c>
      <c r="P1431" s="116">
        <v>132.6</v>
      </c>
      <c r="Q1431" s="116">
        <v>130.9</v>
      </c>
      <c r="R1431">
        <v>46509</v>
      </c>
    </row>
    <row r="1432" spans="1:18" x14ac:dyDescent="0.25">
      <c r="A1432" s="170">
        <v>44149</v>
      </c>
      <c r="B1432" s="116">
        <v>132.6</v>
      </c>
      <c r="C1432" s="116">
        <v>132.4</v>
      </c>
      <c r="D1432" s="116">
        <v>131.55000000000001</v>
      </c>
      <c r="E1432" s="116">
        <v>131.55000000000001</v>
      </c>
      <c r="F1432" s="116">
        <v>132.4</v>
      </c>
      <c r="G1432">
        <v>151</v>
      </c>
      <c r="H1432" s="116"/>
      <c r="I1432" s="116"/>
      <c r="L1432" s="170">
        <v>44120</v>
      </c>
      <c r="M1432" s="116">
        <v>131.1</v>
      </c>
      <c r="N1432" s="116">
        <v>131.85</v>
      </c>
      <c r="O1432" s="116">
        <v>128.4</v>
      </c>
      <c r="P1432" s="116">
        <v>131.1</v>
      </c>
      <c r="Q1432" s="116">
        <v>131.1</v>
      </c>
      <c r="R1432">
        <v>46898</v>
      </c>
    </row>
    <row r="1433" spans="1:18" x14ac:dyDescent="0.25">
      <c r="A1433" s="170">
        <v>44152</v>
      </c>
      <c r="B1433" s="116">
        <v>131.5</v>
      </c>
      <c r="C1433" s="116">
        <v>130.15</v>
      </c>
      <c r="D1433" s="116">
        <v>129.25</v>
      </c>
      <c r="E1433" s="116">
        <v>130.9</v>
      </c>
      <c r="F1433" s="116">
        <v>130.15</v>
      </c>
      <c r="G1433">
        <v>2844</v>
      </c>
      <c r="H1433" s="116"/>
      <c r="I1433" s="116"/>
      <c r="L1433" s="170">
        <v>44123</v>
      </c>
      <c r="M1433" s="116">
        <v>131.69999999999999</v>
      </c>
      <c r="N1433" s="116">
        <v>133.94999999999999</v>
      </c>
      <c r="O1433" s="116">
        <v>131.1</v>
      </c>
      <c r="P1433" s="116">
        <v>131.1</v>
      </c>
      <c r="Q1433" s="116">
        <v>131.69999999999999</v>
      </c>
      <c r="R1433">
        <v>4129</v>
      </c>
    </row>
    <row r="1434" spans="1:18" x14ac:dyDescent="0.25">
      <c r="A1434" s="170">
        <v>44153</v>
      </c>
      <c r="B1434" s="116">
        <v>130.9</v>
      </c>
      <c r="C1434" s="116">
        <v>130.19999999999999</v>
      </c>
      <c r="D1434" s="116">
        <v>126</v>
      </c>
      <c r="E1434" s="116">
        <v>130</v>
      </c>
      <c r="F1434" s="116">
        <v>130.19999999999999</v>
      </c>
      <c r="G1434">
        <v>6080</v>
      </c>
      <c r="H1434" s="116"/>
      <c r="I1434" s="116"/>
      <c r="L1434" s="170">
        <v>44124</v>
      </c>
      <c r="M1434" s="116">
        <v>131.05000000000001</v>
      </c>
      <c r="N1434" s="116">
        <v>133.44999999999999</v>
      </c>
      <c r="O1434" s="116">
        <v>130.6</v>
      </c>
      <c r="P1434" s="116">
        <v>132.15</v>
      </c>
      <c r="Q1434" s="116">
        <v>131.05000000000001</v>
      </c>
      <c r="R1434">
        <v>5464</v>
      </c>
    </row>
    <row r="1435" spans="1:18" x14ac:dyDescent="0.25">
      <c r="A1435" s="170">
        <v>44154</v>
      </c>
      <c r="B1435" s="116">
        <v>139</v>
      </c>
      <c r="C1435" s="116">
        <v>131.05000000000001</v>
      </c>
      <c r="D1435" s="116">
        <v>130.4</v>
      </c>
      <c r="E1435" s="116">
        <v>130.65</v>
      </c>
      <c r="F1435" s="116">
        <v>131.05000000000001</v>
      </c>
      <c r="G1435">
        <v>9874</v>
      </c>
      <c r="H1435" s="116"/>
      <c r="I1435" s="116"/>
      <c r="L1435" s="170">
        <v>44125</v>
      </c>
      <c r="M1435" s="116">
        <v>131.05000000000001</v>
      </c>
      <c r="N1435" s="116">
        <v>137.6</v>
      </c>
      <c r="O1435" s="116">
        <v>127</v>
      </c>
      <c r="P1435" s="116">
        <v>132.94999999999999</v>
      </c>
      <c r="Q1435" s="116">
        <v>131.05000000000001</v>
      </c>
      <c r="R1435">
        <v>15773</v>
      </c>
    </row>
    <row r="1436" spans="1:18" x14ac:dyDescent="0.25">
      <c r="A1436" s="170">
        <v>44155</v>
      </c>
      <c r="B1436" s="116">
        <v>136.25</v>
      </c>
      <c r="C1436" s="116">
        <v>135.44999999999999</v>
      </c>
      <c r="D1436" s="116">
        <v>130.94999999999999</v>
      </c>
      <c r="E1436" s="116">
        <v>132.15</v>
      </c>
      <c r="F1436" s="116">
        <v>135.44999999999999</v>
      </c>
      <c r="G1436">
        <v>6700</v>
      </c>
      <c r="H1436" s="116"/>
      <c r="I1436" s="116"/>
      <c r="L1436" s="170">
        <v>44126</v>
      </c>
      <c r="M1436" s="116">
        <v>129.69999999999999</v>
      </c>
      <c r="N1436" s="116">
        <v>133</v>
      </c>
      <c r="O1436" s="116">
        <v>125.4</v>
      </c>
      <c r="P1436" s="116">
        <v>132.94999999999999</v>
      </c>
      <c r="Q1436" s="116">
        <v>129.69999999999999</v>
      </c>
      <c r="R1436">
        <v>25165</v>
      </c>
    </row>
    <row r="1437" spans="1:18" x14ac:dyDescent="0.25">
      <c r="A1437" s="170">
        <v>44158</v>
      </c>
      <c r="B1437" s="116">
        <v>138.25</v>
      </c>
      <c r="C1437" s="116">
        <v>137.85</v>
      </c>
      <c r="D1437" s="116">
        <v>135.5</v>
      </c>
      <c r="E1437" s="116">
        <v>137</v>
      </c>
      <c r="F1437" s="116">
        <v>137.85</v>
      </c>
      <c r="G1437">
        <v>1751</v>
      </c>
      <c r="H1437" s="116"/>
      <c r="I1437" s="116"/>
      <c r="L1437" s="170">
        <v>44127</v>
      </c>
      <c r="M1437" s="116">
        <v>129.85</v>
      </c>
      <c r="N1437" s="116">
        <v>131.5</v>
      </c>
      <c r="O1437" s="116">
        <v>129.5</v>
      </c>
      <c r="P1437" s="116">
        <v>131.5</v>
      </c>
      <c r="Q1437" s="116">
        <v>129.85</v>
      </c>
      <c r="R1437">
        <v>15588</v>
      </c>
    </row>
    <row r="1438" spans="1:18" x14ac:dyDescent="0.25">
      <c r="A1438" s="170">
        <v>44159</v>
      </c>
      <c r="B1438" s="116">
        <v>138.85</v>
      </c>
      <c r="C1438" s="116">
        <v>136.05000000000001</v>
      </c>
      <c r="D1438" s="116">
        <v>135.69999999999999</v>
      </c>
      <c r="E1438" s="116">
        <v>137</v>
      </c>
      <c r="F1438" s="116">
        <v>136.05000000000001</v>
      </c>
      <c r="G1438">
        <v>2672</v>
      </c>
      <c r="H1438" s="116"/>
      <c r="I1438" s="116"/>
      <c r="L1438" s="170">
        <v>44130</v>
      </c>
      <c r="M1438" s="116">
        <v>130.25</v>
      </c>
      <c r="N1438" s="116">
        <v>131.9</v>
      </c>
      <c r="O1438" s="116">
        <v>128.05000000000001</v>
      </c>
      <c r="P1438" s="116">
        <v>130.85</v>
      </c>
      <c r="Q1438" s="116">
        <v>130.25</v>
      </c>
      <c r="R1438">
        <v>13763</v>
      </c>
    </row>
    <row r="1439" spans="1:18" x14ac:dyDescent="0.25">
      <c r="A1439" s="170">
        <v>44160</v>
      </c>
      <c r="B1439" s="116">
        <v>138.15</v>
      </c>
      <c r="C1439" s="116">
        <v>133.94999999999999</v>
      </c>
      <c r="D1439" s="116">
        <v>130.1</v>
      </c>
      <c r="E1439" s="116">
        <v>136.1</v>
      </c>
      <c r="F1439" s="116">
        <v>133.94999999999999</v>
      </c>
      <c r="G1439">
        <v>4451</v>
      </c>
      <c r="H1439" s="116"/>
      <c r="I1439" s="116"/>
      <c r="L1439" s="170">
        <v>44131</v>
      </c>
      <c r="M1439" s="116">
        <v>129.6</v>
      </c>
      <c r="N1439" s="116">
        <v>130.44999999999999</v>
      </c>
      <c r="O1439" s="116">
        <v>129.44999999999999</v>
      </c>
      <c r="P1439" s="116">
        <v>129.94999999999999</v>
      </c>
      <c r="Q1439" s="116">
        <v>129.6</v>
      </c>
      <c r="R1439">
        <v>7493</v>
      </c>
    </row>
    <row r="1440" spans="1:18" x14ac:dyDescent="0.25">
      <c r="A1440" s="170">
        <v>44161</v>
      </c>
      <c r="B1440" s="116">
        <v>136</v>
      </c>
      <c r="C1440" s="116">
        <v>134.9</v>
      </c>
      <c r="D1440" s="116">
        <v>134.65</v>
      </c>
      <c r="E1440" s="116">
        <v>134.9</v>
      </c>
      <c r="F1440" s="116">
        <v>134.9</v>
      </c>
      <c r="G1440">
        <v>320</v>
      </c>
      <c r="H1440" s="116"/>
      <c r="I1440" s="116"/>
      <c r="L1440" s="170">
        <v>44132</v>
      </c>
      <c r="M1440" s="116">
        <v>129.19999999999999</v>
      </c>
      <c r="N1440" s="116">
        <v>131.30000000000001</v>
      </c>
      <c r="O1440" s="116">
        <v>129</v>
      </c>
      <c r="P1440" s="116">
        <v>129.5</v>
      </c>
      <c r="Q1440" s="116">
        <v>129.19999999999999</v>
      </c>
      <c r="R1440">
        <v>6947</v>
      </c>
    </row>
    <row r="1441" spans="1:18" x14ac:dyDescent="0.25">
      <c r="A1441" s="170">
        <v>44162</v>
      </c>
      <c r="B1441" s="116">
        <v>144.5</v>
      </c>
      <c r="C1441" s="116">
        <v>141.30000000000001</v>
      </c>
      <c r="D1441" s="116">
        <v>137.65</v>
      </c>
      <c r="E1441" s="116">
        <v>138</v>
      </c>
      <c r="F1441" s="116">
        <v>141.30000000000001</v>
      </c>
      <c r="G1441">
        <v>13933</v>
      </c>
      <c r="H1441" s="116"/>
      <c r="I1441" s="116"/>
      <c r="L1441" s="170">
        <v>44133</v>
      </c>
      <c r="M1441" s="116">
        <v>128.5</v>
      </c>
      <c r="N1441" s="116">
        <v>129.94999999999999</v>
      </c>
      <c r="O1441" s="116">
        <v>128</v>
      </c>
      <c r="P1441" s="116">
        <v>128.9</v>
      </c>
      <c r="Q1441" s="116">
        <v>128.5</v>
      </c>
      <c r="R1441">
        <v>5982</v>
      </c>
    </row>
    <row r="1442" spans="1:18" x14ac:dyDescent="0.25">
      <c r="A1442" s="170">
        <v>44166</v>
      </c>
      <c r="B1442" s="116">
        <v>154.4</v>
      </c>
      <c r="C1442" s="116">
        <v>145.19999999999999</v>
      </c>
      <c r="D1442" s="116">
        <v>143</v>
      </c>
      <c r="E1442" s="116">
        <v>143</v>
      </c>
      <c r="F1442" s="116">
        <v>145.19999999999999</v>
      </c>
      <c r="G1442">
        <v>16987</v>
      </c>
      <c r="H1442" s="116"/>
      <c r="I1442" s="116"/>
      <c r="L1442" s="170">
        <v>44134</v>
      </c>
      <c r="M1442" s="116">
        <v>128.6</v>
      </c>
      <c r="N1442" s="116">
        <v>130.4</v>
      </c>
      <c r="O1442" s="116">
        <v>127.55</v>
      </c>
      <c r="P1442" s="116">
        <v>129.94999999999999</v>
      </c>
      <c r="Q1442" s="116">
        <v>128.6</v>
      </c>
      <c r="R1442">
        <v>8016</v>
      </c>
    </row>
    <row r="1443" spans="1:18" x14ac:dyDescent="0.25">
      <c r="A1443" s="170">
        <v>44167</v>
      </c>
      <c r="B1443" s="116">
        <v>146.9</v>
      </c>
      <c r="C1443" s="116">
        <v>141.6</v>
      </c>
      <c r="D1443" s="116">
        <v>140.35</v>
      </c>
      <c r="E1443" s="116">
        <v>146.25</v>
      </c>
      <c r="F1443" s="116">
        <v>141.6</v>
      </c>
      <c r="G1443">
        <v>3283</v>
      </c>
      <c r="H1443" s="116"/>
      <c r="I1443" s="116"/>
      <c r="L1443" s="170">
        <v>44137</v>
      </c>
      <c r="M1443" s="116">
        <v>128.05000000000001</v>
      </c>
      <c r="N1443" s="116">
        <v>128.94999999999999</v>
      </c>
      <c r="O1443" s="116">
        <v>125.35</v>
      </c>
      <c r="P1443" s="116">
        <v>125.35</v>
      </c>
      <c r="Q1443" s="116">
        <v>128.05000000000001</v>
      </c>
      <c r="R1443">
        <v>8820</v>
      </c>
    </row>
    <row r="1444" spans="1:18" x14ac:dyDescent="0.25">
      <c r="A1444" s="170">
        <v>44168</v>
      </c>
      <c r="B1444" s="116">
        <v>145.15</v>
      </c>
      <c r="C1444" s="116">
        <v>143.69999999999999</v>
      </c>
      <c r="D1444" s="116">
        <v>140</v>
      </c>
      <c r="E1444" s="116">
        <v>142.4</v>
      </c>
      <c r="F1444" s="116">
        <v>143.69999999999999</v>
      </c>
      <c r="G1444">
        <v>1543</v>
      </c>
      <c r="H1444" s="116"/>
      <c r="I1444" s="116"/>
      <c r="L1444" s="170">
        <v>44138</v>
      </c>
      <c r="M1444" s="116">
        <v>129.25</v>
      </c>
      <c r="N1444" s="116">
        <v>130.75</v>
      </c>
      <c r="O1444" s="116">
        <v>128</v>
      </c>
      <c r="P1444" s="116">
        <v>128</v>
      </c>
      <c r="Q1444" s="116">
        <v>129.25</v>
      </c>
      <c r="R1444">
        <v>5561</v>
      </c>
    </row>
    <row r="1445" spans="1:18" x14ac:dyDescent="0.25">
      <c r="A1445" s="170">
        <v>44169</v>
      </c>
      <c r="B1445" s="116">
        <v>144.55000000000001</v>
      </c>
      <c r="C1445" s="116">
        <v>141.9</v>
      </c>
      <c r="D1445" s="116">
        <v>141.5</v>
      </c>
      <c r="E1445" s="116">
        <v>142.9</v>
      </c>
      <c r="F1445" s="116">
        <v>141.9</v>
      </c>
      <c r="G1445">
        <v>5057</v>
      </c>
      <c r="H1445" s="116"/>
      <c r="I1445" s="116"/>
      <c r="L1445" s="170">
        <v>44139</v>
      </c>
      <c r="M1445" s="116">
        <v>129.1</v>
      </c>
      <c r="N1445" s="116">
        <v>130.5</v>
      </c>
      <c r="O1445" s="116">
        <v>128</v>
      </c>
      <c r="P1445" s="116">
        <v>130.5</v>
      </c>
      <c r="Q1445" s="116">
        <v>129.1</v>
      </c>
      <c r="R1445">
        <v>3177</v>
      </c>
    </row>
    <row r="1446" spans="1:18" x14ac:dyDescent="0.25">
      <c r="A1446" s="170">
        <v>44172</v>
      </c>
      <c r="B1446" s="116">
        <v>147.5</v>
      </c>
      <c r="C1446" s="116">
        <v>146</v>
      </c>
      <c r="D1446" s="116">
        <v>141.5</v>
      </c>
      <c r="E1446" s="116">
        <v>143.15</v>
      </c>
      <c r="F1446" s="116">
        <v>146</v>
      </c>
      <c r="G1446">
        <v>1858</v>
      </c>
      <c r="H1446" s="116"/>
      <c r="I1446" s="116"/>
      <c r="L1446" s="170">
        <v>44140</v>
      </c>
      <c r="M1446" s="116">
        <v>128.69999999999999</v>
      </c>
      <c r="N1446" s="116">
        <v>129.85</v>
      </c>
      <c r="O1446" s="116">
        <v>127.8</v>
      </c>
      <c r="P1446" s="116">
        <v>129.85</v>
      </c>
      <c r="Q1446" s="116">
        <v>128.69999999999999</v>
      </c>
      <c r="R1446">
        <v>14445</v>
      </c>
    </row>
    <row r="1447" spans="1:18" x14ac:dyDescent="0.25">
      <c r="A1447" s="170">
        <v>44173</v>
      </c>
      <c r="B1447" s="116">
        <v>170</v>
      </c>
      <c r="C1447" s="116">
        <v>163.5</v>
      </c>
      <c r="D1447" s="116">
        <v>144.05000000000001</v>
      </c>
      <c r="E1447" s="116">
        <v>146</v>
      </c>
      <c r="F1447" s="116">
        <v>163.5</v>
      </c>
      <c r="G1447">
        <v>112047</v>
      </c>
      <c r="H1447" s="116"/>
      <c r="I1447" s="116"/>
      <c r="L1447" s="170">
        <v>44141</v>
      </c>
      <c r="M1447" s="116">
        <v>129.85</v>
      </c>
      <c r="N1447" s="116">
        <v>130.44999999999999</v>
      </c>
      <c r="O1447" s="116">
        <v>127.8</v>
      </c>
      <c r="P1447" s="116">
        <v>127.8</v>
      </c>
      <c r="Q1447" s="116">
        <v>129.85</v>
      </c>
      <c r="R1447">
        <v>8192</v>
      </c>
    </row>
    <row r="1448" spans="1:18" x14ac:dyDescent="0.25">
      <c r="A1448" s="170">
        <v>44174</v>
      </c>
      <c r="B1448" s="116">
        <v>163.69999999999999</v>
      </c>
      <c r="C1448" s="116">
        <v>155.6</v>
      </c>
      <c r="D1448" s="116">
        <v>154</v>
      </c>
      <c r="E1448" s="116">
        <v>163.69999999999999</v>
      </c>
      <c r="F1448" s="116">
        <v>155.6</v>
      </c>
      <c r="G1448">
        <v>23968</v>
      </c>
      <c r="H1448" s="116"/>
      <c r="I1448" s="116"/>
      <c r="L1448" s="170">
        <v>44144</v>
      </c>
      <c r="M1448" s="116">
        <v>130.1</v>
      </c>
      <c r="N1448" s="116">
        <v>131.65</v>
      </c>
      <c r="O1448" s="116">
        <v>126.85</v>
      </c>
      <c r="P1448" s="116">
        <v>129</v>
      </c>
      <c r="Q1448" s="116">
        <v>130.1</v>
      </c>
      <c r="R1448">
        <v>30853</v>
      </c>
    </row>
    <row r="1449" spans="1:18" x14ac:dyDescent="0.25">
      <c r="A1449" s="170">
        <v>44175</v>
      </c>
      <c r="B1449" s="116">
        <v>156.4</v>
      </c>
      <c r="C1449" s="116">
        <v>151.35</v>
      </c>
      <c r="D1449" s="116">
        <v>150</v>
      </c>
      <c r="E1449" s="116">
        <v>155.05000000000001</v>
      </c>
      <c r="F1449" s="116">
        <v>151.35</v>
      </c>
      <c r="G1449">
        <v>10559</v>
      </c>
      <c r="H1449" s="116"/>
      <c r="I1449" s="116"/>
      <c r="L1449" s="170">
        <v>44145</v>
      </c>
      <c r="M1449" s="116">
        <v>130.25</v>
      </c>
      <c r="N1449" s="116">
        <v>136.9</v>
      </c>
      <c r="O1449" s="116">
        <v>128.69999999999999</v>
      </c>
      <c r="P1449" s="116">
        <v>132.25</v>
      </c>
      <c r="Q1449" s="116">
        <v>130.25</v>
      </c>
      <c r="R1449">
        <v>200297</v>
      </c>
    </row>
    <row r="1450" spans="1:18" x14ac:dyDescent="0.25">
      <c r="A1450" s="170">
        <v>44176</v>
      </c>
      <c r="B1450" s="116">
        <v>154.30000000000001</v>
      </c>
      <c r="C1450" s="116">
        <v>149.75</v>
      </c>
      <c r="D1450" s="116">
        <v>149.05000000000001</v>
      </c>
      <c r="E1450" s="116">
        <v>152.44999999999999</v>
      </c>
      <c r="F1450" s="116">
        <v>149.75</v>
      </c>
      <c r="G1450">
        <v>7098</v>
      </c>
      <c r="H1450" s="116"/>
      <c r="I1450" s="116"/>
      <c r="L1450" s="170">
        <v>44146</v>
      </c>
      <c r="M1450" s="116">
        <v>129.35</v>
      </c>
      <c r="N1450" s="116">
        <v>131.80000000000001</v>
      </c>
      <c r="O1450" s="116">
        <v>129</v>
      </c>
      <c r="P1450" s="116">
        <v>129.55000000000001</v>
      </c>
      <c r="Q1450" s="116">
        <v>129.35</v>
      </c>
      <c r="R1450">
        <v>40741</v>
      </c>
    </row>
    <row r="1451" spans="1:18" x14ac:dyDescent="0.25">
      <c r="A1451" s="170">
        <v>44179</v>
      </c>
      <c r="B1451" s="116">
        <v>154.30000000000001</v>
      </c>
      <c r="C1451" s="116">
        <v>150.9</v>
      </c>
      <c r="D1451" s="116">
        <v>149</v>
      </c>
      <c r="E1451" s="116">
        <v>152.80000000000001</v>
      </c>
      <c r="F1451" s="116">
        <v>150.9</v>
      </c>
      <c r="G1451">
        <v>1966</v>
      </c>
      <c r="H1451" s="116"/>
      <c r="I1451" s="116"/>
      <c r="L1451" s="170">
        <v>44147</v>
      </c>
      <c r="M1451" s="116">
        <v>128.85</v>
      </c>
      <c r="N1451" s="116">
        <v>133.6</v>
      </c>
      <c r="O1451" s="116">
        <v>128.19999999999999</v>
      </c>
      <c r="P1451" s="116">
        <v>133.6</v>
      </c>
      <c r="Q1451" s="116">
        <v>128.85</v>
      </c>
      <c r="R1451">
        <v>15721</v>
      </c>
    </row>
    <row r="1452" spans="1:18" x14ac:dyDescent="0.25">
      <c r="A1452" s="170">
        <v>44180</v>
      </c>
      <c r="B1452" s="116">
        <v>150.44999999999999</v>
      </c>
      <c r="C1452" s="116">
        <v>149.65</v>
      </c>
      <c r="D1452" s="116">
        <v>149</v>
      </c>
      <c r="E1452" s="116">
        <v>150.25</v>
      </c>
      <c r="F1452" s="116">
        <v>149.65</v>
      </c>
      <c r="G1452">
        <v>2451</v>
      </c>
      <c r="H1452" s="116"/>
      <c r="I1452" s="116"/>
      <c r="L1452" s="170">
        <v>44148</v>
      </c>
      <c r="M1452" s="116">
        <v>129.05000000000001</v>
      </c>
      <c r="N1452" s="116">
        <v>131.69999999999999</v>
      </c>
      <c r="O1452" s="116">
        <v>128.5</v>
      </c>
      <c r="P1452" s="116">
        <v>128.69999999999999</v>
      </c>
      <c r="Q1452" s="116">
        <v>129.05000000000001</v>
      </c>
      <c r="R1452">
        <v>19631</v>
      </c>
    </row>
    <row r="1453" spans="1:18" x14ac:dyDescent="0.25">
      <c r="A1453" s="170">
        <v>44181</v>
      </c>
      <c r="B1453" s="116">
        <v>153</v>
      </c>
      <c r="C1453" s="116">
        <v>148.80000000000001</v>
      </c>
      <c r="D1453" s="116">
        <v>147.55000000000001</v>
      </c>
      <c r="E1453" s="116">
        <v>147.55000000000001</v>
      </c>
      <c r="F1453" s="116">
        <v>148.80000000000001</v>
      </c>
      <c r="G1453">
        <v>5236</v>
      </c>
      <c r="H1453" s="116"/>
      <c r="I1453" s="116"/>
      <c r="L1453" s="170">
        <v>44149</v>
      </c>
      <c r="M1453" s="116">
        <v>132.1</v>
      </c>
      <c r="N1453" s="116">
        <v>132.94999999999999</v>
      </c>
      <c r="O1453" s="116">
        <v>128</v>
      </c>
      <c r="P1453" s="116">
        <v>128</v>
      </c>
      <c r="Q1453" s="116">
        <v>132.1</v>
      </c>
      <c r="R1453">
        <v>9029</v>
      </c>
    </row>
    <row r="1454" spans="1:18" x14ac:dyDescent="0.25">
      <c r="A1454" s="170">
        <v>44182</v>
      </c>
      <c r="B1454" s="116">
        <v>165.35</v>
      </c>
      <c r="C1454" s="116">
        <v>159.44999999999999</v>
      </c>
      <c r="D1454" s="116">
        <v>148.19999999999999</v>
      </c>
      <c r="E1454" s="116">
        <v>149</v>
      </c>
      <c r="F1454" s="116">
        <v>159.44999999999999</v>
      </c>
      <c r="G1454">
        <v>66780</v>
      </c>
      <c r="H1454" s="116"/>
      <c r="I1454" s="116"/>
      <c r="L1454" s="170">
        <v>44152</v>
      </c>
      <c r="M1454" s="116">
        <v>129.94999999999999</v>
      </c>
      <c r="N1454" s="116">
        <v>134.75</v>
      </c>
      <c r="O1454" s="116">
        <v>129.30000000000001</v>
      </c>
      <c r="P1454" s="116">
        <v>134.75</v>
      </c>
      <c r="Q1454" s="116">
        <v>129.94999999999999</v>
      </c>
      <c r="R1454">
        <v>18336</v>
      </c>
    </row>
    <row r="1455" spans="1:18" x14ac:dyDescent="0.25">
      <c r="A1455" s="170">
        <v>44183</v>
      </c>
      <c r="B1455" s="116">
        <v>160.5</v>
      </c>
      <c r="C1455" s="116">
        <v>157.15</v>
      </c>
      <c r="D1455" s="116">
        <v>152.25</v>
      </c>
      <c r="E1455" s="116">
        <v>159.25</v>
      </c>
      <c r="F1455" s="116">
        <v>157.15</v>
      </c>
      <c r="G1455">
        <v>4509</v>
      </c>
      <c r="H1455" s="116"/>
      <c r="I1455" s="116"/>
      <c r="L1455" s="170">
        <v>44153</v>
      </c>
      <c r="M1455" s="116">
        <v>130</v>
      </c>
      <c r="N1455" s="116">
        <v>131.25</v>
      </c>
      <c r="O1455" s="116">
        <v>129.05000000000001</v>
      </c>
      <c r="P1455" s="116">
        <v>129.25</v>
      </c>
      <c r="Q1455" s="116">
        <v>130</v>
      </c>
      <c r="R1455">
        <v>43370</v>
      </c>
    </row>
    <row r="1456" spans="1:18" x14ac:dyDescent="0.25">
      <c r="A1456" s="170">
        <v>44186</v>
      </c>
      <c r="B1456" s="116">
        <v>161.44999999999999</v>
      </c>
      <c r="C1456" s="116">
        <v>146.55000000000001</v>
      </c>
      <c r="D1456" s="116">
        <v>144.85</v>
      </c>
      <c r="E1456" s="116">
        <v>158.15</v>
      </c>
      <c r="F1456" s="116">
        <v>146.55000000000001</v>
      </c>
      <c r="G1456">
        <v>18201</v>
      </c>
      <c r="H1456" s="116"/>
      <c r="I1456" s="116"/>
      <c r="L1456" s="170">
        <v>44154</v>
      </c>
      <c r="M1456" s="116">
        <v>130.5</v>
      </c>
      <c r="N1456" s="116">
        <v>139.4</v>
      </c>
      <c r="O1456" s="116">
        <v>129.19999999999999</v>
      </c>
      <c r="P1456" s="116">
        <v>131.35</v>
      </c>
      <c r="Q1456" s="116">
        <v>130.5</v>
      </c>
      <c r="R1456">
        <v>141378</v>
      </c>
    </row>
    <row r="1457" spans="1:18" x14ac:dyDescent="0.25">
      <c r="A1457" s="170">
        <v>44187</v>
      </c>
      <c r="B1457" s="116">
        <v>158</v>
      </c>
      <c r="C1457" s="116">
        <v>146.1</v>
      </c>
      <c r="D1457" s="116">
        <v>140</v>
      </c>
      <c r="E1457" s="116">
        <v>158</v>
      </c>
      <c r="F1457" s="116">
        <v>146.1</v>
      </c>
      <c r="G1457">
        <v>8169</v>
      </c>
      <c r="H1457" s="116"/>
      <c r="I1457" s="116"/>
      <c r="L1457" s="170">
        <v>44155</v>
      </c>
      <c r="M1457" s="116">
        <v>135.5</v>
      </c>
      <c r="N1457" s="116">
        <v>136.35</v>
      </c>
      <c r="O1457" s="116">
        <v>131.25</v>
      </c>
      <c r="P1457" s="116">
        <v>132.15</v>
      </c>
      <c r="Q1457" s="116">
        <v>135.5</v>
      </c>
      <c r="R1457">
        <v>121631</v>
      </c>
    </row>
    <row r="1458" spans="1:18" x14ac:dyDescent="0.25">
      <c r="A1458" s="170">
        <v>44188</v>
      </c>
      <c r="B1458" s="116">
        <v>151</v>
      </c>
      <c r="C1458" s="116">
        <v>150.6</v>
      </c>
      <c r="D1458" s="116">
        <v>145.9</v>
      </c>
      <c r="E1458" s="116">
        <v>145.9</v>
      </c>
      <c r="F1458" s="116">
        <v>150.6</v>
      </c>
      <c r="G1458">
        <v>4599</v>
      </c>
      <c r="H1458" s="116"/>
      <c r="I1458" s="116"/>
      <c r="L1458" s="170">
        <v>44158</v>
      </c>
      <c r="M1458" s="116">
        <v>137.6</v>
      </c>
      <c r="N1458" s="116">
        <v>142</v>
      </c>
      <c r="O1458" s="116">
        <v>133.5</v>
      </c>
      <c r="P1458" s="116">
        <v>137.65</v>
      </c>
      <c r="Q1458" s="116">
        <v>137.6</v>
      </c>
      <c r="R1458">
        <v>56055</v>
      </c>
    </row>
    <row r="1459" spans="1:18" x14ac:dyDescent="0.25">
      <c r="A1459" s="170">
        <v>44189</v>
      </c>
      <c r="B1459" s="116">
        <v>155</v>
      </c>
      <c r="C1459" s="116">
        <v>149.05000000000001</v>
      </c>
      <c r="D1459" s="116">
        <v>147.1</v>
      </c>
      <c r="E1459" s="116">
        <v>155</v>
      </c>
      <c r="F1459" s="116">
        <v>149.05000000000001</v>
      </c>
      <c r="G1459">
        <v>6999</v>
      </c>
      <c r="H1459" s="116"/>
      <c r="I1459" s="116"/>
      <c r="L1459" s="170">
        <v>44159</v>
      </c>
      <c r="M1459" s="116">
        <v>135.94999999999999</v>
      </c>
      <c r="N1459" s="116">
        <v>138.85</v>
      </c>
      <c r="O1459" s="116">
        <v>135.65</v>
      </c>
      <c r="P1459" s="116">
        <v>137.80000000000001</v>
      </c>
      <c r="Q1459" s="116">
        <v>135.94999999999999</v>
      </c>
      <c r="R1459">
        <v>17351</v>
      </c>
    </row>
    <row r="1460" spans="1:18" x14ac:dyDescent="0.25">
      <c r="A1460" s="170">
        <v>44193</v>
      </c>
      <c r="B1460" s="116">
        <v>154.30000000000001</v>
      </c>
      <c r="C1460" s="116">
        <v>148.94999999999999</v>
      </c>
      <c r="D1460" s="116">
        <v>145</v>
      </c>
      <c r="E1460" s="116">
        <v>154.30000000000001</v>
      </c>
      <c r="F1460" s="116">
        <v>148.94999999999999</v>
      </c>
      <c r="G1460">
        <v>5080</v>
      </c>
      <c r="H1460" s="116"/>
      <c r="I1460" s="116"/>
      <c r="L1460" s="170">
        <v>44160</v>
      </c>
      <c r="M1460" s="116">
        <v>134.15</v>
      </c>
      <c r="N1460" s="116">
        <v>136.65</v>
      </c>
      <c r="O1460" s="116">
        <v>133.4</v>
      </c>
      <c r="P1460" s="116">
        <v>135.94999999999999</v>
      </c>
      <c r="Q1460" s="116">
        <v>134.15</v>
      </c>
      <c r="R1460">
        <v>22440</v>
      </c>
    </row>
    <row r="1461" spans="1:18" x14ac:dyDescent="0.25">
      <c r="A1461" s="170">
        <v>44194</v>
      </c>
      <c r="B1461" s="116">
        <v>154.5</v>
      </c>
      <c r="C1461" s="116">
        <v>147.9</v>
      </c>
      <c r="D1461" s="116">
        <v>147.1</v>
      </c>
      <c r="E1461" s="116">
        <v>154.5</v>
      </c>
      <c r="F1461" s="116">
        <v>147.9</v>
      </c>
      <c r="G1461">
        <v>4364</v>
      </c>
      <c r="H1461" s="116"/>
      <c r="I1461" s="116"/>
      <c r="L1461" s="170">
        <v>44161</v>
      </c>
      <c r="M1461" s="116">
        <v>134.69999999999999</v>
      </c>
      <c r="N1461" s="116">
        <v>138</v>
      </c>
      <c r="O1461" s="116">
        <v>134.1</v>
      </c>
      <c r="P1461" s="116">
        <v>137.9</v>
      </c>
      <c r="Q1461" s="116">
        <v>134.69999999999999</v>
      </c>
      <c r="R1461">
        <v>19037</v>
      </c>
    </row>
    <row r="1462" spans="1:18" x14ac:dyDescent="0.25">
      <c r="A1462" s="170">
        <v>44195</v>
      </c>
      <c r="B1462" s="116">
        <v>151</v>
      </c>
      <c r="C1462" s="116">
        <v>148.44999999999999</v>
      </c>
      <c r="D1462" s="116">
        <v>146</v>
      </c>
      <c r="E1462" s="116">
        <v>146</v>
      </c>
      <c r="F1462" s="116">
        <v>148.44999999999999</v>
      </c>
      <c r="G1462">
        <v>3196</v>
      </c>
      <c r="H1462" s="116"/>
      <c r="I1462" s="116"/>
      <c r="L1462" s="170">
        <v>44162</v>
      </c>
      <c r="M1462" s="116">
        <v>141.94999999999999</v>
      </c>
      <c r="N1462" s="116">
        <v>145</v>
      </c>
      <c r="O1462" s="116">
        <v>136.05000000000001</v>
      </c>
      <c r="P1462" s="116">
        <v>137.80000000000001</v>
      </c>
      <c r="Q1462" s="116">
        <v>141.94999999999999</v>
      </c>
      <c r="R1462">
        <v>168332</v>
      </c>
    </row>
    <row r="1463" spans="1:18" x14ac:dyDescent="0.25">
      <c r="A1463" s="170">
        <v>44196</v>
      </c>
      <c r="B1463" s="116">
        <v>154</v>
      </c>
      <c r="C1463" s="116">
        <v>151.80000000000001</v>
      </c>
      <c r="D1463" s="116">
        <v>148.80000000000001</v>
      </c>
      <c r="E1463" s="116">
        <v>152</v>
      </c>
      <c r="F1463" s="116">
        <v>151.80000000000001</v>
      </c>
      <c r="G1463">
        <v>3687</v>
      </c>
      <c r="H1463" s="116"/>
      <c r="I1463" s="116"/>
      <c r="L1463" s="170">
        <v>44166</v>
      </c>
      <c r="M1463" s="116">
        <v>145.44999999999999</v>
      </c>
      <c r="N1463" s="116">
        <v>154.4</v>
      </c>
      <c r="O1463" s="116">
        <v>142</v>
      </c>
      <c r="P1463" s="116">
        <v>144</v>
      </c>
      <c r="Q1463" s="116">
        <v>145.44999999999999</v>
      </c>
      <c r="R1463">
        <v>446133</v>
      </c>
    </row>
    <row r="1464" spans="1:18" x14ac:dyDescent="0.25">
      <c r="A1464" s="170">
        <v>44197</v>
      </c>
      <c r="B1464" s="116">
        <v>154.94999999999999</v>
      </c>
      <c r="C1464" s="116">
        <v>154.30000000000001</v>
      </c>
      <c r="D1464" s="116">
        <v>147.69999999999999</v>
      </c>
      <c r="E1464" s="116">
        <v>154.4</v>
      </c>
      <c r="F1464" s="116">
        <v>154.30000000000001</v>
      </c>
      <c r="G1464">
        <v>6428</v>
      </c>
      <c r="H1464" s="116"/>
      <c r="I1464" s="116"/>
      <c r="L1464" s="170">
        <v>44167</v>
      </c>
      <c r="M1464" s="116">
        <v>141.80000000000001</v>
      </c>
      <c r="N1464" s="116">
        <v>147.30000000000001</v>
      </c>
      <c r="O1464" s="116">
        <v>140</v>
      </c>
      <c r="P1464" s="116">
        <v>146.25</v>
      </c>
      <c r="Q1464" s="116">
        <v>141.80000000000001</v>
      </c>
      <c r="R1464">
        <v>51739</v>
      </c>
    </row>
    <row r="1465" spans="1:18" x14ac:dyDescent="0.25">
      <c r="A1465" s="170">
        <v>44200</v>
      </c>
      <c r="B1465" s="116">
        <v>160.69999999999999</v>
      </c>
      <c r="C1465" s="116">
        <v>157.75</v>
      </c>
      <c r="D1465" s="116">
        <v>154.4</v>
      </c>
      <c r="E1465" s="116">
        <v>155.85</v>
      </c>
      <c r="F1465" s="116">
        <v>157.75</v>
      </c>
      <c r="G1465">
        <v>16806</v>
      </c>
      <c r="H1465" s="116"/>
      <c r="I1465" s="116"/>
      <c r="L1465" s="170">
        <v>44168</v>
      </c>
      <c r="M1465" s="116">
        <v>143.55000000000001</v>
      </c>
      <c r="N1465" s="116">
        <v>145.80000000000001</v>
      </c>
      <c r="O1465" s="116">
        <v>140.5</v>
      </c>
      <c r="P1465" s="116">
        <v>144</v>
      </c>
      <c r="Q1465" s="116">
        <v>143.55000000000001</v>
      </c>
      <c r="R1465">
        <v>58618</v>
      </c>
    </row>
    <row r="1466" spans="1:18" x14ac:dyDescent="0.25">
      <c r="A1466" s="170">
        <v>44201</v>
      </c>
      <c r="B1466" s="116">
        <v>161</v>
      </c>
      <c r="C1466" s="116">
        <v>158.94999999999999</v>
      </c>
      <c r="D1466" s="116">
        <v>153</v>
      </c>
      <c r="E1466" s="116">
        <v>153</v>
      </c>
      <c r="F1466" s="116">
        <v>158.94999999999999</v>
      </c>
      <c r="G1466">
        <v>11273</v>
      </c>
      <c r="H1466" s="116"/>
      <c r="I1466" s="116"/>
      <c r="L1466" s="170">
        <v>44169</v>
      </c>
      <c r="M1466" s="116">
        <v>141.94999999999999</v>
      </c>
      <c r="N1466" s="116">
        <v>145</v>
      </c>
      <c r="O1466" s="116">
        <v>141.5</v>
      </c>
      <c r="P1466" s="116">
        <v>145</v>
      </c>
      <c r="Q1466" s="116">
        <v>141.94999999999999</v>
      </c>
      <c r="R1466">
        <v>27743</v>
      </c>
    </row>
    <row r="1467" spans="1:18" x14ac:dyDescent="0.25">
      <c r="A1467" s="170">
        <v>44202</v>
      </c>
      <c r="B1467" s="116">
        <v>161.55000000000001</v>
      </c>
      <c r="C1467" s="116">
        <v>156</v>
      </c>
      <c r="D1467" s="116">
        <v>154.94999999999999</v>
      </c>
      <c r="E1467" s="116">
        <v>159.5</v>
      </c>
      <c r="F1467" s="116">
        <v>156</v>
      </c>
      <c r="G1467">
        <v>9559</v>
      </c>
      <c r="H1467" s="116"/>
      <c r="I1467" s="116"/>
      <c r="L1467" s="170">
        <v>44172</v>
      </c>
      <c r="M1467" s="116">
        <v>145.6</v>
      </c>
      <c r="N1467" s="116">
        <v>147.9</v>
      </c>
      <c r="O1467" s="116">
        <v>141</v>
      </c>
      <c r="P1467" s="116">
        <v>143.80000000000001</v>
      </c>
      <c r="Q1467" s="116">
        <v>145.6</v>
      </c>
      <c r="R1467">
        <v>109104</v>
      </c>
    </row>
    <row r="1468" spans="1:18" x14ac:dyDescent="0.25">
      <c r="A1468" s="170">
        <v>44203</v>
      </c>
      <c r="B1468" s="116">
        <v>159.25</v>
      </c>
      <c r="C1468" s="116">
        <v>156.4</v>
      </c>
      <c r="D1468" s="116">
        <v>155.65</v>
      </c>
      <c r="E1468" s="116">
        <v>159.05000000000001</v>
      </c>
      <c r="F1468" s="116">
        <v>156.4</v>
      </c>
      <c r="G1468">
        <v>1643</v>
      </c>
      <c r="H1468" s="116"/>
      <c r="I1468" s="116"/>
      <c r="L1468" s="170">
        <v>44173</v>
      </c>
      <c r="M1468" s="116">
        <v>163.44999999999999</v>
      </c>
      <c r="N1468" s="116">
        <v>171</v>
      </c>
      <c r="O1468" s="116">
        <v>144</v>
      </c>
      <c r="P1468" s="116">
        <v>146.9</v>
      </c>
      <c r="Q1468" s="116">
        <v>163.44999999999999</v>
      </c>
      <c r="R1468">
        <v>1427670</v>
      </c>
    </row>
    <row r="1469" spans="1:18" x14ac:dyDescent="0.25">
      <c r="A1469" s="170">
        <v>44204</v>
      </c>
      <c r="B1469" s="116">
        <v>158.85</v>
      </c>
      <c r="C1469" s="116">
        <v>156.69999999999999</v>
      </c>
      <c r="D1469" s="116">
        <v>154.69999999999999</v>
      </c>
      <c r="E1469" s="116">
        <v>158.5</v>
      </c>
      <c r="F1469" s="116">
        <v>156.69999999999999</v>
      </c>
      <c r="G1469">
        <v>4531</v>
      </c>
      <c r="H1469" s="116"/>
      <c r="I1469" s="116"/>
      <c r="L1469" s="170">
        <v>44174</v>
      </c>
      <c r="M1469" s="116">
        <v>155.55000000000001</v>
      </c>
      <c r="N1469" s="116">
        <v>162.9</v>
      </c>
      <c r="O1469" s="116">
        <v>154.1</v>
      </c>
      <c r="P1469" s="116">
        <v>162.9</v>
      </c>
      <c r="Q1469" s="116">
        <v>155.55000000000001</v>
      </c>
      <c r="R1469">
        <v>109438</v>
      </c>
    </row>
    <row r="1470" spans="1:18" x14ac:dyDescent="0.25">
      <c r="A1470" s="170">
        <v>44207</v>
      </c>
      <c r="B1470" s="116">
        <v>157.30000000000001</v>
      </c>
      <c r="C1470" s="116">
        <v>154.44999999999999</v>
      </c>
      <c r="D1470" s="116">
        <v>153.30000000000001</v>
      </c>
      <c r="E1470" s="116">
        <v>157</v>
      </c>
      <c r="F1470" s="116">
        <v>154.44999999999999</v>
      </c>
      <c r="G1470">
        <v>2885</v>
      </c>
      <c r="H1470" s="116"/>
      <c r="I1470" s="116"/>
      <c r="L1470" s="170">
        <v>44175</v>
      </c>
      <c r="M1470" s="116">
        <v>151.25</v>
      </c>
      <c r="N1470" s="116">
        <v>156</v>
      </c>
      <c r="O1470" s="116">
        <v>150.05000000000001</v>
      </c>
      <c r="P1470" s="116">
        <v>154.5</v>
      </c>
      <c r="Q1470" s="116">
        <v>151.25</v>
      </c>
      <c r="R1470">
        <v>45027</v>
      </c>
    </row>
    <row r="1471" spans="1:18" x14ac:dyDescent="0.25">
      <c r="A1471" s="170">
        <v>44208</v>
      </c>
      <c r="B1471" s="116">
        <v>158.05000000000001</v>
      </c>
      <c r="C1471" s="116">
        <v>153.1</v>
      </c>
      <c r="D1471" s="116">
        <v>153</v>
      </c>
      <c r="E1471" s="116">
        <v>155</v>
      </c>
      <c r="F1471" s="116">
        <v>153.1</v>
      </c>
      <c r="G1471">
        <v>4271</v>
      </c>
      <c r="H1471" s="116"/>
      <c r="I1471" s="116"/>
      <c r="L1471" s="170">
        <v>44176</v>
      </c>
      <c r="M1471" s="116">
        <v>149.94999999999999</v>
      </c>
      <c r="N1471" s="116">
        <v>154.69999999999999</v>
      </c>
      <c r="O1471" s="116">
        <v>149.1</v>
      </c>
      <c r="P1471" s="116">
        <v>151.30000000000001</v>
      </c>
      <c r="Q1471" s="116">
        <v>149.94999999999999</v>
      </c>
      <c r="R1471">
        <v>46274</v>
      </c>
    </row>
    <row r="1472" spans="1:18" x14ac:dyDescent="0.25">
      <c r="A1472" s="170">
        <v>44209</v>
      </c>
      <c r="B1472" s="116">
        <v>158</v>
      </c>
      <c r="C1472" s="116">
        <v>151.19999999999999</v>
      </c>
      <c r="D1472" s="116">
        <v>148.44999999999999</v>
      </c>
      <c r="E1472" s="116">
        <v>155</v>
      </c>
      <c r="F1472" s="116">
        <v>151.19999999999999</v>
      </c>
      <c r="G1472">
        <v>22462</v>
      </c>
      <c r="H1472" s="116"/>
      <c r="I1472" s="116"/>
      <c r="L1472" s="170">
        <v>44179</v>
      </c>
      <c r="M1472" s="116">
        <v>151.19999999999999</v>
      </c>
      <c r="N1472" s="116">
        <v>153</v>
      </c>
      <c r="O1472" s="116">
        <v>148</v>
      </c>
      <c r="P1472" s="116">
        <v>151.80000000000001</v>
      </c>
      <c r="Q1472" s="116">
        <v>151.19999999999999</v>
      </c>
      <c r="R1472">
        <v>42364</v>
      </c>
    </row>
    <row r="1473" spans="1:18" x14ac:dyDescent="0.25">
      <c r="A1473" s="170">
        <v>44210</v>
      </c>
      <c r="B1473" s="116">
        <v>154.15</v>
      </c>
      <c r="C1473" s="116">
        <v>152.05000000000001</v>
      </c>
      <c r="D1473" s="116">
        <v>151.44999999999999</v>
      </c>
      <c r="E1473" s="116">
        <v>152.9</v>
      </c>
      <c r="F1473" s="116">
        <v>152.05000000000001</v>
      </c>
      <c r="G1473">
        <v>1708</v>
      </c>
      <c r="H1473" s="116"/>
      <c r="I1473" s="116"/>
      <c r="L1473" s="170">
        <v>44180</v>
      </c>
      <c r="M1473" s="116">
        <v>149.65</v>
      </c>
      <c r="N1473" s="116">
        <v>151.75</v>
      </c>
      <c r="O1473" s="116">
        <v>148.85</v>
      </c>
      <c r="P1473" s="116">
        <v>150.44999999999999</v>
      </c>
      <c r="Q1473" s="116">
        <v>149.65</v>
      </c>
      <c r="R1473">
        <v>31302</v>
      </c>
    </row>
    <row r="1474" spans="1:18" x14ac:dyDescent="0.25">
      <c r="A1474" s="170">
        <v>44211</v>
      </c>
      <c r="B1474" s="116">
        <v>152.5</v>
      </c>
      <c r="C1474" s="116">
        <v>150.80000000000001</v>
      </c>
      <c r="D1474" s="116">
        <v>148.35</v>
      </c>
      <c r="E1474" s="116">
        <v>152.30000000000001</v>
      </c>
      <c r="F1474" s="116">
        <v>150.80000000000001</v>
      </c>
      <c r="G1474">
        <v>2624</v>
      </c>
      <c r="H1474" s="116"/>
      <c r="I1474" s="116"/>
      <c r="L1474" s="170">
        <v>44181</v>
      </c>
      <c r="M1474" s="116">
        <v>148.69999999999999</v>
      </c>
      <c r="N1474" s="116">
        <v>155.4</v>
      </c>
      <c r="O1474" s="116">
        <v>147.65</v>
      </c>
      <c r="P1474" s="116">
        <v>150.1</v>
      </c>
      <c r="Q1474" s="116">
        <v>148.69999999999999</v>
      </c>
      <c r="R1474">
        <v>73251</v>
      </c>
    </row>
    <row r="1475" spans="1:18" x14ac:dyDescent="0.25">
      <c r="A1475" s="170">
        <v>44214</v>
      </c>
      <c r="B1475" s="116">
        <v>151.1</v>
      </c>
      <c r="C1475" s="116">
        <v>146.65</v>
      </c>
      <c r="D1475" s="116">
        <v>146.1</v>
      </c>
      <c r="E1475" s="116">
        <v>151.1</v>
      </c>
      <c r="F1475" s="116">
        <v>146.65</v>
      </c>
      <c r="G1475">
        <v>4305</v>
      </c>
      <c r="H1475" s="116"/>
      <c r="I1475" s="116"/>
      <c r="L1475" s="170">
        <v>44182</v>
      </c>
      <c r="M1475" s="116">
        <v>159.55000000000001</v>
      </c>
      <c r="N1475" s="116">
        <v>165.4</v>
      </c>
      <c r="O1475" s="116">
        <v>148.25</v>
      </c>
      <c r="P1475" s="116">
        <v>148.44999999999999</v>
      </c>
      <c r="Q1475" s="116">
        <v>159.55000000000001</v>
      </c>
      <c r="R1475">
        <v>839038</v>
      </c>
    </row>
    <row r="1476" spans="1:18" x14ac:dyDescent="0.25">
      <c r="A1476" s="170">
        <v>44215</v>
      </c>
      <c r="B1476" s="116">
        <v>152.85</v>
      </c>
      <c r="C1476" s="116">
        <v>152.1</v>
      </c>
      <c r="D1476" s="116">
        <v>149</v>
      </c>
      <c r="E1476" s="116">
        <v>149.15</v>
      </c>
      <c r="F1476" s="116">
        <v>152.1</v>
      </c>
      <c r="G1476">
        <v>991</v>
      </c>
      <c r="H1476" s="116"/>
      <c r="I1476" s="116"/>
      <c r="L1476" s="170">
        <v>44183</v>
      </c>
      <c r="M1476" s="116">
        <v>156.9</v>
      </c>
      <c r="N1476" s="116">
        <v>160.94999999999999</v>
      </c>
      <c r="O1476" s="116">
        <v>152.4</v>
      </c>
      <c r="P1476" s="116">
        <v>159.30000000000001</v>
      </c>
      <c r="Q1476" s="116">
        <v>156.9</v>
      </c>
      <c r="R1476">
        <v>132871</v>
      </c>
    </row>
    <row r="1477" spans="1:18" x14ac:dyDescent="0.25">
      <c r="A1477" s="170">
        <v>44216</v>
      </c>
      <c r="B1477" s="116">
        <v>153.55000000000001</v>
      </c>
      <c r="C1477" s="116">
        <v>150.69999999999999</v>
      </c>
      <c r="D1477" s="116">
        <v>150.65</v>
      </c>
      <c r="E1477" s="116">
        <v>152.85</v>
      </c>
      <c r="F1477" s="116">
        <v>150.69999999999999</v>
      </c>
      <c r="G1477">
        <v>5472</v>
      </c>
      <c r="H1477" s="116"/>
      <c r="I1477" s="116"/>
      <c r="L1477" s="170">
        <v>44186</v>
      </c>
      <c r="M1477" s="116">
        <v>146.35</v>
      </c>
      <c r="N1477" s="116">
        <v>161.65</v>
      </c>
      <c r="O1477" s="116">
        <v>143</v>
      </c>
      <c r="P1477" s="116">
        <v>158.5</v>
      </c>
      <c r="Q1477" s="116">
        <v>146.35</v>
      </c>
      <c r="R1477">
        <v>138574</v>
      </c>
    </row>
    <row r="1478" spans="1:18" x14ac:dyDescent="0.25">
      <c r="A1478" s="170">
        <v>44217</v>
      </c>
      <c r="B1478" s="116">
        <v>152.55000000000001</v>
      </c>
      <c r="C1478" s="116">
        <v>149.6</v>
      </c>
      <c r="D1478" s="116">
        <v>147.5</v>
      </c>
      <c r="E1478" s="116">
        <v>151.80000000000001</v>
      </c>
      <c r="F1478" s="116">
        <v>149.6</v>
      </c>
      <c r="G1478">
        <v>5543</v>
      </c>
      <c r="H1478" s="116"/>
      <c r="I1478" s="116"/>
      <c r="L1478" s="170">
        <v>44187</v>
      </c>
      <c r="M1478" s="116">
        <v>145.85</v>
      </c>
      <c r="N1478" s="116">
        <v>146.9</v>
      </c>
      <c r="O1478" s="116">
        <v>140.05000000000001</v>
      </c>
      <c r="P1478" s="116">
        <v>146</v>
      </c>
      <c r="Q1478" s="116">
        <v>145.85</v>
      </c>
      <c r="R1478">
        <v>60180</v>
      </c>
    </row>
    <row r="1479" spans="1:18" x14ac:dyDescent="0.25">
      <c r="A1479" s="170">
        <v>44218</v>
      </c>
      <c r="B1479" s="116">
        <v>151.19999999999999</v>
      </c>
      <c r="C1479" s="116">
        <v>146.15</v>
      </c>
      <c r="D1479" s="116">
        <v>143.19999999999999</v>
      </c>
      <c r="E1479" s="116">
        <v>147.6</v>
      </c>
      <c r="F1479" s="116">
        <v>146.15</v>
      </c>
      <c r="G1479">
        <v>8237</v>
      </c>
      <c r="H1479" s="116"/>
      <c r="I1479" s="116"/>
      <c r="L1479" s="170">
        <v>44188</v>
      </c>
      <c r="M1479" s="116">
        <v>150.44999999999999</v>
      </c>
      <c r="N1479" s="116">
        <v>151.44999999999999</v>
      </c>
      <c r="O1479" s="116">
        <v>145</v>
      </c>
      <c r="P1479" s="116">
        <v>145.9</v>
      </c>
      <c r="Q1479" s="116">
        <v>150.44999999999999</v>
      </c>
      <c r="R1479">
        <v>31584</v>
      </c>
    </row>
    <row r="1480" spans="1:18" x14ac:dyDescent="0.25">
      <c r="A1480" s="170">
        <v>44221</v>
      </c>
      <c r="B1480" s="116">
        <v>145.65</v>
      </c>
      <c r="C1480" s="116">
        <v>145.15</v>
      </c>
      <c r="D1480" s="116">
        <v>144.25</v>
      </c>
      <c r="E1480" s="116">
        <v>145.6</v>
      </c>
      <c r="F1480" s="116">
        <v>145.15</v>
      </c>
      <c r="G1480">
        <v>258</v>
      </c>
      <c r="H1480" s="116"/>
      <c r="I1480" s="116"/>
      <c r="L1480" s="170">
        <v>44189</v>
      </c>
      <c r="M1480" s="116">
        <v>148.94999999999999</v>
      </c>
      <c r="N1480" s="116">
        <v>152.9</v>
      </c>
      <c r="O1480" s="116">
        <v>146.19999999999999</v>
      </c>
      <c r="P1480" s="116">
        <v>150.5</v>
      </c>
      <c r="Q1480" s="116">
        <v>148.94999999999999</v>
      </c>
      <c r="R1480">
        <v>30724</v>
      </c>
    </row>
    <row r="1481" spans="1:18" x14ac:dyDescent="0.25">
      <c r="A1481" s="170">
        <v>44223</v>
      </c>
      <c r="B1481" s="116">
        <v>146.55000000000001</v>
      </c>
      <c r="C1481" s="116">
        <v>144.9</v>
      </c>
      <c r="D1481" s="116">
        <v>144</v>
      </c>
      <c r="E1481" s="116">
        <v>144.6</v>
      </c>
      <c r="F1481" s="116">
        <v>144.9</v>
      </c>
      <c r="G1481">
        <v>4079</v>
      </c>
      <c r="H1481" s="116"/>
      <c r="I1481" s="116"/>
      <c r="L1481" s="170">
        <v>44193</v>
      </c>
      <c r="M1481" s="116">
        <v>148.94999999999999</v>
      </c>
      <c r="N1481" s="116">
        <v>152.65</v>
      </c>
      <c r="O1481" s="116">
        <v>148</v>
      </c>
      <c r="P1481" s="116">
        <v>149.69999999999999</v>
      </c>
      <c r="Q1481" s="116">
        <v>148.94999999999999</v>
      </c>
      <c r="R1481">
        <v>23675</v>
      </c>
    </row>
    <row r="1482" spans="1:18" x14ac:dyDescent="0.25">
      <c r="A1482" s="170">
        <v>44224</v>
      </c>
      <c r="B1482" s="116">
        <v>145.15</v>
      </c>
      <c r="C1482" s="116">
        <v>143</v>
      </c>
      <c r="D1482" s="116">
        <v>142.25</v>
      </c>
      <c r="E1482" s="116">
        <v>144.85</v>
      </c>
      <c r="F1482" s="116">
        <v>143</v>
      </c>
      <c r="G1482">
        <v>532</v>
      </c>
      <c r="H1482" s="116"/>
      <c r="I1482" s="116"/>
      <c r="L1482" s="170">
        <v>44194</v>
      </c>
      <c r="M1482" s="116">
        <v>147.65</v>
      </c>
      <c r="N1482" s="116">
        <v>151.94999999999999</v>
      </c>
      <c r="O1482" s="116">
        <v>146.44999999999999</v>
      </c>
      <c r="P1482" s="116">
        <v>148.5</v>
      </c>
      <c r="Q1482" s="116">
        <v>147.65</v>
      </c>
      <c r="R1482">
        <v>26990</v>
      </c>
    </row>
    <row r="1483" spans="1:18" x14ac:dyDescent="0.25">
      <c r="A1483" s="170">
        <v>44225</v>
      </c>
      <c r="B1483" s="116">
        <v>147.4</v>
      </c>
      <c r="C1483" s="116">
        <v>143.75</v>
      </c>
      <c r="D1483" s="116">
        <v>142.94999999999999</v>
      </c>
      <c r="E1483" s="116">
        <v>143.30000000000001</v>
      </c>
      <c r="F1483" s="116">
        <v>143.75</v>
      </c>
      <c r="G1483">
        <v>2461</v>
      </c>
      <c r="H1483" s="116"/>
      <c r="I1483" s="116"/>
      <c r="L1483" s="170">
        <v>44195</v>
      </c>
      <c r="M1483" s="116">
        <v>148.5</v>
      </c>
      <c r="N1483" s="116">
        <v>150.9</v>
      </c>
      <c r="O1483" s="116">
        <v>146</v>
      </c>
      <c r="P1483" s="116">
        <v>147.65</v>
      </c>
      <c r="Q1483" s="116">
        <v>148.5</v>
      </c>
      <c r="R1483">
        <v>31236</v>
      </c>
    </row>
    <row r="1484" spans="1:18" x14ac:dyDescent="0.25">
      <c r="A1484" s="170">
        <v>44228</v>
      </c>
      <c r="B1484" s="116">
        <v>143.85</v>
      </c>
      <c r="C1484" s="116">
        <v>143.05000000000001</v>
      </c>
      <c r="D1484" s="116">
        <v>141.05000000000001</v>
      </c>
      <c r="E1484" s="116">
        <v>141.55000000000001</v>
      </c>
      <c r="F1484" s="116">
        <v>143.05000000000001</v>
      </c>
      <c r="G1484">
        <v>1595</v>
      </c>
      <c r="H1484" s="116"/>
      <c r="I1484" s="116"/>
      <c r="L1484" s="170">
        <v>44196</v>
      </c>
      <c r="M1484" s="116">
        <v>151.15</v>
      </c>
      <c r="N1484" s="116">
        <v>152.15</v>
      </c>
      <c r="O1484" s="116">
        <v>147.05000000000001</v>
      </c>
      <c r="P1484" s="116">
        <v>149</v>
      </c>
      <c r="Q1484" s="116">
        <v>151.15</v>
      </c>
      <c r="R1484">
        <v>44798</v>
      </c>
    </row>
    <row r="1485" spans="1:18" x14ac:dyDescent="0.25">
      <c r="A1485" s="170">
        <v>44229</v>
      </c>
      <c r="B1485" s="116">
        <v>145.15</v>
      </c>
      <c r="C1485" s="116">
        <v>142.80000000000001</v>
      </c>
      <c r="D1485" s="116">
        <v>142.15</v>
      </c>
      <c r="E1485" s="116">
        <v>145.15</v>
      </c>
      <c r="F1485" s="116">
        <v>142.80000000000001</v>
      </c>
      <c r="G1485">
        <v>596</v>
      </c>
      <c r="H1485" s="116"/>
      <c r="I1485" s="116"/>
      <c r="L1485" s="170">
        <v>44197</v>
      </c>
      <c r="M1485" s="116">
        <v>154.19999999999999</v>
      </c>
      <c r="N1485" s="116">
        <v>155</v>
      </c>
      <c r="O1485" s="116">
        <v>149.85</v>
      </c>
      <c r="P1485" s="116">
        <v>149.9</v>
      </c>
      <c r="Q1485" s="116">
        <v>154.19999999999999</v>
      </c>
      <c r="R1485">
        <v>54395</v>
      </c>
    </row>
    <row r="1486" spans="1:18" x14ac:dyDescent="0.25">
      <c r="A1486" s="170">
        <v>44230</v>
      </c>
      <c r="B1486" s="116">
        <v>145.5</v>
      </c>
      <c r="C1486" s="116">
        <v>144.1</v>
      </c>
      <c r="D1486" s="116">
        <v>143.80000000000001</v>
      </c>
      <c r="E1486" s="116">
        <v>144.75</v>
      </c>
      <c r="F1486" s="116">
        <v>144.1</v>
      </c>
      <c r="G1486">
        <v>956</v>
      </c>
      <c r="H1486" s="116"/>
      <c r="I1486" s="116"/>
      <c r="L1486" s="170">
        <v>44200</v>
      </c>
      <c r="M1486" s="116">
        <v>157.65</v>
      </c>
      <c r="N1486" s="116">
        <v>161.19999999999999</v>
      </c>
      <c r="O1486" s="116">
        <v>154.19999999999999</v>
      </c>
      <c r="P1486" s="116">
        <v>154.19999999999999</v>
      </c>
      <c r="Q1486" s="116">
        <v>157.65</v>
      </c>
      <c r="R1486">
        <v>139025</v>
      </c>
    </row>
    <row r="1487" spans="1:18" x14ac:dyDescent="0.25">
      <c r="A1487" s="170">
        <v>44231</v>
      </c>
      <c r="B1487" s="116">
        <v>148.35</v>
      </c>
      <c r="C1487" s="116">
        <v>146.6</v>
      </c>
      <c r="D1487" s="116">
        <v>142</v>
      </c>
      <c r="E1487" s="116">
        <v>145</v>
      </c>
      <c r="F1487" s="116">
        <v>146.6</v>
      </c>
      <c r="G1487">
        <v>2546</v>
      </c>
      <c r="H1487" s="116"/>
      <c r="I1487" s="116"/>
      <c r="L1487" s="170">
        <v>44201</v>
      </c>
      <c r="M1487" s="116">
        <v>158.69999999999999</v>
      </c>
      <c r="N1487" s="116">
        <v>161.80000000000001</v>
      </c>
      <c r="O1487" s="116">
        <v>155</v>
      </c>
      <c r="P1487" s="116">
        <v>155</v>
      </c>
      <c r="Q1487" s="116">
        <v>158.69999999999999</v>
      </c>
      <c r="R1487">
        <v>92498</v>
      </c>
    </row>
    <row r="1488" spans="1:18" x14ac:dyDescent="0.25">
      <c r="A1488" s="170">
        <v>44232</v>
      </c>
      <c r="B1488" s="116">
        <v>147.65</v>
      </c>
      <c r="C1488" s="116">
        <v>145.85</v>
      </c>
      <c r="D1488" s="116">
        <v>145.85</v>
      </c>
      <c r="E1488" s="116">
        <v>147.30000000000001</v>
      </c>
      <c r="F1488" s="116">
        <v>145.85</v>
      </c>
      <c r="G1488">
        <v>865</v>
      </c>
      <c r="H1488" s="116"/>
      <c r="I1488" s="116"/>
      <c r="L1488" s="170">
        <v>44202</v>
      </c>
      <c r="M1488" s="116">
        <v>156.35</v>
      </c>
      <c r="N1488" s="116">
        <v>161.5</v>
      </c>
      <c r="O1488" s="116">
        <v>155.19999999999999</v>
      </c>
      <c r="P1488" s="116">
        <v>158.1</v>
      </c>
      <c r="Q1488" s="116">
        <v>156.35</v>
      </c>
      <c r="R1488">
        <v>74097</v>
      </c>
    </row>
    <row r="1489" spans="1:18" x14ac:dyDescent="0.25">
      <c r="A1489" s="170">
        <v>44235</v>
      </c>
      <c r="B1489" s="116">
        <v>144.9</v>
      </c>
      <c r="C1489" s="116">
        <v>140.1</v>
      </c>
      <c r="D1489" s="116">
        <v>139.30000000000001</v>
      </c>
      <c r="E1489" s="116">
        <v>144.9</v>
      </c>
      <c r="F1489" s="116">
        <v>140.1</v>
      </c>
      <c r="G1489">
        <v>3737</v>
      </c>
      <c r="H1489" s="116"/>
      <c r="I1489" s="116"/>
      <c r="L1489" s="170">
        <v>44203</v>
      </c>
      <c r="M1489" s="116">
        <v>156.5</v>
      </c>
      <c r="N1489" s="116">
        <v>159.6</v>
      </c>
      <c r="O1489" s="116">
        <v>155.35</v>
      </c>
      <c r="P1489" s="116">
        <v>157.15</v>
      </c>
      <c r="Q1489" s="116">
        <v>156.5</v>
      </c>
      <c r="R1489">
        <v>54438</v>
      </c>
    </row>
    <row r="1490" spans="1:18" x14ac:dyDescent="0.25">
      <c r="A1490" s="170">
        <v>44236</v>
      </c>
      <c r="B1490" s="116">
        <v>141.9</v>
      </c>
      <c r="C1490" s="116">
        <v>137.69999999999999</v>
      </c>
      <c r="D1490" s="116">
        <v>137.1</v>
      </c>
      <c r="E1490" s="116">
        <v>140</v>
      </c>
      <c r="F1490" s="116">
        <v>137.69999999999999</v>
      </c>
      <c r="G1490">
        <v>9580</v>
      </c>
      <c r="H1490" s="116"/>
      <c r="I1490" s="116"/>
      <c r="L1490" s="170">
        <v>44204</v>
      </c>
      <c r="M1490" s="116">
        <v>157.65</v>
      </c>
      <c r="N1490" s="116">
        <v>158.94999999999999</v>
      </c>
      <c r="O1490" s="116">
        <v>154.85</v>
      </c>
      <c r="P1490" s="116">
        <v>157.30000000000001</v>
      </c>
      <c r="Q1490" s="116">
        <v>157.65</v>
      </c>
      <c r="R1490">
        <v>38450</v>
      </c>
    </row>
    <row r="1491" spans="1:18" x14ac:dyDescent="0.25">
      <c r="A1491" s="170">
        <v>44237</v>
      </c>
      <c r="B1491" s="116">
        <v>140.1</v>
      </c>
      <c r="C1491" s="116">
        <v>138.19999999999999</v>
      </c>
      <c r="D1491" s="116">
        <v>137</v>
      </c>
      <c r="E1491" s="116">
        <v>139.94999999999999</v>
      </c>
      <c r="F1491" s="116">
        <v>138.19999999999999</v>
      </c>
      <c r="G1491">
        <v>2127</v>
      </c>
      <c r="H1491" s="116"/>
      <c r="I1491" s="116"/>
      <c r="L1491" s="170">
        <v>44207</v>
      </c>
      <c r="M1491" s="116">
        <v>154.55000000000001</v>
      </c>
      <c r="N1491" s="116">
        <v>158.44999999999999</v>
      </c>
      <c r="O1491" s="116">
        <v>153.25</v>
      </c>
      <c r="P1491" s="116">
        <v>158.44999999999999</v>
      </c>
      <c r="Q1491" s="116">
        <v>154.55000000000001</v>
      </c>
      <c r="R1491">
        <v>33818</v>
      </c>
    </row>
    <row r="1492" spans="1:18" x14ac:dyDescent="0.25">
      <c r="A1492" s="170">
        <v>44238</v>
      </c>
      <c r="B1492" s="116">
        <v>141.25</v>
      </c>
      <c r="C1492" s="116">
        <v>140.15</v>
      </c>
      <c r="D1492" s="116">
        <v>139.69999999999999</v>
      </c>
      <c r="E1492" s="116">
        <v>140</v>
      </c>
      <c r="F1492" s="116">
        <v>140.15</v>
      </c>
      <c r="G1492">
        <v>1134</v>
      </c>
      <c r="H1492" s="116"/>
      <c r="I1492" s="116"/>
      <c r="L1492" s="170">
        <v>44208</v>
      </c>
      <c r="M1492" s="116">
        <v>153.05000000000001</v>
      </c>
      <c r="N1492" s="116">
        <v>157.94999999999999</v>
      </c>
      <c r="O1492" s="116">
        <v>150.19999999999999</v>
      </c>
      <c r="P1492" s="116">
        <v>154.85</v>
      </c>
      <c r="Q1492" s="116">
        <v>153.05000000000001</v>
      </c>
      <c r="R1492">
        <v>54994</v>
      </c>
    </row>
    <row r="1493" spans="1:18" x14ac:dyDescent="0.25">
      <c r="A1493" s="170">
        <v>44239</v>
      </c>
      <c r="B1493" s="116">
        <v>143</v>
      </c>
      <c r="C1493" s="116">
        <v>140.80000000000001</v>
      </c>
      <c r="D1493" s="116">
        <v>140</v>
      </c>
      <c r="E1493" s="116">
        <v>140</v>
      </c>
      <c r="F1493" s="116">
        <v>140.80000000000001</v>
      </c>
      <c r="G1493">
        <v>3187</v>
      </c>
      <c r="H1493" s="116"/>
      <c r="I1493" s="116"/>
      <c r="L1493" s="170">
        <v>44209</v>
      </c>
      <c r="M1493" s="116">
        <v>151.30000000000001</v>
      </c>
      <c r="N1493" s="116">
        <v>154.30000000000001</v>
      </c>
      <c r="O1493" s="116">
        <v>141.6</v>
      </c>
      <c r="P1493" s="116">
        <v>153.85</v>
      </c>
      <c r="Q1493" s="116">
        <v>151.30000000000001</v>
      </c>
      <c r="R1493">
        <v>58094</v>
      </c>
    </row>
    <row r="1494" spans="1:18" x14ac:dyDescent="0.25">
      <c r="A1494" s="170">
        <v>44242</v>
      </c>
      <c r="B1494" s="116">
        <v>141.65</v>
      </c>
      <c r="C1494" s="116">
        <v>140</v>
      </c>
      <c r="D1494" s="116">
        <v>140</v>
      </c>
      <c r="E1494" s="116">
        <v>140.25</v>
      </c>
      <c r="F1494" s="116">
        <v>140</v>
      </c>
      <c r="G1494">
        <v>1434</v>
      </c>
      <c r="H1494" s="116"/>
      <c r="I1494" s="116"/>
      <c r="L1494" s="170">
        <v>44210</v>
      </c>
      <c r="M1494" s="116">
        <v>152.35</v>
      </c>
      <c r="N1494" s="116">
        <v>153.85</v>
      </c>
      <c r="O1494" s="116">
        <v>151</v>
      </c>
      <c r="P1494" s="116">
        <v>153.6</v>
      </c>
      <c r="Q1494" s="116">
        <v>152.35</v>
      </c>
      <c r="R1494">
        <v>17950</v>
      </c>
    </row>
    <row r="1495" spans="1:18" x14ac:dyDescent="0.25">
      <c r="A1495" s="170">
        <v>44243</v>
      </c>
      <c r="B1495" s="116">
        <v>143.69999999999999</v>
      </c>
      <c r="C1495" s="116">
        <v>143.44999999999999</v>
      </c>
      <c r="D1495" s="116">
        <v>139</v>
      </c>
      <c r="E1495" s="116">
        <v>140</v>
      </c>
      <c r="F1495" s="116">
        <v>143.44999999999999</v>
      </c>
      <c r="G1495">
        <v>3271</v>
      </c>
      <c r="H1495" s="116"/>
      <c r="I1495" s="116"/>
      <c r="L1495" s="170">
        <v>44211</v>
      </c>
      <c r="M1495" s="116">
        <v>150.15</v>
      </c>
      <c r="N1495" s="116">
        <v>152.9</v>
      </c>
      <c r="O1495" s="116">
        <v>147.85</v>
      </c>
      <c r="P1495" s="116">
        <v>151.85</v>
      </c>
      <c r="Q1495" s="116">
        <v>150.15</v>
      </c>
      <c r="R1495">
        <v>25973</v>
      </c>
    </row>
    <row r="1496" spans="1:18" x14ac:dyDescent="0.25">
      <c r="A1496" s="170">
        <v>44244</v>
      </c>
      <c r="B1496" s="116">
        <v>146.30000000000001</v>
      </c>
      <c r="C1496" s="116">
        <v>145.85</v>
      </c>
      <c r="D1496" s="116">
        <v>141.55000000000001</v>
      </c>
      <c r="E1496" s="116">
        <v>143.5</v>
      </c>
      <c r="F1496" s="116">
        <v>145.85</v>
      </c>
      <c r="G1496">
        <v>5929</v>
      </c>
      <c r="H1496" s="116"/>
      <c r="I1496" s="116"/>
      <c r="L1496" s="170">
        <v>44214</v>
      </c>
      <c r="M1496" s="116">
        <v>147</v>
      </c>
      <c r="N1496" s="116">
        <v>151.80000000000001</v>
      </c>
      <c r="O1496" s="116">
        <v>146.1</v>
      </c>
      <c r="P1496" s="116">
        <v>150.9</v>
      </c>
      <c r="Q1496" s="116">
        <v>147</v>
      </c>
      <c r="R1496">
        <v>15430</v>
      </c>
    </row>
    <row r="1497" spans="1:18" x14ac:dyDescent="0.25">
      <c r="A1497" s="170">
        <v>44245</v>
      </c>
      <c r="B1497" s="116">
        <v>152.5</v>
      </c>
      <c r="C1497" s="116">
        <v>149.94999999999999</v>
      </c>
      <c r="D1497" s="116">
        <v>143.4</v>
      </c>
      <c r="E1497" s="116">
        <v>144.85</v>
      </c>
      <c r="F1497" s="116">
        <v>149.94999999999999</v>
      </c>
      <c r="G1497">
        <v>4485</v>
      </c>
      <c r="H1497" s="116"/>
      <c r="I1497" s="116"/>
      <c r="L1497" s="170">
        <v>44215</v>
      </c>
      <c r="M1497" s="116">
        <v>152.44999999999999</v>
      </c>
      <c r="N1497" s="116">
        <v>153.85</v>
      </c>
      <c r="O1497" s="116">
        <v>147.69999999999999</v>
      </c>
      <c r="P1497" s="116">
        <v>147.75</v>
      </c>
      <c r="Q1497" s="116">
        <v>152.44999999999999</v>
      </c>
      <c r="R1497">
        <v>36601</v>
      </c>
    </row>
    <row r="1498" spans="1:18" x14ac:dyDescent="0.25">
      <c r="A1498" s="170">
        <v>44246</v>
      </c>
      <c r="B1498" s="116">
        <v>164.9</v>
      </c>
      <c r="C1498" s="116">
        <v>147.4</v>
      </c>
      <c r="D1498" s="116">
        <v>146.65</v>
      </c>
      <c r="E1498" s="116">
        <v>164.9</v>
      </c>
      <c r="F1498" s="116">
        <v>147.4</v>
      </c>
      <c r="G1498">
        <v>11758</v>
      </c>
      <c r="H1498" s="116"/>
      <c r="I1498" s="116"/>
      <c r="L1498" s="170">
        <v>44216</v>
      </c>
      <c r="M1498" s="116">
        <v>151.19999999999999</v>
      </c>
      <c r="N1498" s="116">
        <v>153.69999999999999</v>
      </c>
      <c r="O1498" s="116">
        <v>150.15</v>
      </c>
      <c r="P1498" s="116">
        <v>153.25</v>
      </c>
      <c r="Q1498" s="116">
        <v>151.19999999999999</v>
      </c>
      <c r="R1498">
        <v>44423</v>
      </c>
    </row>
    <row r="1499" spans="1:18" x14ac:dyDescent="0.25">
      <c r="A1499" s="170">
        <v>44249</v>
      </c>
      <c r="B1499" s="116">
        <v>149.69999999999999</v>
      </c>
      <c r="C1499" s="116">
        <v>149.05000000000001</v>
      </c>
      <c r="D1499" s="116">
        <v>144</v>
      </c>
      <c r="E1499" s="116">
        <v>144.75</v>
      </c>
      <c r="F1499" s="116">
        <v>149.05000000000001</v>
      </c>
      <c r="G1499">
        <v>5425</v>
      </c>
      <c r="H1499" s="116"/>
      <c r="I1499" s="116"/>
      <c r="L1499" s="170">
        <v>44217</v>
      </c>
      <c r="M1499" s="116">
        <v>148.75</v>
      </c>
      <c r="N1499" s="116">
        <v>152.6</v>
      </c>
      <c r="O1499" s="116">
        <v>146.35</v>
      </c>
      <c r="P1499" s="116">
        <v>152</v>
      </c>
      <c r="Q1499" s="116">
        <v>148.75</v>
      </c>
      <c r="R1499">
        <v>22011</v>
      </c>
    </row>
    <row r="1500" spans="1:18" x14ac:dyDescent="0.25">
      <c r="A1500" s="170">
        <v>44250</v>
      </c>
      <c r="B1500" s="116">
        <v>151.19999999999999</v>
      </c>
      <c r="C1500" s="116">
        <v>150.9</v>
      </c>
      <c r="D1500" s="116">
        <v>149.85</v>
      </c>
      <c r="E1500" s="116">
        <v>149.85</v>
      </c>
      <c r="F1500" s="116">
        <v>150.9</v>
      </c>
      <c r="G1500">
        <v>9252</v>
      </c>
      <c r="H1500" s="116"/>
      <c r="I1500" s="116"/>
      <c r="L1500" s="170">
        <v>44218</v>
      </c>
      <c r="M1500" s="116">
        <v>146.6</v>
      </c>
      <c r="N1500" s="116">
        <v>151.80000000000001</v>
      </c>
      <c r="O1500" s="116">
        <v>145.1</v>
      </c>
      <c r="P1500" s="116">
        <v>149.30000000000001</v>
      </c>
      <c r="Q1500" s="116">
        <v>146.6</v>
      </c>
      <c r="R1500">
        <v>23312</v>
      </c>
    </row>
    <row r="1501" spans="1:18" x14ac:dyDescent="0.25">
      <c r="A1501" s="170">
        <v>44251</v>
      </c>
      <c r="B1501" s="116">
        <v>159.6</v>
      </c>
      <c r="C1501" s="116">
        <v>155.30000000000001</v>
      </c>
      <c r="D1501" s="116">
        <v>152.1</v>
      </c>
      <c r="E1501" s="116">
        <v>152.1</v>
      </c>
      <c r="F1501" s="116">
        <v>155.30000000000001</v>
      </c>
      <c r="G1501">
        <v>16113</v>
      </c>
      <c r="H1501" s="116"/>
      <c r="I1501" s="116"/>
      <c r="L1501" s="170">
        <v>44221</v>
      </c>
      <c r="M1501" s="116">
        <v>144.35</v>
      </c>
      <c r="N1501" s="116">
        <v>148.44999999999999</v>
      </c>
      <c r="O1501" s="116">
        <v>144</v>
      </c>
      <c r="P1501" s="116">
        <v>147.30000000000001</v>
      </c>
      <c r="Q1501" s="116">
        <v>144.35</v>
      </c>
      <c r="R1501">
        <v>13635</v>
      </c>
    </row>
    <row r="1502" spans="1:18" x14ac:dyDescent="0.25">
      <c r="A1502" s="170">
        <v>44252</v>
      </c>
      <c r="B1502" s="116">
        <v>161.19999999999999</v>
      </c>
      <c r="C1502" s="116">
        <v>160</v>
      </c>
      <c r="D1502" s="116">
        <v>153.5</v>
      </c>
      <c r="E1502" s="116">
        <v>157.85</v>
      </c>
      <c r="F1502" s="116">
        <v>160</v>
      </c>
      <c r="G1502">
        <v>12917</v>
      </c>
      <c r="H1502" s="116"/>
      <c r="I1502" s="116"/>
      <c r="L1502" s="170">
        <v>44223</v>
      </c>
      <c r="M1502" s="116">
        <v>146.30000000000001</v>
      </c>
      <c r="N1502" s="116">
        <v>148</v>
      </c>
      <c r="O1502" s="116">
        <v>144.1</v>
      </c>
      <c r="P1502" s="116">
        <v>145.1</v>
      </c>
      <c r="Q1502" s="116">
        <v>146.30000000000001</v>
      </c>
      <c r="R1502">
        <v>29564</v>
      </c>
    </row>
    <row r="1503" spans="1:18" x14ac:dyDescent="0.25">
      <c r="A1503" s="170">
        <v>44253</v>
      </c>
      <c r="B1503" s="116">
        <v>160</v>
      </c>
      <c r="C1503" s="116">
        <v>158.69999999999999</v>
      </c>
      <c r="D1503" s="116">
        <v>156</v>
      </c>
      <c r="E1503" s="116">
        <v>159</v>
      </c>
      <c r="F1503" s="116">
        <v>158.69999999999999</v>
      </c>
      <c r="G1503">
        <v>2893</v>
      </c>
      <c r="H1503" s="116"/>
      <c r="I1503" s="116"/>
      <c r="L1503" s="170">
        <v>44224</v>
      </c>
      <c r="M1503" s="116">
        <v>142.75</v>
      </c>
      <c r="N1503" s="116">
        <v>145.69999999999999</v>
      </c>
      <c r="O1503" s="116">
        <v>142</v>
      </c>
      <c r="P1503" s="116">
        <v>144.1</v>
      </c>
      <c r="Q1503" s="116">
        <v>142.75</v>
      </c>
      <c r="R1503">
        <v>16482</v>
      </c>
    </row>
    <row r="1504" spans="1:18" x14ac:dyDescent="0.25">
      <c r="A1504" s="170">
        <v>44256</v>
      </c>
      <c r="B1504" s="116">
        <v>163.15</v>
      </c>
      <c r="C1504" s="116">
        <v>162.15</v>
      </c>
      <c r="D1504" s="116">
        <v>156</v>
      </c>
      <c r="E1504" s="116">
        <v>156</v>
      </c>
      <c r="F1504" s="116">
        <v>162.15</v>
      </c>
      <c r="G1504">
        <v>13584</v>
      </c>
      <c r="H1504" s="116"/>
      <c r="I1504" s="116"/>
      <c r="L1504" s="170">
        <v>44225</v>
      </c>
      <c r="M1504" s="116">
        <v>143.9</v>
      </c>
      <c r="N1504" s="116">
        <v>147.30000000000001</v>
      </c>
      <c r="O1504" s="116">
        <v>143.1</v>
      </c>
      <c r="P1504" s="116">
        <v>144.75</v>
      </c>
      <c r="Q1504" s="116">
        <v>143.9</v>
      </c>
      <c r="R1504">
        <v>24007</v>
      </c>
    </row>
    <row r="1505" spans="1:18" x14ac:dyDescent="0.25">
      <c r="A1505" s="170">
        <v>44257</v>
      </c>
      <c r="B1505" s="116">
        <v>171</v>
      </c>
      <c r="C1505" s="116">
        <v>167.8</v>
      </c>
      <c r="D1505" s="116">
        <v>162</v>
      </c>
      <c r="E1505" s="116">
        <v>162.44999999999999</v>
      </c>
      <c r="F1505" s="116">
        <v>167.8</v>
      </c>
      <c r="G1505">
        <v>14862</v>
      </c>
      <c r="H1505" s="116"/>
      <c r="I1505" s="116"/>
      <c r="L1505" s="170">
        <v>44228</v>
      </c>
      <c r="M1505" s="116">
        <v>143.5</v>
      </c>
      <c r="N1505" s="116">
        <v>144.85</v>
      </c>
      <c r="O1505" s="116">
        <v>141.1</v>
      </c>
      <c r="P1505" s="116">
        <v>144.05000000000001</v>
      </c>
      <c r="Q1505" s="116">
        <v>143.5</v>
      </c>
      <c r="R1505">
        <v>26612</v>
      </c>
    </row>
    <row r="1506" spans="1:18" x14ac:dyDescent="0.25">
      <c r="A1506" s="170">
        <v>44258</v>
      </c>
      <c r="B1506" s="116">
        <v>172.6</v>
      </c>
      <c r="C1506" s="116">
        <v>167.45</v>
      </c>
      <c r="D1506" s="116">
        <v>166</v>
      </c>
      <c r="E1506" s="116">
        <v>172.6</v>
      </c>
      <c r="F1506" s="116">
        <v>167.45</v>
      </c>
      <c r="G1506">
        <v>6431</v>
      </c>
      <c r="H1506" s="116"/>
      <c r="I1506" s="116"/>
      <c r="L1506" s="170">
        <v>44229</v>
      </c>
      <c r="M1506" s="116">
        <v>142.9</v>
      </c>
      <c r="N1506" s="116">
        <v>146.55000000000001</v>
      </c>
      <c r="O1506" s="116">
        <v>141.15</v>
      </c>
      <c r="P1506" s="116">
        <v>142.4</v>
      </c>
      <c r="Q1506" s="116">
        <v>142.9</v>
      </c>
      <c r="R1506">
        <v>36849</v>
      </c>
    </row>
    <row r="1507" spans="1:18" x14ac:dyDescent="0.25">
      <c r="A1507" s="170">
        <v>44259</v>
      </c>
      <c r="B1507" s="116">
        <v>167.35</v>
      </c>
      <c r="C1507" s="116">
        <v>166.05</v>
      </c>
      <c r="D1507" s="116">
        <v>162.65</v>
      </c>
      <c r="E1507" s="116">
        <v>163.85</v>
      </c>
      <c r="F1507" s="116">
        <v>166.05</v>
      </c>
      <c r="G1507">
        <v>9138</v>
      </c>
      <c r="H1507" s="116"/>
      <c r="I1507" s="116"/>
      <c r="L1507" s="170">
        <v>44230</v>
      </c>
      <c r="M1507" s="116">
        <v>144.65</v>
      </c>
      <c r="N1507" s="116">
        <v>145.19999999999999</v>
      </c>
      <c r="O1507" s="116">
        <v>142.35</v>
      </c>
      <c r="P1507" s="116">
        <v>143.6</v>
      </c>
      <c r="Q1507" s="116">
        <v>144.65</v>
      </c>
      <c r="R1507">
        <v>24635</v>
      </c>
    </row>
    <row r="1508" spans="1:18" x14ac:dyDescent="0.25">
      <c r="A1508" s="170">
        <v>44260</v>
      </c>
      <c r="B1508" s="116">
        <v>165.1</v>
      </c>
      <c r="C1508" s="116">
        <v>158.80000000000001</v>
      </c>
      <c r="D1508" s="116">
        <v>156</v>
      </c>
      <c r="E1508" s="116">
        <v>164.9</v>
      </c>
      <c r="F1508" s="116">
        <v>158.80000000000001</v>
      </c>
      <c r="G1508">
        <v>928</v>
      </c>
      <c r="H1508" s="116"/>
      <c r="I1508" s="116"/>
      <c r="L1508" s="170">
        <v>44231</v>
      </c>
      <c r="M1508" s="116">
        <v>147.1</v>
      </c>
      <c r="N1508" s="116">
        <v>149.9</v>
      </c>
      <c r="O1508" s="116">
        <v>141.80000000000001</v>
      </c>
      <c r="P1508" s="116">
        <v>145.4</v>
      </c>
      <c r="Q1508" s="116">
        <v>147.1</v>
      </c>
      <c r="R1508">
        <v>128554</v>
      </c>
    </row>
    <row r="1509" spans="1:18" x14ac:dyDescent="0.25">
      <c r="A1509" s="170">
        <v>44263</v>
      </c>
      <c r="B1509" s="116">
        <v>161.05000000000001</v>
      </c>
      <c r="C1509" s="116">
        <v>153.69999999999999</v>
      </c>
      <c r="D1509" s="116">
        <v>150.6</v>
      </c>
      <c r="E1509" s="116">
        <v>161.05000000000001</v>
      </c>
      <c r="F1509" s="116">
        <v>153.69999999999999</v>
      </c>
      <c r="G1509">
        <v>5565</v>
      </c>
      <c r="H1509" s="116"/>
      <c r="I1509" s="116"/>
      <c r="L1509" s="170">
        <v>44232</v>
      </c>
      <c r="M1509" s="116">
        <v>146.19999999999999</v>
      </c>
      <c r="N1509" s="116">
        <v>148.5</v>
      </c>
      <c r="O1509" s="116">
        <v>145.44999999999999</v>
      </c>
      <c r="P1509" s="116">
        <v>145.44999999999999</v>
      </c>
      <c r="Q1509" s="116">
        <v>146.19999999999999</v>
      </c>
      <c r="R1509">
        <v>22338</v>
      </c>
    </row>
    <row r="1510" spans="1:18" x14ac:dyDescent="0.25">
      <c r="A1510" s="170">
        <v>44264</v>
      </c>
      <c r="B1510" s="116">
        <v>157.1</v>
      </c>
      <c r="C1510" s="116">
        <v>155.4</v>
      </c>
      <c r="D1510" s="116">
        <v>155</v>
      </c>
      <c r="E1510" s="116">
        <v>157.05000000000001</v>
      </c>
      <c r="F1510" s="116">
        <v>155.4</v>
      </c>
      <c r="G1510">
        <v>1647</v>
      </c>
      <c r="H1510" s="116"/>
      <c r="I1510" s="116"/>
      <c r="L1510" s="170">
        <v>44235</v>
      </c>
      <c r="M1510" s="116">
        <v>140.05000000000001</v>
      </c>
      <c r="N1510" s="116">
        <v>142.80000000000001</v>
      </c>
      <c r="O1510" s="116">
        <v>139.80000000000001</v>
      </c>
      <c r="P1510" s="116">
        <v>142.5</v>
      </c>
      <c r="Q1510" s="116">
        <v>140.05000000000001</v>
      </c>
      <c r="R1510">
        <v>87635</v>
      </c>
    </row>
    <row r="1511" spans="1:18" x14ac:dyDescent="0.25">
      <c r="A1511" s="170">
        <v>44265</v>
      </c>
      <c r="B1511" s="116">
        <v>159.65</v>
      </c>
      <c r="C1511" s="116">
        <v>158.65</v>
      </c>
      <c r="D1511" s="116">
        <v>156.35</v>
      </c>
      <c r="E1511" s="116">
        <v>158.85</v>
      </c>
      <c r="F1511" s="116">
        <v>158.65</v>
      </c>
      <c r="G1511">
        <v>2904</v>
      </c>
      <c r="H1511" s="116"/>
      <c r="I1511" s="116"/>
      <c r="L1511" s="170">
        <v>44236</v>
      </c>
      <c r="M1511" s="116">
        <v>137.65</v>
      </c>
      <c r="N1511" s="116">
        <v>141.94999999999999</v>
      </c>
      <c r="O1511" s="116">
        <v>136.69999999999999</v>
      </c>
      <c r="P1511" s="116">
        <v>140.80000000000001</v>
      </c>
      <c r="Q1511" s="116">
        <v>137.65</v>
      </c>
      <c r="R1511">
        <v>73646</v>
      </c>
    </row>
    <row r="1512" spans="1:18" x14ac:dyDescent="0.25">
      <c r="A1512" s="170">
        <v>44267</v>
      </c>
      <c r="B1512" s="116">
        <v>160.80000000000001</v>
      </c>
      <c r="C1512" s="116">
        <v>159.05000000000001</v>
      </c>
      <c r="D1512" s="116">
        <v>157.69999999999999</v>
      </c>
      <c r="E1512" s="116">
        <v>159.65</v>
      </c>
      <c r="F1512" s="116">
        <v>159.05000000000001</v>
      </c>
      <c r="G1512">
        <v>1628</v>
      </c>
      <c r="H1512" s="116"/>
      <c r="I1512" s="116"/>
      <c r="L1512" s="170">
        <v>44237</v>
      </c>
      <c r="M1512" s="116">
        <v>138.65</v>
      </c>
      <c r="N1512" s="116">
        <v>140.1</v>
      </c>
      <c r="O1512" s="116">
        <v>136.69999999999999</v>
      </c>
      <c r="P1512" s="116">
        <v>137</v>
      </c>
      <c r="Q1512" s="116">
        <v>138.65</v>
      </c>
      <c r="R1512">
        <v>37010</v>
      </c>
    </row>
    <row r="1513" spans="1:18" x14ac:dyDescent="0.25">
      <c r="A1513" s="170">
        <v>44270</v>
      </c>
      <c r="B1513" s="116">
        <v>161.65</v>
      </c>
      <c r="C1513" s="116">
        <v>157.9</v>
      </c>
      <c r="D1513" s="116">
        <v>157</v>
      </c>
      <c r="E1513" s="116">
        <v>158.1</v>
      </c>
      <c r="F1513" s="116">
        <v>157.9</v>
      </c>
      <c r="G1513">
        <v>1804</v>
      </c>
      <c r="H1513" s="116"/>
      <c r="I1513" s="116"/>
      <c r="L1513" s="170">
        <v>44238</v>
      </c>
      <c r="M1513" s="116">
        <v>139.85</v>
      </c>
      <c r="N1513" s="116">
        <v>142</v>
      </c>
      <c r="O1513" s="116">
        <v>138.5</v>
      </c>
      <c r="P1513" s="116">
        <v>138.94999999999999</v>
      </c>
      <c r="Q1513" s="116">
        <v>139.85</v>
      </c>
      <c r="R1513">
        <v>40489</v>
      </c>
    </row>
    <row r="1514" spans="1:18" x14ac:dyDescent="0.25">
      <c r="A1514" s="170">
        <v>44271</v>
      </c>
      <c r="B1514" s="116">
        <v>169.2</v>
      </c>
      <c r="C1514" s="116">
        <v>163.6</v>
      </c>
      <c r="D1514" s="116">
        <v>162</v>
      </c>
      <c r="E1514" s="116">
        <v>163</v>
      </c>
      <c r="F1514" s="116">
        <v>163.6</v>
      </c>
      <c r="G1514">
        <v>14017</v>
      </c>
      <c r="H1514" s="116"/>
      <c r="I1514" s="116"/>
      <c r="L1514" s="170">
        <v>44239</v>
      </c>
      <c r="M1514" s="116">
        <v>141.35</v>
      </c>
      <c r="N1514" s="116">
        <v>143.19999999999999</v>
      </c>
      <c r="O1514" s="116">
        <v>139.4</v>
      </c>
      <c r="P1514" s="116">
        <v>141.30000000000001</v>
      </c>
      <c r="Q1514" s="116">
        <v>141.35</v>
      </c>
      <c r="R1514">
        <v>27541</v>
      </c>
    </row>
    <row r="1515" spans="1:18" x14ac:dyDescent="0.25">
      <c r="A1515" s="170">
        <v>44272</v>
      </c>
      <c r="B1515" s="116">
        <v>169</v>
      </c>
      <c r="C1515" s="116">
        <v>164.3</v>
      </c>
      <c r="D1515" s="116">
        <v>162.85</v>
      </c>
      <c r="E1515" s="116">
        <v>164.1</v>
      </c>
      <c r="F1515" s="116">
        <v>164.3</v>
      </c>
      <c r="G1515">
        <v>6828</v>
      </c>
      <c r="H1515" s="116"/>
      <c r="I1515" s="116"/>
      <c r="L1515" s="170">
        <v>44242</v>
      </c>
      <c r="M1515" s="116">
        <v>140.05000000000001</v>
      </c>
      <c r="N1515" s="116">
        <v>142.19999999999999</v>
      </c>
      <c r="O1515" s="116">
        <v>139.80000000000001</v>
      </c>
      <c r="P1515" s="116">
        <v>139.80000000000001</v>
      </c>
      <c r="Q1515" s="116">
        <v>140.05000000000001</v>
      </c>
      <c r="R1515">
        <v>33818</v>
      </c>
    </row>
    <row r="1516" spans="1:18" x14ac:dyDescent="0.25">
      <c r="A1516" s="170">
        <v>44273</v>
      </c>
      <c r="B1516" s="116">
        <v>170</v>
      </c>
      <c r="C1516" s="116">
        <v>158.80000000000001</v>
      </c>
      <c r="D1516" s="116">
        <v>157.05000000000001</v>
      </c>
      <c r="E1516" s="116">
        <v>166.6</v>
      </c>
      <c r="F1516" s="116">
        <v>158.80000000000001</v>
      </c>
      <c r="G1516">
        <v>9123</v>
      </c>
      <c r="H1516" s="116"/>
      <c r="I1516" s="116"/>
      <c r="L1516" s="170">
        <v>44243</v>
      </c>
      <c r="M1516" s="116">
        <v>143.1</v>
      </c>
      <c r="N1516" s="116">
        <v>144.19999999999999</v>
      </c>
      <c r="O1516" s="116">
        <v>138.75</v>
      </c>
      <c r="P1516" s="116">
        <v>140.1</v>
      </c>
      <c r="Q1516" s="116">
        <v>143.1</v>
      </c>
      <c r="R1516">
        <v>48342</v>
      </c>
    </row>
    <row r="1517" spans="1:18" x14ac:dyDescent="0.25">
      <c r="A1517" s="170">
        <v>44274</v>
      </c>
      <c r="B1517" s="116">
        <v>161.15</v>
      </c>
      <c r="C1517" s="116">
        <v>158.4</v>
      </c>
      <c r="D1517" s="116">
        <v>152.25</v>
      </c>
      <c r="E1517" s="116">
        <v>157</v>
      </c>
      <c r="F1517" s="116">
        <v>158.4</v>
      </c>
      <c r="G1517">
        <v>5051</v>
      </c>
      <c r="H1517" s="116"/>
      <c r="I1517" s="116"/>
      <c r="L1517" s="170">
        <v>44244</v>
      </c>
      <c r="M1517" s="116">
        <v>145.94999999999999</v>
      </c>
      <c r="N1517" s="116">
        <v>146.5</v>
      </c>
      <c r="O1517" s="116">
        <v>140.55000000000001</v>
      </c>
      <c r="P1517" s="116">
        <v>143.80000000000001</v>
      </c>
      <c r="Q1517" s="116">
        <v>145.94999999999999</v>
      </c>
      <c r="R1517">
        <v>54734</v>
      </c>
    </row>
    <row r="1518" spans="1:18" x14ac:dyDescent="0.25">
      <c r="A1518" s="170">
        <v>44277</v>
      </c>
      <c r="B1518" s="116">
        <v>160.4</v>
      </c>
      <c r="C1518" s="116">
        <v>160.15</v>
      </c>
      <c r="D1518" s="116">
        <v>157.19999999999999</v>
      </c>
      <c r="E1518" s="116">
        <v>157.19999999999999</v>
      </c>
      <c r="F1518" s="116">
        <v>160.15</v>
      </c>
      <c r="G1518">
        <v>372</v>
      </c>
      <c r="H1518" s="116"/>
      <c r="I1518" s="116"/>
      <c r="L1518" s="170">
        <v>44245</v>
      </c>
      <c r="M1518" s="116">
        <v>150.1</v>
      </c>
      <c r="N1518" s="116">
        <v>153.4</v>
      </c>
      <c r="O1518" s="116">
        <v>142.5</v>
      </c>
      <c r="P1518" s="116">
        <v>148.35</v>
      </c>
      <c r="Q1518" s="116">
        <v>150.1</v>
      </c>
      <c r="R1518">
        <v>250145</v>
      </c>
    </row>
    <row r="1519" spans="1:18" x14ac:dyDescent="0.25">
      <c r="A1519" s="170">
        <v>44278</v>
      </c>
      <c r="B1519" s="116">
        <v>164.9</v>
      </c>
      <c r="C1519" s="116">
        <v>163.55000000000001</v>
      </c>
      <c r="D1519" s="116">
        <v>161.65</v>
      </c>
      <c r="E1519" s="116">
        <v>162</v>
      </c>
      <c r="F1519" s="116">
        <v>163.55000000000001</v>
      </c>
      <c r="G1519">
        <v>3693</v>
      </c>
      <c r="H1519" s="116"/>
      <c r="I1519" s="116"/>
      <c r="L1519" s="170">
        <v>44246</v>
      </c>
      <c r="M1519" s="116">
        <v>147</v>
      </c>
      <c r="N1519" s="116">
        <v>156.15</v>
      </c>
      <c r="O1519" s="116">
        <v>145.05000000000001</v>
      </c>
      <c r="P1519" s="116">
        <v>150.9</v>
      </c>
      <c r="Q1519" s="116">
        <v>147</v>
      </c>
      <c r="R1519">
        <v>107119</v>
      </c>
    </row>
    <row r="1520" spans="1:18" x14ac:dyDescent="0.25">
      <c r="A1520" s="170">
        <v>44279</v>
      </c>
      <c r="B1520" s="116">
        <v>166.15</v>
      </c>
      <c r="C1520" s="116">
        <v>158.94999999999999</v>
      </c>
      <c r="D1520" s="116">
        <v>158.85</v>
      </c>
      <c r="E1520" s="116">
        <v>162.05000000000001</v>
      </c>
      <c r="F1520" s="116">
        <v>158.94999999999999</v>
      </c>
      <c r="G1520">
        <v>2539</v>
      </c>
      <c r="H1520" s="116"/>
      <c r="I1520" s="116"/>
      <c r="L1520" s="170">
        <v>44249</v>
      </c>
      <c r="M1520" s="116">
        <v>149.15</v>
      </c>
      <c r="N1520" s="116">
        <v>150</v>
      </c>
      <c r="O1520" s="116">
        <v>144.25</v>
      </c>
      <c r="P1520" s="116">
        <v>149</v>
      </c>
      <c r="Q1520" s="116">
        <v>149.15</v>
      </c>
      <c r="R1520">
        <v>62764</v>
      </c>
    </row>
    <row r="1521" spans="1:18" x14ac:dyDescent="0.25">
      <c r="A1521" s="170">
        <v>44280</v>
      </c>
      <c r="B1521" s="116">
        <v>162</v>
      </c>
      <c r="C1521" s="116">
        <v>160.6</v>
      </c>
      <c r="D1521" s="116">
        <v>153.1</v>
      </c>
      <c r="E1521" s="116">
        <v>158</v>
      </c>
      <c r="F1521" s="116">
        <v>160.6</v>
      </c>
      <c r="G1521">
        <v>3791</v>
      </c>
      <c r="H1521" s="116"/>
      <c r="I1521" s="116"/>
      <c r="L1521" s="170">
        <v>44250</v>
      </c>
      <c r="M1521" s="116">
        <v>151.19999999999999</v>
      </c>
      <c r="N1521" s="116">
        <v>151.94999999999999</v>
      </c>
      <c r="O1521" s="116">
        <v>148.44999999999999</v>
      </c>
      <c r="P1521" s="116">
        <v>149.65</v>
      </c>
      <c r="Q1521" s="116">
        <v>151.19999999999999</v>
      </c>
      <c r="R1521">
        <v>42480</v>
      </c>
    </row>
    <row r="1522" spans="1:18" x14ac:dyDescent="0.25">
      <c r="A1522" s="170">
        <v>44281</v>
      </c>
      <c r="B1522" s="116">
        <v>162.5</v>
      </c>
      <c r="C1522" s="116">
        <v>160.44999999999999</v>
      </c>
      <c r="D1522" s="116">
        <v>156.69999999999999</v>
      </c>
      <c r="E1522" s="116">
        <v>156.69999999999999</v>
      </c>
      <c r="F1522" s="116">
        <v>160.44999999999999</v>
      </c>
      <c r="G1522">
        <v>2282</v>
      </c>
      <c r="H1522" s="116"/>
      <c r="I1522" s="116"/>
      <c r="L1522" s="170">
        <v>44251</v>
      </c>
      <c r="M1522" s="116">
        <v>155.35</v>
      </c>
      <c r="N1522" s="116">
        <v>159.80000000000001</v>
      </c>
      <c r="O1522" s="116">
        <v>145.85</v>
      </c>
      <c r="P1522" s="116">
        <v>151.94999999999999</v>
      </c>
      <c r="Q1522" s="116">
        <v>155.35</v>
      </c>
      <c r="R1522">
        <v>157107</v>
      </c>
    </row>
    <row r="1523" spans="1:18" x14ac:dyDescent="0.25">
      <c r="A1523" s="170">
        <v>44285</v>
      </c>
      <c r="B1523" s="116">
        <v>163.9</v>
      </c>
      <c r="C1523" s="116">
        <v>160.6</v>
      </c>
      <c r="D1523" s="116">
        <v>160.55000000000001</v>
      </c>
      <c r="E1523" s="116">
        <v>161.5</v>
      </c>
      <c r="F1523" s="116">
        <v>160.6</v>
      </c>
      <c r="G1523">
        <v>1973</v>
      </c>
      <c r="H1523" s="116"/>
      <c r="I1523" s="116"/>
      <c r="L1523" s="170">
        <v>44252</v>
      </c>
      <c r="M1523" s="116">
        <v>160</v>
      </c>
      <c r="N1523" s="116">
        <v>161.69999999999999</v>
      </c>
      <c r="O1523" s="116">
        <v>154.30000000000001</v>
      </c>
      <c r="P1523" s="116">
        <v>158.4</v>
      </c>
      <c r="Q1523" s="116">
        <v>160</v>
      </c>
      <c r="R1523">
        <v>216906</v>
      </c>
    </row>
    <row r="1524" spans="1:18" x14ac:dyDescent="0.25">
      <c r="A1524" s="170">
        <v>44286</v>
      </c>
      <c r="B1524" s="116">
        <v>164.35</v>
      </c>
      <c r="C1524" s="116">
        <v>161.25</v>
      </c>
      <c r="D1524" s="116">
        <v>159.85</v>
      </c>
      <c r="E1524" s="116">
        <v>161</v>
      </c>
      <c r="F1524" s="116">
        <v>161.25</v>
      </c>
      <c r="G1524">
        <v>634</v>
      </c>
      <c r="H1524" s="116"/>
      <c r="I1524" s="116"/>
      <c r="L1524" s="170">
        <v>44253</v>
      </c>
      <c r="M1524" s="116">
        <v>157.15</v>
      </c>
      <c r="N1524" s="116">
        <v>160.85</v>
      </c>
      <c r="O1524" s="116">
        <v>156.15</v>
      </c>
      <c r="P1524" s="116">
        <v>158.9</v>
      </c>
      <c r="Q1524" s="116">
        <v>157.15</v>
      </c>
      <c r="R1524">
        <v>88393</v>
      </c>
    </row>
    <row r="1525" spans="1:18" x14ac:dyDescent="0.25">
      <c r="A1525" s="170">
        <v>44287</v>
      </c>
      <c r="B1525" s="116">
        <v>164.5</v>
      </c>
      <c r="C1525" s="116">
        <v>161.55000000000001</v>
      </c>
      <c r="D1525" s="116">
        <v>161.05000000000001</v>
      </c>
      <c r="E1525" s="116">
        <v>164.5</v>
      </c>
      <c r="F1525" s="116">
        <v>161.55000000000001</v>
      </c>
      <c r="G1525">
        <v>405</v>
      </c>
      <c r="H1525" s="116"/>
      <c r="I1525" s="116"/>
      <c r="L1525" s="170">
        <v>44256</v>
      </c>
      <c r="M1525" s="116">
        <v>162.35</v>
      </c>
      <c r="N1525" s="116">
        <v>163.5</v>
      </c>
      <c r="O1525" s="116">
        <v>158.05000000000001</v>
      </c>
      <c r="P1525" s="116">
        <v>160.75</v>
      </c>
      <c r="Q1525" s="116">
        <v>162.35</v>
      </c>
      <c r="R1525">
        <v>84663</v>
      </c>
    </row>
    <row r="1526" spans="1:18" x14ac:dyDescent="0.25">
      <c r="A1526" s="170">
        <v>44291</v>
      </c>
      <c r="B1526" s="116">
        <v>161.94999999999999</v>
      </c>
      <c r="C1526" s="116">
        <v>159.4</v>
      </c>
      <c r="D1526" s="116">
        <v>154.55000000000001</v>
      </c>
      <c r="E1526" s="116">
        <v>160.80000000000001</v>
      </c>
      <c r="F1526" s="116">
        <v>159.4</v>
      </c>
      <c r="G1526">
        <v>946</v>
      </c>
      <c r="H1526" s="116"/>
      <c r="I1526" s="116"/>
      <c r="L1526" s="170">
        <v>44257</v>
      </c>
      <c r="M1526" s="116">
        <v>167.95</v>
      </c>
      <c r="N1526" s="116">
        <v>171.45</v>
      </c>
      <c r="O1526" s="116">
        <v>162</v>
      </c>
      <c r="P1526" s="116">
        <v>162.35</v>
      </c>
      <c r="Q1526" s="116">
        <v>167.95</v>
      </c>
      <c r="R1526">
        <v>404232</v>
      </c>
    </row>
    <row r="1527" spans="1:18" x14ac:dyDescent="0.25">
      <c r="A1527" s="170">
        <v>44292</v>
      </c>
      <c r="B1527" s="116">
        <v>162.1</v>
      </c>
      <c r="C1527" s="116">
        <v>159.05000000000001</v>
      </c>
      <c r="D1527" s="116">
        <v>158.30000000000001</v>
      </c>
      <c r="E1527" s="116">
        <v>159</v>
      </c>
      <c r="F1527" s="116">
        <v>159.05000000000001</v>
      </c>
      <c r="G1527">
        <v>2719</v>
      </c>
      <c r="H1527" s="116"/>
      <c r="I1527" s="116"/>
      <c r="L1527" s="170">
        <v>44258</v>
      </c>
      <c r="M1527" s="116">
        <v>167.4</v>
      </c>
      <c r="N1527" s="116">
        <v>171.8</v>
      </c>
      <c r="O1527" s="116">
        <v>165.15</v>
      </c>
      <c r="P1527" s="116">
        <v>169.45</v>
      </c>
      <c r="Q1527" s="116">
        <v>167.4</v>
      </c>
      <c r="R1527">
        <v>156205</v>
      </c>
    </row>
    <row r="1528" spans="1:18" x14ac:dyDescent="0.25">
      <c r="A1528" s="170">
        <v>44293</v>
      </c>
      <c r="B1528" s="116">
        <v>163.19999999999999</v>
      </c>
      <c r="C1528" s="116">
        <v>159.9</v>
      </c>
      <c r="D1528" s="116">
        <v>158.44999999999999</v>
      </c>
      <c r="E1528" s="116">
        <v>158.5</v>
      </c>
      <c r="F1528" s="116">
        <v>159.9</v>
      </c>
      <c r="G1528">
        <v>656</v>
      </c>
      <c r="H1528" s="116"/>
      <c r="I1528" s="116"/>
      <c r="L1528" s="170">
        <v>44259</v>
      </c>
      <c r="M1528" s="116">
        <v>166.25</v>
      </c>
      <c r="N1528" s="116">
        <v>167.5</v>
      </c>
      <c r="O1528" s="116">
        <v>163</v>
      </c>
      <c r="P1528" s="116">
        <v>166.85</v>
      </c>
      <c r="Q1528" s="116">
        <v>166.25</v>
      </c>
      <c r="R1528">
        <v>73215</v>
      </c>
    </row>
    <row r="1529" spans="1:18" x14ac:dyDescent="0.25">
      <c r="A1529" s="170">
        <v>44294</v>
      </c>
      <c r="B1529" s="116">
        <v>168</v>
      </c>
      <c r="C1529" s="116">
        <v>162</v>
      </c>
      <c r="D1529" s="116">
        <v>160.19999999999999</v>
      </c>
      <c r="E1529" s="116">
        <v>163</v>
      </c>
      <c r="F1529" s="116">
        <v>162</v>
      </c>
      <c r="G1529">
        <v>266</v>
      </c>
      <c r="H1529" s="116"/>
      <c r="I1529" s="116"/>
      <c r="L1529" s="170">
        <v>44260</v>
      </c>
      <c r="M1529" s="116">
        <v>159.30000000000001</v>
      </c>
      <c r="N1529" s="116">
        <v>166.05</v>
      </c>
      <c r="O1529" s="116">
        <v>155.9</v>
      </c>
      <c r="P1529" s="116">
        <v>165.35</v>
      </c>
      <c r="Q1529" s="116">
        <v>159.30000000000001</v>
      </c>
      <c r="R1529">
        <v>56712</v>
      </c>
    </row>
    <row r="1530" spans="1:18" x14ac:dyDescent="0.25">
      <c r="A1530" s="170">
        <v>44295</v>
      </c>
      <c r="B1530" s="116">
        <v>167</v>
      </c>
      <c r="C1530" s="116">
        <v>163.55000000000001</v>
      </c>
      <c r="D1530" s="116">
        <v>162.80000000000001</v>
      </c>
      <c r="E1530" s="116">
        <v>164</v>
      </c>
      <c r="F1530" s="116">
        <v>163.55000000000001</v>
      </c>
      <c r="G1530">
        <v>595</v>
      </c>
      <c r="H1530" s="116"/>
      <c r="I1530" s="116"/>
      <c r="L1530" s="170">
        <v>44263</v>
      </c>
      <c r="M1530" s="116">
        <v>155.69999999999999</v>
      </c>
      <c r="N1530" s="116">
        <v>164.5</v>
      </c>
      <c r="O1530" s="116">
        <v>154.1</v>
      </c>
      <c r="P1530" s="116">
        <v>160.80000000000001</v>
      </c>
      <c r="Q1530" s="116">
        <v>155.69999999999999</v>
      </c>
      <c r="R1530">
        <v>46567</v>
      </c>
    </row>
    <row r="1531" spans="1:18" x14ac:dyDescent="0.25">
      <c r="A1531" s="170">
        <v>44298</v>
      </c>
      <c r="B1531" s="116">
        <v>163.95</v>
      </c>
      <c r="C1531" s="116">
        <v>154.9</v>
      </c>
      <c r="D1531" s="116">
        <v>153</v>
      </c>
      <c r="E1531" s="116">
        <v>155.35</v>
      </c>
      <c r="F1531" s="116">
        <v>154.9</v>
      </c>
      <c r="G1531">
        <v>1261</v>
      </c>
      <c r="H1531" s="116"/>
      <c r="I1531" s="116"/>
      <c r="L1531" s="170">
        <v>44264</v>
      </c>
      <c r="M1531" s="116">
        <v>155.1</v>
      </c>
      <c r="N1531" s="116">
        <v>157.85</v>
      </c>
      <c r="O1531" s="116">
        <v>154.15</v>
      </c>
      <c r="P1531" s="116">
        <v>155.85</v>
      </c>
      <c r="Q1531" s="116">
        <v>155.1</v>
      </c>
      <c r="R1531">
        <v>32201</v>
      </c>
    </row>
    <row r="1532" spans="1:18" x14ac:dyDescent="0.25">
      <c r="A1532" s="170">
        <v>44299</v>
      </c>
      <c r="B1532" s="116">
        <v>159.75</v>
      </c>
      <c r="C1532" s="116">
        <v>158.85</v>
      </c>
      <c r="D1532" s="116">
        <v>157.4</v>
      </c>
      <c r="E1532" s="116">
        <v>157.4</v>
      </c>
      <c r="F1532" s="116">
        <v>158.85</v>
      </c>
      <c r="G1532">
        <v>790</v>
      </c>
      <c r="H1532" s="116"/>
      <c r="I1532" s="116"/>
      <c r="L1532" s="170">
        <v>44265</v>
      </c>
      <c r="M1532" s="116">
        <v>158.85</v>
      </c>
      <c r="N1532" s="116">
        <v>160</v>
      </c>
      <c r="O1532" s="116">
        <v>155.5</v>
      </c>
      <c r="P1532" s="116">
        <v>155.5</v>
      </c>
      <c r="Q1532" s="116">
        <v>158.85</v>
      </c>
      <c r="R1532">
        <v>22633</v>
      </c>
    </row>
    <row r="1533" spans="1:18" x14ac:dyDescent="0.25">
      <c r="A1533" s="170">
        <v>44301</v>
      </c>
      <c r="B1533" s="116">
        <v>174</v>
      </c>
      <c r="C1533" s="116">
        <v>161.5</v>
      </c>
      <c r="D1533" s="116">
        <v>152.55000000000001</v>
      </c>
      <c r="E1533" s="116">
        <v>169.8</v>
      </c>
      <c r="F1533" s="116">
        <v>161.5</v>
      </c>
      <c r="G1533">
        <v>927</v>
      </c>
      <c r="H1533" s="116"/>
      <c r="I1533" s="116"/>
      <c r="L1533" s="170">
        <v>44267</v>
      </c>
      <c r="M1533" s="116">
        <v>159.30000000000001</v>
      </c>
      <c r="N1533" s="116">
        <v>162.05000000000001</v>
      </c>
      <c r="O1533" s="116">
        <v>158</v>
      </c>
      <c r="P1533" s="116">
        <v>160.80000000000001</v>
      </c>
      <c r="Q1533" s="116">
        <v>159.30000000000001</v>
      </c>
      <c r="R1533">
        <v>33496</v>
      </c>
    </row>
    <row r="1534" spans="1:18" x14ac:dyDescent="0.25">
      <c r="A1534" s="170">
        <v>44302</v>
      </c>
      <c r="B1534" s="116">
        <v>166</v>
      </c>
      <c r="C1534" s="116">
        <v>158.44999999999999</v>
      </c>
      <c r="D1534" s="116">
        <v>156.5</v>
      </c>
      <c r="E1534" s="116">
        <v>163.5</v>
      </c>
      <c r="F1534" s="116">
        <v>158.44999999999999</v>
      </c>
      <c r="G1534">
        <v>4598</v>
      </c>
      <c r="H1534" s="116"/>
      <c r="I1534" s="116"/>
      <c r="L1534" s="170">
        <v>44270</v>
      </c>
      <c r="M1534" s="116">
        <v>158.25</v>
      </c>
      <c r="N1534" s="116">
        <v>162</v>
      </c>
      <c r="O1534" s="116">
        <v>156.75</v>
      </c>
      <c r="P1534" s="116">
        <v>159.30000000000001</v>
      </c>
      <c r="Q1534" s="116">
        <v>158.25</v>
      </c>
      <c r="R1534">
        <v>31692</v>
      </c>
    </row>
    <row r="1535" spans="1:18" x14ac:dyDescent="0.25">
      <c r="A1535" s="170">
        <v>44305</v>
      </c>
      <c r="B1535" s="116">
        <v>159</v>
      </c>
      <c r="C1535" s="116">
        <v>153.94999999999999</v>
      </c>
      <c r="D1535" s="116">
        <v>153.30000000000001</v>
      </c>
      <c r="E1535" s="116">
        <v>156.15</v>
      </c>
      <c r="F1535" s="116">
        <v>153.94999999999999</v>
      </c>
      <c r="G1535">
        <v>1136</v>
      </c>
      <c r="H1535" s="116"/>
      <c r="I1535" s="116"/>
      <c r="L1535" s="170">
        <v>44271</v>
      </c>
      <c r="M1535" s="116">
        <v>163.9</v>
      </c>
      <c r="N1535" s="116">
        <v>169.3</v>
      </c>
      <c r="O1535" s="116">
        <v>162.19999999999999</v>
      </c>
      <c r="P1535" s="116">
        <v>165</v>
      </c>
      <c r="Q1535" s="116">
        <v>163.9</v>
      </c>
      <c r="R1535">
        <v>229378</v>
      </c>
    </row>
    <row r="1536" spans="1:18" x14ac:dyDescent="0.25">
      <c r="A1536" s="170">
        <v>44306</v>
      </c>
      <c r="B1536" s="116">
        <v>157.6</v>
      </c>
      <c r="C1536" s="116">
        <v>153.80000000000001</v>
      </c>
      <c r="D1536" s="116">
        <v>150</v>
      </c>
      <c r="E1536" s="116">
        <v>157.55000000000001</v>
      </c>
      <c r="F1536" s="116">
        <v>153.80000000000001</v>
      </c>
      <c r="G1536">
        <v>3939</v>
      </c>
      <c r="H1536" s="116"/>
      <c r="I1536" s="116"/>
      <c r="L1536" s="170">
        <v>44272</v>
      </c>
      <c r="M1536" s="116">
        <v>164.3</v>
      </c>
      <c r="N1536" s="116">
        <v>169.45</v>
      </c>
      <c r="O1536" s="116">
        <v>160.65</v>
      </c>
      <c r="P1536" s="116">
        <v>160.65</v>
      </c>
      <c r="Q1536" s="116">
        <v>164.3</v>
      </c>
      <c r="R1536">
        <v>95925</v>
      </c>
    </row>
    <row r="1537" spans="1:18" x14ac:dyDescent="0.25">
      <c r="A1537" s="170">
        <v>44308</v>
      </c>
      <c r="B1537" s="116">
        <v>157</v>
      </c>
      <c r="C1537" s="116">
        <v>152.69999999999999</v>
      </c>
      <c r="D1537" s="116">
        <v>151.19999999999999</v>
      </c>
      <c r="E1537" s="116">
        <v>157</v>
      </c>
      <c r="F1537" s="116">
        <v>152.69999999999999</v>
      </c>
      <c r="G1537">
        <v>865</v>
      </c>
      <c r="H1537" s="116"/>
      <c r="I1537" s="116"/>
      <c r="L1537" s="170">
        <v>44273</v>
      </c>
      <c r="M1537" s="116">
        <v>158.30000000000001</v>
      </c>
      <c r="N1537" s="116">
        <v>169.6</v>
      </c>
      <c r="O1537" s="116">
        <v>156.85</v>
      </c>
      <c r="P1537" s="116">
        <v>165.55</v>
      </c>
      <c r="Q1537" s="116">
        <v>158.30000000000001</v>
      </c>
      <c r="R1537">
        <v>79717</v>
      </c>
    </row>
    <row r="1538" spans="1:18" x14ac:dyDescent="0.25">
      <c r="A1538" s="170">
        <v>44309</v>
      </c>
      <c r="B1538" s="116">
        <v>154.1</v>
      </c>
      <c r="C1538" s="116">
        <v>149</v>
      </c>
      <c r="D1538" s="116">
        <v>145.85</v>
      </c>
      <c r="E1538" s="116">
        <v>152.6</v>
      </c>
      <c r="F1538" s="116">
        <v>149</v>
      </c>
      <c r="G1538">
        <v>1946</v>
      </c>
      <c r="H1538" s="116"/>
      <c r="I1538" s="116"/>
      <c r="L1538" s="170">
        <v>44274</v>
      </c>
      <c r="M1538" s="116">
        <v>158.75</v>
      </c>
      <c r="N1538" s="116">
        <v>161.80000000000001</v>
      </c>
      <c r="O1538" s="116">
        <v>152</v>
      </c>
      <c r="P1538" s="116">
        <v>155.25</v>
      </c>
      <c r="Q1538" s="116">
        <v>158.75</v>
      </c>
      <c r="R1538">
        <v>68421</v>
      </c>
    </row>
    <row r="1539" spans="1:18" x14ac:dyDescent="0.25">
      <c r="A1539" s="170">
        <v>44312</v>
      </c>
      <c r="B1539" s="116">
        <v>152</v>
      </c>
      <c r="C1539" s="116">
        <v>150.5</v>
      </c>
      <c r="D1539" s="116">
        <v>149.1</v>
      </c>
      <c r="E1539" s="116">
        <v>151.69999999999999</v>
      </c>
      <c r="F1539" s="116">
        <v>150.5</v>
      </c>
      <c r="G1539">
        <v>1567</v>
      </c>
      <c r="H1539" s="116"/>
      <c r="I1539" s="116"/>
      <c r="L1539" s="170">
        <v>44277</v>
      </c>
      <c r="M1539" s="116">
        <v>160.1</v>
      </c>
      <c r="N1539" s="116">
        <v>161.19999999999999</v>
      </c>
      <c r="O1539" s="116">
        <v>157</v>
      </c>
      <c r="P1539" s="116">
        <v>157.4</v>
      </c>
      <c r="Q1539" s="116">
        <v>160.1</v>
      </c>
      <c r="R1539">
        <v>26363</v>
      </c>
    </row>
    <row r="1540" spans="1:18" x14ac:dyDescent="0.25">
      <c r="A1540" s="170">
        <v>44313</v>
      </c>
      <c r="B1540" s="116">
        <v>152.6</v>
      </c>
      <c r="C1540" s="116">
        <v>150.35</v>
      </c>
      <c r="D1540" s="116">
        <v>150</v>
      </c>
      <c r="E1540" s="116">
        <v>151</v>
      </c>
      <c r="F1540" s="116">
        <v>150.35</v>
      </c>
      <c r="G1540">
        <v>1112</v>
      </c>
      <c r="H1540" s="116"/>
      <c r="I1540" s="116"/>
      <c r="L1540" s="170">
        <v>44278</v>
      </c>
      <c r="M1540" s="116">
        <v>163.80000000000001</v>
      </c>
      <c r="N1540" s="116">
        <v>164.85</v>
      </c>
      <c r="O1540" s="116">
        <v>160.94999999999999</v>
      </c>
      <c r="P1540" s="116">
        <v>160.94999999999999</v>
      </c>
      <c r="Q1540" s="116">
        <v>163.80000000000001</v>
      </c>
      <c r="R1540">
        <v>28344</v>
      </c>
    </row>
    <row r="1541" spans="1:18" x14ac:dyDescent="0.25">
      <c r="A1541" s="170">
        <v>44314</v>
      </c>
      <c r="B1541" s="116">
        <v>158.69999999999999</v>
      </c>
      <c r="C1541" s="116">
        <v>153</v>
      </c>
      <c r="D1541" s="116">
        <v>151.05000000000001</v>
      </c>
      <c r="E1541" s="116">
        <v>152.5</v>
      </c>
      <c r="F1541" s="116">
        <v>153</v>
      </c>
      <c r="G1541">
        <v>1084</v>
      </c>
      <c r="H1541" s="116"/>
      <c r="I1541" s="116"/>
      <c r="L1541" s="170">
        <v>44279</v>
      </c>
      <c r="M1541" s="116">
        <v>158.9</v>
      </c>
      <c r="N1541" s="116">
        <v>165.7</v>
      </c>
      <c r="O1541" s="116">
        <v>158.05000000000001</v>
      </c>
      <c r="P1541" s="116">
        <v>162.85</v>
      </c>
      <c r="Q1541" s="116">
        <v>158.9</v>
      </c>
      <c r="R1541">
        <v>54954</v>
      </c>
    </row>
    <row r="1542" spans="1:18" x14ac:dyDescent="0.25">
      <c r="A1542" s="170">
        <v>44315</v>
      </c>
      <c r="B1542" s="116">
        <v>156.44999999999999</v>
      </c>
      <c r="C1542" s="116">
        <v>155.5</v>
      </c>
      <c r="D1542" s="116">
        <v>151</v>
      </c>
      <c r="E1542" s="116">
        <v>154.55000000000001</v>
      </c>
      <c r="F1542" s="116">
        <v>155.5</v>
      </c>
      <c r="G1542">
        <v>2598</v>
      </c>
      <c r="H1542" s="116"/>
      <c r="I1542" s="116"/>
      <c r="L1542" s="170">
        <v>44280</v>
      </c>
      <c r="M1542" s="116">
        <v>160.35</v>
      </c>
      <c r="N1542" s="116">
        <v>162.80000000000001</v>
      </c>
      <c r="O1542" s="116">
        <v>153.19999999999999</v>
      </c>
      <c r="P1542" s="116">
        <v>157</v>
      </c>
      <c r="Q1542" s="116">
        <v>160.35</v>
      </c>
      <c r="R1542">
        <v>78798</v>
      </c>
    </row>
    <row r="1543" spans="1:18" x14ac:dyDescent="0.25">
      <c r="A1543" s="170">
        <v>44316</v>
      </c>
      <c r="B1543" s="116">
        <v>156.80000000000001</v>
      </c>
      <c r="C1543" s="116">
        <v>153.19999999999999</v>
      </c>
      <c r="D1543" s="116">
        <v>152.5</v>
      </c>
      <c r="E1543" s="116">
        <v>155</v>
      </c>
      <c r="F1543" s="116">
        <v>153.19999999999999</v>
      </c>
      <c r="G1543">
        <v>69</v>
      </c>
      <c r="H1543" s="116"/>
      <c r="I1543" s="116"/>
      <c r="L1543" s="170">
        <v>44281</v>
      </c>
      <c r="M1543" s="116">
        <v>161.19999999999999</v>
      </c>
      <c r="N1543" s="116">
        <v>163.25</v>
      </c>
      <c r="O1543" s="116">
        <v>157.25</v>
      </c>
      <c r="P1543" s="116">
        <v>160.35</v>
      </c>
      <c r="Q1543" s="116">
        <v>161.19999999999999</v>
      </c>
      <c r="R1543">
        <v>23714</v>
      </c>
    </row>
    <row r="1544" spans="1:18" x14ac:dyDescent="0.25">
      <c r="A1544" s="170">
        <v>44319</v>
      </c>
      <c r="B1544" s="116">
        <v>157.69999999999999</v>
      </c>
      <c r="C1544" s="116">
        <v>151.85</v>
      </c>
      <c r="D1544" s="116">
        <v>151.15</v>
      </c>
      <c r="E1544" s="116">
        <v>151.15</v>
      </c>
      <c r="F1544" s="116">
        <v>151.85</v>
      </c>
      <c r="G1544">
        <v>1277</v>
      </c>
      <c r="H1544" s="116"/>
      <c r="I1544" s="116"/>
      <c r="L1544" s="170">
        <v>44285</v>
      </c>
      <c r="M1544" s="116">
        <v>161.30000000000001</v>
      </c>
      <c r="N1544" s="116">
        <v>163.9</v>
      </c>
      <c r="O1544" s="116">
        <v>159.6</v>
      </c>
      <c r="P1544" s="116">
        <v>159.6</v>
      </c>
      <c r="Q1544" s="116">
        <v>161.30000000000001</v>
      </c>
      <c r="R1544">
        <v>24110</v>
      </c>
    </row>
    <row r="1545" spans="1:18" x14ac:dyDescent="0.25">
      <c r="A1545" s="170">
        <v>44320</v>
      </c>
      <c r="B1545" s="116">
        <v>166.7</v>
      </c>
      <c r="C1545" s="116">
        <v>157.55000000000001</v>
      </c>
      <c r="D1545" s="116">
        <v>151.19999999999999</v>
      </c>
      <c r="E1545" s="116">
        <v>151.19999999999999</v>
      </c>
      <c r="F1545" s="116">
        <v>157.55000000000001</v>
      </c>
      <c r="G1545">
        <v>8479</v>
      </c>
      <c r="H1545" s="116"/>
      <c r="I1545" s="116"/>
      <c r="L1545" s="170">
        <v>44286</v>
      </c>
      <c r="M1545" s="116">
        <v>161.80000000000001</v>
      </c>
      <c r="N1545" s="116">
        <v>164.25</v>
      </c>
      <c r="O1545" s="116">
        <v>160.1</v>
      </c>
      <c r="P1545" s="116">
        <v>162</v>
      </c>
      <c r="Q1545" s="116">
        <v>161.80000000000001</v>
      </c>
      <c r="R1545">
        <v>8814</v>
      </c>
    </row>
    <row r="1546" spans="1:18" x14ac:dyDescent="0.25">
      <c r="A1546" s="170">
        <v>44321</v>
      </c>
      <c r="B1546" s="116">
        <v>163.35</v>
      </c>
      <c r="C1546" s="116">
        <v>154.85</v>
      </c>
      <c r="D1546" s="116">
        <v>154.4</v>
      </c>
      <c r="E1546" s="116">
        <v>158.9</v>
      </c>
      <c r="F1546" s="116">
        <v>154.85</v>
      </c>
      <c r="G1546">
        <v>642</v>
      </c>
      <c r="H1546" s="116"/>
      <c r="I1546" s="116"/>
      <c r="L1546" s="170">
        <v>44287</v>
      </c>
      <c r="M1546" s="116">
        <v>162.19999999999999</v>
      </c>
      <c r="N1546" s="116">
        <v>164.7</v>
      </c>
      <c r="O1546" s="116">
        <v>161.05000000000001</v>
      </c>
      <c r="P1546" s="116">
        <v>161.80000000000001</v>
      </c>
      <c r="Q1546" s="116">
        <v>162.19999999999999</v>
      </c>
      <c r="R1546">
        <v>19415</v>
      </c>
    </row>
    <row r="1547" spans="1:18" x14ac:dyDescent="0.25">
      <c r="A1547" s="170">
        <v>44322</v>
      </c>
      <c r="B1547" s="116">
        <v>172</v>
      </c>
      <c r="C1547" s="116">
        <v>163.05000000000001</v>
      </c>
      <c r="D1547" s="116">
        <v>155.15</v>
      </c>
      <c r="E1547" s="116">
        <v>156.94999999999999</v>
      </c>
      <c r="F1547" s="116">
        <v>163.05000000000001</v>
      </c>
      <c r="G1547">
        <v>9930</v>
      </c>
      <c r="H1547" s="116"/>
      <c r="I1547" s="116"/>
      <c r="L1547" s="170">
        <v>44291</v>
      </c>
      <c r="M1547" s="116">
        <v>160.30000000000001</v>
      </c>
      <c r="N1547" s="116">
        <v>162.35</v>
      </c>
      <c r="O1547" s="116">
        <v>157.1</v>
      </c>
      <c r="P1547" s="116">
        <v>159.9</v>
      </c>
      <c r="Q1547" s="116">
        <v>160.30000000000001</v>
      </c>
      <c r="R1547">
        <v>27491</v>
      </c>
    </row>
    <row r="1548" spans="1:18" x14ac:dyDescent="0.25">
      <c r="A1548" s="170">
        <v>44323</v>
      </c>
      <c r="B1548" s="116">
        <v>169.8</v>
      </c>
      <c r="C1548" s="116">
        <v>162.6</v>
      </c>
      <c r="D1548" s="116">
        <v>161.5</v>
      </c>
      <c r="E1548" s="116">
        <v>164</v>
      </c>
      <c r="F1548" s="116">
        <v>162.6</v>
      </c>
      <c r="G1548">
        <v>6848</v>
      </c>
      <c r="H1548" s="116"/>
      <c r="I1548" s="116"/>
      <c r="L1548" s="170">
        <v>44292</v>
      </c>
      <c r="M1548" s="116">
        <v>159.65</v>
      </c>
      <c r="N1548" s="116">
        <v>162</v>
      </c>
      <c r="O1548" s="116">
        <v>158.15</v>
      </c>
      <c r="P1548" s="116">
        <v>160.5</v>
      </c>
      <c r="Q1548" s="116">
        <v>159.65</v>
      </c>
      <c r="R1548">
        <v>16888</v>
      </c>
    </row>
    <row r="1549" spans="1:18" x14ac:dyDescent="0.25">
      <c r="A1549" s="170">
        <v>44326</v>
      </c>
      <c r="B1549" s="116">
        <v>169</v>
      </c>
      <c r="C1549" s="116">
        <v>157.75</v>
      </c>
      <c r="D1549" s="116">
        <v>155.25</v>
      </c>
      <c r="E1549" s="116">
        <v>164.3</v>
      </c>
      <c r="F1549" s="116">
        <v>157.75</v>
      </c>
      <c r="G1549">
        <v>9431</v>
      </c>
      <c r="H1549" s="116"/>
      <c r="I1549" s="116"/>
      <c r="L1549" s="170">
        <v>44293</v>
      </c>
      <c r="M1549" s="116">
        <v>162.30000000000001</v>
      </c>
      <c r="N1549" s="116">
        <v>163.05000000000001</v>
      </c>
      <c r="O1549" s="116">
        <v>156.65</v>
      </c>
      <c r="P1549" s="116">
        <v>156.65</v>
      </c>
      <c r="Q1549" s="116">
        <v>162.30000000000001</v>
      </c>
      <c r="R1549">
        <v>14718</v>
      </c>
    </row>
    <row r="1550" spans="1:18" x14ac:dyDescent="0.25">
      <c r="A1550" s="170">
        <v>44327</v>
      </c>
      <c r="B1550" s="116">
        <v>161.5</v>
      </c>
      <c r="C1550" s="116">
        <v>156.1</v>
      </c>
      <c r="D1550" s="116">
        <v>155</v>
      </c>
      <c r="E1550" s="116">
        <v>158.9</v>
      </c>
      <c r="F1550" s="116">
        <v>156.1</v>
      </c>
      <c r="G1550">
        <v>5259</v>
      </c>
      <c r="H1550" s="116"/>
      <c r="I1550" s="116"/>
      <c r="L1550" s="170">
        <v>44294</v>
      </c>
      <c r="M1550" s="116">
        <v>162.05000000000001</v>
      </c>
      <c r="N1550" s="116">
        <v>165.5</v>
      </c>
      <c r="O1550" s="116">
        <v>160.94999999999999</v>
      </c>
      <c r="P1550" s="116">
        <v>163</v>
      </c>
      <c r="Q1550" s="116">
        <v>162.05000000000001</v>
      </c>
      <c r="R1550">
        <v>36525</v>
      </c>
    </row>
    <row r="1551" spans="1:18" x14ac:dyDescent="0.25">
      <c r="A1551" s="170">
        <v>44328</v>
      </c>
      <c r="B1551" s="116">
        <v>157.5</v>
      </c>
      <c r="C1551" s="116">
        <v>153.44999999999999</v>
      </c>
      <c r="D1551" s="116">
        <v>151.9</v>
      </c>
      <c r="E1551" s="116">
        <v>157.5</v>
      </c>
      <c r="F1551" s="116">
        <v>153.44999999999999</v>
      </c>
      <c r="G1551">
        <v>3928</v>
      </c>
      <c r="H1551" s="116"/>
      <c r="I1551" s="116"/>
      <c r="L1551" s="170">
        <v>44295</v>
      </c>
      <c r="M1551" s="116">
        <v>163.65</v>
      </c>
      <c r="N1551" s="116">
        <v>164.1</v>
      </c>
      <c r="O1551" s="116">
        <v>159.6</v>
      </c>
      <c r="P1551" s="116">
        <v>162.75</v>
      </c>
      <c r="Q1551" s="116">
        <v>163.65</v>
      </c>
      <c r="R1551">
        <v>18550</v>
      </c>
    </row>
    <row r="1552" spans="1:18" x14ac:dyDescent="0.25">
      <c r="A1552" s="170">
        <v>44330</v>
      </c>
      <c r="B1552" s="116">
        <v>154.69999999999999</v>
      </c>
      <c r="C1552" s="116">
        <v>153.65</v>
      </c>
      <c r="D1552" s="116">
        <v>152.80000000000001</v>
      </c>
      <c r="E1552" s="116">
        <v>154.69999999999999</v>
      </c>
      <c r="F1552" s="116">
        <v>153.65</v>
      </c>
      <c r="G1552">
        <v>1058</v>
      </c>
      <c r="H1552" s="116"/>
      <c r="I1552" s="116"/>
      <c r="L1552" s="170">
        <v>44298</v>
      </c>
      <c r="M1552" s="116">
        <v>155.55000000000001</v>
      </c>
      <c r="N1552" s="116">
        <v>162</v>
      </c>
      <c r="O1552" s="116">
        <v>151.85</v>
      </c>
      <c r="P1552" s="116">
        <v>162</v>
      </c>
      <c r="Q1552" s="116">
        <v>155.55000000000001</v>
      </c>
      <c r="R1552">
        <v>67994</v>
      </c>
    </row>
    <row r="1553" spans="1:18" x14ac:dyDescent="0.25">
      <c r="A1553" s="170">
        <v>44333</v>
      </c>
      <c r="B1553" s="116">
        <v>156</v>
      </c>
      <c r="C1553" s="116">
        <v>154.94999999999999</v>
      </c>
      <c r="D1553" s="116">
        <v>150.1</v>
      </c>
      <c r="E1553" s="116">
        <v>155</v>
      </c>
      <c r="F1553" s="116">
        <v>154.94999999999999</v>
      </c>
      <c r="G1553">
        <v>2616</v>
      </c>
      <c r="H1553" s="116"/>
      <c r="I1553" s="116"/>
      <c r="L1553" s="170">
        <v>44299</v>
      </c>
      <c r="M1553" s="116">
        <v>159.6</v>
      </c>
      <c r="N1553" s="116">
        <v>160.5</v>
      </c>
      <c r="O1553" s="116">
        <v>152.6</v>
      </c>
      <c r="P1553" s="116">
        <v>152.6</v>
      </c>
      <c r="Q1553" s="116">
        <v>159.6</v>
      </c>
      <c r="R1553">
        <v>19079</v>
      </c>
    </row>
    <row r="1554" spans="1:18" x14ac:dyDescent="0.25">
      <c r="A1554" s="170">
        <v>44334</v>
      </c>
      <c r="B1554" s="116">
        <v>157.6</v>
      </c>
      <c r="C1554" s="116">
        <v>155.44999999999999</v>
      </c>
      <c r="D1554" s="116">
        <v>150.75</v>
      </c>
      <c r="E1554" s="116">
        <v>155.94999999999999</v>
      </c>
      <c r="F1554" s="116">
        <v>155.44999999999999</v>
      </c>
      <c r="G1554">
        <v>5014</v>
      </c>
      <c r="H1554" s="116"/>
      <c r="I1554" s="116"/>
      <c r="L1554" s="170">
        <v>44301</v>
      </c>
      <c r="M1554" s="116">
        <v>161.4</v>
      </c>
      <c r="N1554" s="116">
        <v>163.35</v>
      </c>
      <c r="O1554" s="116">
        <v>156.44999999999999</v>
      </c>
      <c r="P1554" s="116">
        <v>159.05000000000001</v>
      </c>
      <c r="Q1554" s="116">
        <v>161.4</v>
      </c>
      <c r="R1554">
        <v>23537</v>
      </c>
    </row>
    <row r="1555" spans="1:18" x14ac:dyDescent="0.25">
      <c r="A1555" s="170">
        <v>44335</v>
      </c>
      <c r="B1555" s="116">
        <v>157</v>
      </c>
      <c r="C1555" s="116">
        <v>156.5</v>
      </c>
      <c r="D1555" s="116">
        <v>154</v>
      </c>
      <c r="E1555" s="116">
        <v>154</v>
      </c>
      <c r="F1555" s="116">
        <v>156.5</v>
      </c>
      <c r="G1555">
        <v>2280</v>
      </c>
      <c r="H1555" s="116"/>
      <c r="I1555" s="116"/>
      <c r="L1555" s="170">
        <v>44302</v>
      </c>
      <c r="M1555" s="116">
        <v>161.30000000000001</v>
      </c>
      <c r="N1555" s="116">
        <v>166</v>
      </c>
      <c r="O1555" s="116">
        <v>158.9</v>
      </c>
      <c r="P1555" s="116">
        <v>164.9</v>
      </c>
      <c r="Q1555" s="116">
        <v>161.30000000000001</v>
      </c>
      <c r="R1555">
        <v>24084</v>
      </c>
    </row>
    <row r="1556" spans="1:18" x14ac:dyDescent="0.25">
      <c r="A1556" s="170">
        <v>44336</v>
      </c>
      <c r="B1556" s="116">
        <v>169.85</v>
      </c>
      <c r="C1556" s="116">
        <v>167.55</v>
      </c>
      <c r="D1556" s="116">
        <v>157.19999999999999</v>
      </c>
      <c r="E1556" s="116">
        <v>157.19999999999999</v>
      </c>
      <c r="F1556" s="116">
        <v>167.55</v>
      </c>
      <c r="G1556">
        <v>16846</v>
      </c>
      <c r="H1556" s="116"/>
      <c r="I1556" s="116"/>
      <c r="L1556" s="170">
        <v>44305</v>
      </c>
      <c r="M1556" s="116">
        <v>156.80000000000001</v>
      </c>
      <c r="N1556" s="116">
        <v>160</v>
      </c>
      <c r="O1556" s="116">
        <v>152.15</v>
      </c>
      <c r="P1556" s="116">
        <v>155.69999999999999</v>
      </c>
      <c r="Q1556" s="116">
        <v>156.80000000000001</v>
      </c>
      <c r="R1556">
        <v>30279</v>
      </c>
    </row>
    <row r="1557" spans="1:18" x14ac:dyDescent="0.25">
      <c r="A1557" s="170">
        <v>44337</v>
      </c>
      <c r="B1557" s="116">
        <v>166.3</v>
      </c>
      <c r="C1557" s="116">
        <v>162.05000000000001</v>
      </c>
      <c r="D1557" s="116">
        <v>161</v>
      </c>
      <c r="E1557" s="116">
        <v>163.30000000000001</v>
      </c>
      <c r="F1557" s="116">
        <v>162.05000000000001</v>
      </c>
      <c r="G1557">
        <v>11254</v>
      </c>
      <c r="H1557" s="116"/>
      <c r="I1557" s="116"/>
      <c r="L1557" s="170">
        <v>44306</v>
      </c>
      <c r="M1557" s="116">
        <v>153.25</v>
      </c>
      <c r="N1557" s="116">
        <v>157.55000000000001</v>
      </c>
      <c r="O1557" s="116">
        <v>152.9</v>
      </c>
      <c r="P1557" s="116">
        <v>157.35</v>
      </c>
      <c r="Q1557" s="116">
        <v>153.25</v>
      </c>
      <c r="R1557">
        <v>13286</v>
      </c>
    </row>
    <row r="1558" spans="1:18" x14ac:dyDescent="0.25">
      <c r="A1558" s="170">
        <v>44340</v>
      </c>
      <c r="B1558" s="116">
        <v>163.19999999999999</v>
      </c>
      <c r="C1558" s="116">
        <v>161.15</v>
      </c>
      <c r="D1558" s="116">
        <v>160.80000000000001</v>
      </c>
      <c r="E1558" s="116">
        <v>162.55000000000001</v>
      </c>
      <c r="F1558" s="116">
        <v>161.15</v>
      </c>
      <c r="G1558">
        <v>302</v>
      </c>
      <c r="H1558" s="116"/>
      <c r="I1558" s="116"/>
      <c r="L1558" s="170">
        <v>44308</v>
      </c>
      <c r="M1558" s="116">
        <v>152.15</v>
      </c>
      <c r="N1558" s="116">
        <v>154.05000000000001</v>
      </c>
      <c r="O1558" s="116">
        <v>150.05000000000001</v>
      </c>
      <c r="P1558" s="116">
        <v>151.65</v>
      </c>
      <c r="Q1558" s="116">
        <v>152.15</v>
      </c>
      <c r="R1558">
        <v>13686</v>
      </c>
    </row>
    <row r="1559" spans="1:18" x14ac:dyDescent="0.25">
      <c r="A1559" s="170">
        <v>44341</v>
      </c>
      <c r="B1559" s="116">
        <v>165</v>
      </c>
      <c r="C1559" s="116">
        <v>161.44999999999999</v>
      </c>
      <c r="D1559" s="116">
        <v>161.15</v>
      </c>
      <c r="E1559" s="116">
        <v>162.69999999999999</v>
      </c>
      <c r="F1559" s="116">
        <v>161.44999999999999</v>
      </c>
      <c r="G1559">
        <v>3906</v>
      </c>
      <c r="H1559" s="116"/>
      <c r="I1559" s="116"/>
      <c r="L1559" s="170">
        <v>44309</v>
      </c>
      <c r="M1559" s="116">
        <v>148.15</v>
      </c>
      <c r="N1559" s="116">
        <v>153.9</v>
      </c>
      <c r="O1559" s="116">
        <v>145.65</v>
      </c>
      <c r="P1559" s="116">
        <v>152.65</v>
      </c>
      <c r="Q1559" s="116">
        <v>148.15</v>
      </c>
      <c r="R1559">
        <v>25937</v>
      </c>
    </row>
    <row r="1560" spans="1:18" x14ac:dyDescent="0.25">
      <c r="A1560" s="170">
        <v>44342</v>
      </c>
      <c r="B1560" s="116">
        <v>167.85</v>
      </c>
      <c r="C1560" s="116">
        <v>166.05</v>
      </c>
      <c r="D1560" s="116">
        <v>165</v>
      </c>
      <c r="E1560" s="116">
        <v>167</v>
      </c>
      <c r="F1560" s="116">
        <v>166.05</v>
      </c>
      <c r="G1560">
        <v>889</v>
      </c>
      <c r="H1560" s="116"/>
      <c r="I1560" s="116"/>
      <c r="L1560" s="170">
        <v>44312</v>
      </c>
      <c r="M1560" s="116">
        <v>150.75</v>
      </c>
      <c r="N1560" s="116">
        <v>152.9</v>
      </c>
      <c r="O1560" s="116">
        <v>148</v>
      </c>
      <c r="P1560" s="116">
        <v>148.9</v>
      </c>
      <c r="Q1560" s="116">
        <v>150.75</v>
      </c>
      <c r="R1560">
        <v>27654</v>
      </c>
    </row>
    <row r="1561" spans="1:18" x14ac:dyDescent="0.25">
      <c r="A1561" s="170">
        <v>44343</v>
      </c>
      <c r="B1561" s="116">
        <v>192.95</v>
      </c>
      <c r="C1561" s="116">
        <v>176.1</v>
      </c>
      <c r="D1561" s="116">
        <v>168.85</v>
      </c>
      <c r="E1561" s="116">
        <v>169.9</v>
      </c>
      <c r="F1561" s="116">
        <v>176.1</v>
      </c>
      <c r="G1561">
        <v>87654</v>
      </c>
      <c r="H1561" s="116"/>
      <c r="I1561" s="116"/>
      <c r="L1561" s="170">
        <v>44313</v>
      </c>
      <c r="M1561" s="116">
        <v>151.25</v>
      </c>
      <c r="N1561" s="116">
        <v>152.5</v>
      </c>
      <c r="O1561" s="116">
        <v>150.1</v>
      </c>
      <c r="P1561" s="116">
        <v>151.5</v>
      </c>
      <c r="Q1561" s="116">
        <v>151.25</v>
      </c>
      <c r="R1561">
        <v>11592</v>
      </c>
    </row>
    <row r="1562" spans="1:18" x14ac:dyDescent="0.25">
      <c r="A1562" s="170">
        <v>44344</v>
      </c>
      <c r="B1562" s="116">
        <v>181.65</v>
      </c>
      <c r="C1562" s="116">
        <v>174.1</v>
      </c>
      <c r="D1562" s="116">
        <v>170</v>
      </c>
      <c r="E1562" s="116">
        <v>181.65</v>
      </c>
      <c r="F1562" s="116">
        <v>174.1</v>
      </c>
      <c r="G1562">
        <v>8410</v>
      </c>
      <c r="H1562" s="116"/>
      <c r="I1562" s="116"/>
      <c r="L1562" s="170">
        <v>44314</v>
      </c>
      <c r="M1562" s="116">
        <v>152.55000000000001</v>
      </c>
      <c r="N1562" s="116">
        <v>159</v>
      </c>
      <c r="O1562" s="116">
        <v>151.30000000000001</v>
      </c>
      <c r="P1562" s="116">
        <v>151.85</v>
      </c>
      <c r="Q1562" s="116">
        <v>152.55000000000001</v>
      </c>
      <c r="R1562">
        <v>66673</v>
      </c>
    </row>
    <row r="1563" spans="1:18" x14ac:dyDescent="0.25">
      <c r="A1563" s="170">
        <v>44347</v>
      </c>
      <c r="B1563" s="116">
        <v>176</v>
      </c>
      <c r="C1563" s="116">
        <v>173.2</v>
      </c>
      <c r="D1563" s="116">
        <v>168.5</v>
      </c>
      <c r="E1563" s="116">
        <v>174.35</v>
      </c>
      <c r="F1563" s="116">
        <v>173.2</v>
      </c>
      <c r="G1563">
        <v>11893</v>
      </c>
      <c r="H1563" s="116"/>
      <c r="I1563" s="116"/>
      <c r="L1563" s="170">
        <v>44315</v>
      </c>
      <c r="M1563" s="116">
        <v>155.85</v>
      </c>
      <c r="N1563" s="116">
        <v>156.30000000000001</v>
      </c>
      <c r="O1563" s="116">
        <v>151.55000000000001</v>
      </c>
      <c r="P1563" s="116">
        <v>153.35</v>
      </c>
      <c r="Q1563" s="116">
        <v>155.85</v>
      </c>
      <c r="R1563">
        <v>31752</v>
      </c>
    </row>
    <row r="1564" spans="1:18" x14ac:dyDescent="0.25">
      <c r="A1564" s="170">
        <v>44348</v>
      </c>
      <c r="B1564" s="116">
        <v>178.7</v>
      </c>
      <c r="C1564" s="116">
        <v>169.6</v>
      </c>
      <c r="D1564" s="116">
        <v>166.25</v>
      </c>
      <c r="E1564" s="116">
        <v>173.6</v>
      </c>
      <c r="F1564" s="116">
        <v>169.6</v>
      </c>
      <c r="G1564">
        <v>7850</v>
      </c>
      <c r="H1564" s="116"/>
      <c r="I1564" s="116"/>
      <c r="L1564" s="170">
        <v>44316</v>
      </c>
      <c r="M1564" s="116">
        <v>152.94999999999999</v>
      </c>
      <c r="N1564" s="116">
        <v>158.44999999999999</v>
      </c>
      <c r="O1564" s="116">
        <v>151.75</v>
      </c>
      <c r="P1564" s="116">
        <v>156.65</v>
      </c>
      <c r="Q1564" s="116">
        <v>152.94999999999999</v>
      </c>
      <c r="R1564">
        <v>20565</v>
      </c>
    </row>
    <row r="1565" spans="1:18" x14ac:dyDescent="0.25">
      <c r="A1565" s="170">
        <v>44349</v>
      </c>
      <c r="B1565" s="116">
        <v>175.1</v>
      </c>
      <c r="C1565" s="116">
        <v>173</v>
      </c>
      <c r="D1565" s="116">
        <v>170.3</v>
      </c>
      <c r="E1565" s="116">
        <v>171.45</v>
      </c>
      <c r="F1565" s="116">
        <v>173</v>
      </c>
      <c r="G1565">
        <v>8450</v>
      </c>
      <c r="H1565" s="116"/>
      <c r="I1565" s="116"/>
      <c r="L1565" s="170">
        <v>44319</v>
      </c>
      <c r="M1565" s="116">
        <v>151.69999999999999</v>
      </c>
      <c r="N1565" s="116">
        <v>153.75</v>
      </c>
      <c r="O1565" s="116">
        <v>151</v>
      </c>
      <c r="P1565" s="116">
        <v>153.75</v>
      </c>
      <c r="Q1565" s="116">
        <v>151.69999999999999</v>
      </c>
      <c r="R1565">
        <v>9091</v>
      </c>
    </row>
    <row r="1566" spans="1:18" x14ac:dyDescent="0.25">
      <c r="A1566" s="170">
        <v>44350</v>
      </c>
      <c r="B1566" s="116">
        <v>178</v>
      </c>
      <c r="C1566" s="116">
        <v>176.8</v>
      </c>
      <c r="D1566" s="116">
        <v>170.25</v>
      </c>
      <c r="E1566" s="116">
        <v>175.05</v>
      </c>
      <c r="F1566" s="116">
        <v>176.8</v>
      </c>
      <c r="G1566">
        <v>5561</v>
      </c>
      <c r="H1566" s="116"/>
      <c r="I1566" s="116"/>
      <c r="L1566" s="170">
        <v>44320</v>
      </c>
      <c r="M1566" s="116">
        <v>158</v>
      </c>
      <c r="N1566" s="116">
        <v>167.4</v>
      </c>
      <c r="O1566" s="116">
        <v>152.44999999999999</v>
      </c>
      <c r="P1566" s="116">
        <v>152.44999999999999</v>
      </c>
      <c r="Q1566" s="116">
        <v>158</v>
      </c>
      <c r="R1566">
        <v>93597</v>
      </c>
    </row>
    <row r="1567" spans="1:18" x14ac:dyDescent="0.25">
      <c r="A1567" s="170">
        <v>44351</v>
      </c>
      <c r="B1567" s="116">
        <v>176.6</v>
      </c>
      <c r="C1567" s="116">
        <v>174.05</v>
      </c>
      <c r="D1567" s="116">
        <v>173.6</v>
      </c>
      <c r="E1567" s="116">
        <v>175.7</v>
      </c>
      <c r="F1567" s="116">
        <v>174.05</v>
      </c>
      <c r="G1567">
        <v>1715</v>
      </c>
      <c r="H1567" s="116"/>
      <c r="I1567" s="116"/>
      <c r="L1567" s="170">
        <v>44321</v>
      </c>
      <c r="M1567" s="116">
        <v>154.85</v>
      </c>
      <c r="N1567" s="116">
        <v>163.6</v>
      </c>
      <c r="O1567" s="116">
        <v>154.5</v>
      </c>
      <c r="P1567" s="116">
        <v>160</v>
      </c>
      <c r="Q1567" s="116">
        <v>154.85</v>
      </c>
      <c r="R1567">
        <v>35217</v>
      </c>
    </row>
    <row r="1568" spans="1:18" x14ac:dyDescent="0.25">
      <c r="A1568" s="170">
        <v>44354</v>
      </c>
      <c r="B1568" s="116">
        <v>180.75</v>
      </c>
      <c r="C1568" s="116">
        <v>177.05</v>
      </c>
      <c r="D1568" s="116">
        <v>171.55</v>
      </c>
      <c r="E1568" s="116">
        <v>174.15</v>
      </c>
      <c r="F1568" s="116">
        <v>177.05</v>
      </c>
      <c r="G1568">
        <v>11218</v>
      </c>
      <c r="H1568" s="116"/>
      <c r="I1568" s="116"/>
      <c r="L1568" s="170">
        <v>44322</v>
      </c>
      <c r="M1568" s="116">
        <v>163.9</v>
      </c>
      <c r="N1568" s="116">
        <v>179.9</v>
      </c>
      <c r="O1568" s="116">
        <v>154.85</v>
      </c>
      <c r="P1568" s="116">
        <v>155.65</v>
      </c>
      <c r="Q1568" s="116">
        <v>163.9</v>
      </c>
      <c r="R1568">
        <v>250666</v>
      </c>
    </row>
    <row r="1569" spans="1:18" x14ac:dyDescent="0.25">
      <c r="A1569" s="170">
        <v>44355</v>
      </c>
      <c r="B1569" s="116">
        <v>181</v>
      </c>
      <c r="C1569" s="116">
        <v>175.6</v>
      </c>
      <c r="D1569" s="116">
        <v>173.8</v>
      </c>
      <c r="E1569" s="116">
        <v>181</v>
      </c>
      <c r="F1569" s="116">
        <v>175.6</v>
      </c>
      <c r="G1569">
        <v>1365</v>
      </c>
      <c r="H1569" s="116"/>
      <c r="I1569" s="116"/>
      <c r="L1569" s="170">
        <v>44323</v>
      </c>
      <c r="M1569" s="116">
        <v>162.30000000000001</v>
      </c>
      <c r="N1569" s="116">
        <v>169.9</v>
      </c>
      <c r="O1569" s="116">
        <v>161.1</v>
      </c>
      <c r="P1569" s="116">
        <v>163.75</v>
      </c>
      <c r="Q1569" s="116">
        <v>162.30000000000001</v>
      </c>
      <c r="R1569">
        <v>182121</v>
      </c>
    </row>
    <row r="1570" spans="1:18" x14ac:dyDescent="0.25">
      <c r="A1570" s="170">
        <v>44356</v>
      </c>
      <c r="B1570" s="116">
        <v>181.6</v>
      </c>
      <c r="C1570" s="116">
        <v>171.95</v>
      </c>
      <c r="D1570" s="116">
        <v>170.4</v>
      </c>
      <c r="E1570" s="116">
        <v>176.5</v>
      </c>
      <c r="F1570" s="116">
        <v>171.95</v>
      </c>
      <c r="G1570">
        <v>10592</v>
      </c>
      <c r="H1570" s="116"/>
      <c r="I1570" s="116"/>
      <c r="L1570" s="170">
        <v>44326</v>
      </c>
      <c r="M1570" s="116">
        <v>158.94999999999999</v>
      </c>
      <c r="N1570" s="116">
        <v>165.45</v>
      </c>
      <c r="O1570" s="116">
        <v>157</v>
      </c>
      <c r="P1570" s="116">
        <v>164.2</v>
      </c>
      <c r="Q1570" s="116">
        <v>158.94999999999999</v>
      </c>
      <c r="R1570">
        <v>92297</v>
      </c>
    </row>
    <row r="1571" spans="1:18" x14ac:dyDescent="0.25">
      <c r="A1571" s="170">
        <v>44357</v>
      </c>
      <c r="B1571" s="116">
        <v>175</v>
      </c>
      <c r="C1571" s="116">
        <v>171.35</v>
      </c>
      <c r="D1571" s="116">
        <v>170.2</v>
      </c>
      <c r="E1571" s="116">
        <v>172.6</v>
      </c>
      <c r="F1571" s="116">
        <v>171.35</v>
      </c>
      <c r="G1571">
        <v>11338</v>
      </c>
      <c r="H1571" s="116"/>
      <c r="I1571" s="116"/>
      <c r="L1571" s="170">
        <v>44327</v>
      </c>
      <c r="M1571" s="116">
        <v>156</v>
      </c>
      <c r="N1571" s="116">
        <v>160.65</v>
      </c>
      <c r="O1571" s="116">
        <v>155.6</v>
      </c>
      <c r="P1571" s="116">
        <v>157.05000000000001</v>
      </c>
      <c r="Q1571" s="116">
        <v>156</v>
      </c>
      <c r="R1571">
        <v>67632</v>
      </c>
    </row>
    <row r="1572" spans="1:18" x14ac:dyDescent="0.25">
      <c r="A1572" s="170">
        <v>44358</v>
      </c>
      <c r="B1572" s="116">
        <v>174.2</v>
      </c>
      <c r="C1572" s="116">
        <v>170.8</v>
      </c>
      <c r="D1572" s="116">
        <v>170.05</v>
      </c>
      <c r="E1572" s="116">
        <v>173.7</v>
      </c>
      <c r="F1572" s="116">
        <v>170.8</v>
      </c>
      <c r="G1572">
        <v>10342</v>
      </c>
      <c r="H1572" s="116"/>
      <c r="I1572" s="116"/>
      <c r="L1572" s="170">
        <v>44328</v>
      </c>
      <c r="M1572" s="116">
        <v>153.65</v>
      </c>
      <c r="N1572" s="116">
        <v>157.69999999999999</v>
      </c>
      <c r="O1572" s="116">
        <v>153.19999999999999</v>
      </c>
      <c r="P1572" s="116">
        <v>156</v>
      </c>
      <c r="Q1572" s="116">
        <v>153.65</v>
      </c>
      <c r="R1572">
        <v>30545</v>
      </c>
    </row>
    <row r="1573" spans="1:18" x14ac:dyDescent="0.25">
      <c r="A1573" s="170">
        <v>44361</v>
      </c>
      <c r="B1573" s="116">
        <v>172.85</v>
      </c>
      <c r="C1573" s="116">
        <v>170.5</v>
      </c>
      <c r="D1573" s="116">
        <v>166.15</v>
      </c>
      <c r="E1573" s="116">
        <v>172.85</v>
      </c>
      <c r="F1573" s="116">
        <v>170.5</v>
      </c>
      <c r="G1573">
        <v>4325</v>
      </c>
      <c r="H1573" s="116"/>
      <c r="I1573" s="116"/>
      <c r="L1573" s="170">
        <v>44330</v>
      </c>
      <c r="M1573" s="116">
        <v>153.65</v>
      </c>
      <c r="N1573" s="116">
        <v>155.25</v>
      </c>
      <c r="O1573" s="116">
        <v>152.94999999999999</v>
      </c>
      <c r="P1573" s="116">
        <v>154.44999999999999</v>
      </c>
      <c r="Q1573" s="116">
        <v>153.65</v>
      </c>
      <c r="R1573">
        <v>18596</v>
      </c>
    </row>
    <row r="1574" spans="1:18" x14ac:dyDescent="0.25">
      <c r="A1574" s="170">
        <v>44362</v>
      </c>
      <c r="B1574" s="116">
        <v>184.9</v>
      </c>
      <c r="C1574" s="116">
        <v>180.4</v>
      </c>
      <c r="D1574" s="116">
        <v>170.4</v>
      </c>
      <c r="E1574" s="116">
        <v>171.9</v>
      </c>
      <c r="F1574" s="116">
        <v>180.4</v>
      </c>
      <c r="G1574">
        <v>36237</v>
      </c>
      <c r="H1574" s="116"/>
      <c r="I1574" s="116"/>
      <c r="L1574" s="170">
        <v>44333</v>
      </c>
      <c r="M1574" s="116">
        <v>154.75</v>
      </c>
      <c r="N1574" s="116">
        <v>156</v>
      </c>
      <c r="O1574" s="116">
        <v>153</v>
      </c>
      <c r="P1574" s="116">
        <v>155.19999999999999</v>
      </c>
      <c r="Q1574" s="116">
        <v>154.75</v>
      </c>
      <c r="R1574">
        <v>36408</v>
      </c>
    </row>
    <row r="1575" spans="1:18" x14ac:dyDescent="0.25">
      <c r="A1575" s="170">
        <v>44363</v>
      </c>
      <c r="B1575" s="116">
        <v>182</v>
      </c>
      <c r="C1575" s="116">
        <v>173.45</v>
      </c>
      <c r="D1575" s="116">
        <v>171.95</v>
      </c>
      <c r="E1575" s="116">
        <v>182</v>
      </c>
      <c r="F1575" s="116">
        <v>173.45</v>
      </c>
      <c r="G1575">
        <v>18474</v>
      </c>
      <c r="H1575" s="116"/>
      <c r="I1575" s="116"/>
      <c r="L1575" s="170">
        <v>44334</v>
      </c>
      <c r="M1575" s="116">
        <v>155</v>
      </c>
      <c r="N1575" s="116">
        <v>156</v>
      </c>
      <c r="O1575" s="116">
        <v>154</v>
      </c>
      <c r="P1575" s="116">
        <v>155.55000000000001</v>
      </c>
      <c r="Q1575" s="116">
        <v>155</v>
      </c>
      <c r="R1575">
        <v>27371</v>
      </c>
    </row>
    <row r="1576" spans="1:18" x14ac:dyDescent="0.25">
      <c r="A1576" s="170">
        <v>44364</v>
      </c>
      <c r="B1576" s="116">
        <v>177.4</v>
      </c>
      <c r="C1576" s="116">
        <v>171</v>
      </c>
      <c r="D1576" s="116">
        <v>170</v>
      </c>
      <c r="E1576" s="116">
        <v>173.5</v>
      </c>
      <c r="F1576" s="116">
        <v>171</v>
      </c>
      <c r="G1576">
        <v>7867</v>
      </c>
      <c r="H1576" s="116"/>
      <c r="I1576" s="116"/>
      <c r="L1576" s="170">
        <v>44335</v>
      </c>
      <c r="M1576" s="116">
        <v>156.5</v>
      </c>
      <c r="N1576" s="116">
        <v>157</v>
      </c>
      <c r="O1576" s="116">
        <v>154.94999999999999</v>
      </c>
      <c r="P1576" s="116">
        <v>155</v>
      </c>
      <c r="Q1576" s="116">
        <v>156.5</v>
      </c>
      <c r="R1576">
        <v>16279</v>
      </c>
    </row>
    <row r="1577" spans="1:18" x14ac:dyDescent="0.25">
      <c r="A1577" s="170">
        <v>44365</v>
      </c>
      <c r="B1577" s="116">
        <v>172.95</v>
      </c>
      <c r="C1577" s="116">
        <v>171.2</v>
      </c>
      <c r="D1577" s="116">
        <v>164.15</v>
      </c>
      <c r="E1577" s="116">
        <v>172.1</v>
      </c>
      <c r="F1577" s="116">
        <v>171.2</v>
      </c>
      <c r="G1577">
        <v>11949</v>
      </c>
      <c r="H1577" s="116"/>
      <c r="I1577" s="116"/>
      <c r="L1577" s="170">
        <v>44336</v>
      </c>
      <c r="M1577" s="116">
        <v>165.65</v>
      </c>
      <c r="N1577" s="116">
        <v>167.95</v>
      </c>
      <c r="O1577" s="116">
        <v>156.9</v>
      </c>
      <c r="P1577" s="116">
        <v>156.9</v>
      </c>
      <c r="Q1577" s="116">
        <v>165.65</v>
      </c>
      <c r="R1577">
        <v>306956</v>
      </c>
    </row>
    <row r="1578" spans="1:18" x14ac:dyDescent="0.25">
      <c r="A1578" s="170">
        <v>44368</v>
      </c>
      <c r="B1578" s="116">
        <v>176.65</v>
      </c>
      <c r="C1578" s="116">
        <v>172.65</v>
      </c>
      <c r="D1578" s="116">
        <v>170</v>
      </c>
      <c r="E1578" s="116">
        <v>170.55</v>
      </c>
      <c r="F1578" s="116">
        <v>172.65</v>
      </c>
      <c r="G1578">
        <v>3815</v>
      </c>
      <c r="H1578" s="116"/>
      <c r="I1578" s="116"/>
      <c r="L1578" s="170">
        <v>44337</v>
      </c>
      <c r="M1578" s="116">
        <v>162.05000000000001</v>
      </c>
      <c r="N1578" s="116">
        <v>166.15</v>
      </c>
      <c r="O1578" s="116">
        <v>160.85</v>
      </c>
      <c r="P1578" s="116">
        <v>166</v>
      </c>
      <c r="Q1578" s="116">
        <v>162.05000000000001</v>
      </c>
      <c r="R1578">
        <v>38307</v>
      </c>
    </row>
    <row r="1579" spans="1:18" x14ac:dyDescent="0.25">
      <c r="A1579" s="170">
        <v>44369</v>
      </c>
      <c r="B1579" s="116">
        <v>190</v>
      </c>
      <c r="C1579" s="116">
        <v>185.2</v>
      </c>
      <c r="D1579" s="116">
        <v>170</v>
      </c>
      <c r="E1579" s="116">
        <v>174.9</v>
      </c>
      <c r="F1579" s="116">
        <v>185.2</v>
      </c>
      <c r="G1579">
        <v>68789</v>
      </c>
      <c r="H1579" s="116"/>
      <c r="I1579" s="116"/>
      <c r="L1579" s="170">
        <v>44340</v>
      </c>
      <c r="M1579" s="116">
        <v>161.05000000000001</v>
      </c>
      <c r="N1579" s="116">
        <v>165</v>
      </c>
      <c r="O1579" s="116">
        <v>160.65</v>
      </c>
      <c r="P1579" s="116">
        <v>165</v>
      </c>
      <c r="Q1579" s="116">
        <v>161.05000000000001</v>
      </c>
      <c r="R1579">
        <v>19396</v>
      </c>
    </row>
    <row r="1580" spans="1:18" x14ac:dyDescent="0.25">
      <c r="A1580" s="170">
        <v>44370</v>
      </c>
      <c r="B1580" s="116">
        <v>194.6</v>
      </c>
      <c r="C1580" s="116">
        <v>186.05</v>
      </c>
      <c r="D1580" s="116">
        <v>183.35</v>
      </c>
      <c r="E1580" s="116">
        <v>188.05</v>
      </c>
      <c r="F1580" s="116">
        <v>186.05</v>
      </c>
      <c r="G1580">
        <v>81689</v>
      </c>
      <c r="H1580" s="116"/>
      <c r="I1580" s="116"/>
      <c r="L1580" s="170">
        <v>44341</v>
      </c>
      <c r="M1580" s="116">
        <v>161.94999999999999</v>
      </c>
      <c r="N1580" s="116">
        <v>166</v>
      </c>
      <c r="O1580" s="116">
        <v>160.69999999999999</v>
      </c>
      <c r="P1580" s="116">
        <v>165</v>
      </c>
      <c r="Q1580" s="116">
        <v>161.94999999999999</v>
      </c>
      <c r="R1580">
        <v>26227</v>
      </c>
    </row>
    <row r="1581" spans="1:18" x14ac:dyDescent="0.25">
      <c r="A1581" s="170">
        <v>44371</v>
      </c>
      <c r="B1581" s="116">
        <v>192</v>
      </c>
      <c r="C1581" s="116">
        <v>184.1</v>
      </c>
      <c r="D1581" s="116">
        <v>182</v>
      </c>
      <c r="E1581" s="116">
        <v>191</v>
      </c>
      <c r="F1581" s="116">
        <v>184.1</v>
      </c>
      <c r="G1581">
        <v>15058</v>
      </c>
      <c r="H1581" s="116"/>
      <c r="I1581" s="116"/>
      <c r="L1581" s="170">
        <v>44342</v>
      </c>
      <c r="M1581" s="116">
        <v>166.5</v>
      </c>
      <c r="N1581" s="116">
        <v>170</v>
      </c>
      <c r="O1581" s="116">
        <v>162.4</v>
      </c>
      <c r="P1581" s="116">
        <v>162.80000000000001</v>
      </c>
      <c r="Q1581" s="116">
        <v>166.5</v>
      </c>
      <c r="R1581">
        <v>80367</v>
      </c>
    </row>
    <row r="1582" spans="1:18" x14ac:dyDescent="0.25">
      <c r="A1582" s="170">
        <v>44372</v>
      </c>
      <c r="B1582" s="116">
        <v>189.9</v>
      </c>
      <c r="C1582" s="116">
        <v>181.65</v>
      </c>
      <c r="D1582" s="116">
        <v>180</v>
      </c>
      <c r="E1582" s="116">
        <v>184.35</v>
      </c>
      <c r="F1582" s="116">
        <v>181.65</v>
      </c>
      <c r="G1582">
        <v>9291</v>
      </c>
      <c r="H1582" s="116"/>
      <c r="I1582" s="116"/>
      <c r="L1582" s="170">
        <v>44343</v>
      </c>
      <c r="M1582" s="116">
        <v>176.1</v>
      </c>
      <c r="N1582" s="116">
        <v>193</v>
      </c>
      <c r="O1582" s="116">
        <v>168</v>
      </c>
      <c r="P1582" s="116">
        <v>168.8</v>
      </c>
      <c r="Q1582" s="116">
        <v>176.1</v>
      </c>
      <c r="R1582">
        <v>2050313</v>
      </c>
    </row>
    <row r="1583" spans="1:18" x14ac:dyDescent="0.25">
      <c r="A1583" s="170">
        <v>44375</v>
      </c>
      <c r="B1583" s="116">
        <v>187.1</v>
      </c>
      <c r="C1583" s="116">
        <v>184.35</v>
      </c>
      <c r="D1583" s="116">
        <v>183.25</v>
      </c>
      <c r="E1583" s="116">
        <v>185.75</v>
      </c>
      <c r="F1583" s="116">
        <v>184.35</v>
      </c>
      <c r="G1583">
        <v>4625</v>
      </c>
      <c r="H1583" s="116"/>
      <c r="I1583" s="116"/>
      <c r="L1583" s="170">
        <v>44344</v>
      </c>
      <c r="M1583" s="116">
        <v>174.25</v>
      </c>
      <c r="N1583" s="116">
        <v>177.45</v>
      </c>
      <c r="O1583" s="116">
        <v>171.15</v>
      </c>
      <c r="P1583" s="116">
        <v>176.4</v>
      </c>
      <c r="Q1583" s="116">
        <v>174.25</v>
      </c>
      <c r="R1583">
        <v>133855</v>
      </c>
    </row>
    <row r="1584" spans="1:18" x14ac:dyDescent="0.25">
      <c r="A1584" s="170">
        <v>44376</v>
      </c>
      <c r="B1584" s="116">
        <v>191.65</v>
      </c>
      <c r="C1584" s="116">
        <v>186.05</v>
      </c>
      <c r="D1584" s="116">
        <v>184</v>
      </c>
      <c r="E1584" s="116">
        <v>184.65</v>
      </c>
      <c r="F1584" s="116">
        <v>186.05</v>
      </c>
      <c r="G1584">
        <v>8583</v>
      </c>
      <c r="H1584" s="116"/>
      <c r="I1584" s="116"/>
      <c r="L1584" s="170">
        <v>44347</v>
      </c>
      <c r="M1584" s="116">
        <v>173.2</v>
      </c>
      <c r="N1584" s="116">
        <v>176.75</v>
      </c>
      <c r="O1584" s="116">
        <v>168.8</v>
      </c>
      <c r="P1584" s="116">
        <v>174.95</v>
      </c>
      <c r="Q1584" s="116">
        <v>173.2</v>
      </c>
      <c r="R1584">
        <v>150243</v>
      </c>
    </row>
    <row r="1585" spans="1:18" x14ac:dyDescent="0.25">
      <c r="A1585" s="170">
        <v>44377</v>
      </c>
      <c r="B1585" s="116">
        <v>203.3</v>
      </c>
      <c r="C1585" s="116">
        <v>198.3</v>
      </c>
      <c r="D1585" s="116">
        <v>182.25</v>
      </c>
      <c r="E1585" s="116">
        <v>182.25</v>
      </c>
      <c r="F1585" s="116">
        <v>198.3</v>
      </c>
      <c r="G1585">
        <v>59461</v>
      </c>
      <c r="H1585" s="116"/>
      <c r="I1585" s="116"/>
      <c r="L1585" s="170">
        <v>44348</v>
      </c>
      <c r="M1585" s="116">
        <v>170.15</v>
      </c>
      <c r="N1585" s="116">
        <v>175</v>
      </c>
      <c r="O1585" s="116">
        <v>166.15</v>
      </c>
      <c r="P1585" s="116">
        <v>172.5</v>
      </c>
      <c r="Q1585" s="116">
        <v>170.15</v>
      </c>
      <c r="R1585">
        <v>88770</v>
      </c>
    </row>
    <row r="1586" spans="1:18" x14ac:dyDescent="0.25">
      <c r="A1586" s="170">
        <v>44378</v>
      </c>
      <c r="B1586" s="116">
        <v>206.05</v>
      </c>
      <c r="C1586" s="116">
        <v>190.7</v>
      </c>
      <c r="D1586" s="116">
        <v>188.1</v>
      </c>
      <c r="E1586" s="116">
        <v>198.35</v>
      </c>
      <c r="F1586" s="116">
        <v>190.7</v>
      </c>
      <c r="G1586">
        <v>25482</v>
      </c>
      <c r="H1586" s="116"/>
      <c r="I1586" s="116"/>
      <c r="L1586" s="170">
        <v>44349</v>
      </c>
      <c r="M1586" s="116">
        <v>173.55</v>
      </c>
      <c r="N1586" s="116">
        <v>176</v>
      </c>
      <c r="O1586" s="116">
        <v>170.25</v>
      </c>
      <c r="P1586" s="116">
        <v>170.25</v>
      </c>
      <c r="Q1586" s="116">
        <v>173.55</v>
      </c>
      <c r="R1586">
        <v>74884</v>
      </c>
    </row>
    <row r="1587" spans="1:18" x14ac:dyDescent="0.25">
      <c r="A1587" s="170">
        <v>44379</v>
      </c>
      <c r="B1587" s="116">
        <v>197</v>
      </c>
      <c r="C1587" s="116">
        <v>192.9</v>
      </c>
      <c r="D1587" s="116">
        <v>191.15</v>
      </c>
      <c r="E1587" s="116">
        <v>192</v>
      </c>
      <c r="F1587" s="116">
        <v>192.9</v>
      </c>
      <c r="G1587">
        <v>9453</v>
      </c>
      <c r="H1587" s="116"/>
      <c r="I1587" s="116"/>
      <c r="L1587" s="170">
        <v>44350</v>
      </c>
      <c r="M1587" s="116">
        <v>177</v>
      </c>
      <c r="N1587" s="116">
        <v>178.7</v>
      </c>
      <c r="O1587" s="116">
        <v>172.8</v>
      </c>
      <c r="P1587" s="116">
        <v>176</v>
      </c>
      <c r="Q1587" s="116">
        <v>177</v>
      </c>
      <c r="R1587">
        <v>91262</v>
      </c>
    </row>
    <row r="1588" spans="1:18" x14ac:dyDescent="0.25">
      <c r="A1588" s="170">
        <v>44382</v>
      </c>
      <c r="B1588" s="116">
        <v>204</v>
      </c>
      <c r="C1588" s="116">
        <v>196.25</v>
      </c>
      <c r="D1588" s="116">
        <v>192.25</v>
      </c>
      <c r="E1588" s="116">
        <v>194.9</v>
      </c>
      <c r="F1588" s="116">
        <v>196.25</v>
      </c>
      <c r="G1588">
        <v>27054</v>
      </c>
      <c r="H1588" s="116"/>
      <c r="I1588" s="116"/>
      <c r="L1588" s="170">
        <v>44351</v>
      </c>
      <c r="M1588" s="116">
        <v>173.65</v>
      </c>
      <c r="N1588" s="116">
        <v>179.2</v>
      </c>
      <c r="O1588" s="116">
        <v>173.05</v>
      </c>
      <c r="P1588" s="116">
        <v>177.05</v>
      </c>
      <c r="Q1588" s="116">
        <v>173.65</v>
      </c>
      <c r="R1588">
        <v>36539</v>
      </c>
    </row>
    <row r="1589" spans="1:18" x14ac:dyDescent="0.25">
      <c r="A1589" s="170">
        <v>44383</v>
      </c>
      <c r="B1589" s="116">
        <v>202.2</v>
      </c>
      <c r="C1589" s="116">
        <v>198.7</v>
      </c>
      <c r="D1589" s="116">
        <v>193.65</v>
      </c>
      <c r="E1589" s="116">
        <v>198.5</v>
      </c>
      <c r="F1589" s="116">
        <v>198.7</v>
      </c>
      <c r="G1589">
        <v>13492</v>
      </c>
      <c r="H1589" s="116"/>
      <c r="I1589" s="116"/>
      <c r="L1589" s="170">
        <v>44354</v>
      </c>
      <c r="M1589" s="116">
        <v>177.35</v>
      </c>
      <c r="N1589" s="116">
        <v>181.45</v>
      </c>
      <c r="O1589" s="116">
        <v>173.65</v>
      </c>
      <c r="P1589" s="116">
        <v>174.5</v>
      </c>
      <c r="Q1589" s="116">
        <v>177.35</v>
      </c>
      <c r="R1589">
        <v>69870</v>
      </c>
    </row>
    <row r="1590" spans="1:18" x14ac:dyDescent="0.25">
      <c r="A1590" s="170">
        <v>44384</v>
      </c>
      <c r="B1590" s="116">
        <v>222.8</v>
      </c>
      <c r="C1590" s="116">
        <v>214.3</v>
      </c>
      <c r="D1590" s="116">
        <v>210.5</v>
      </c>
      <c r="E1590" s="116">
        <v>214</v>
      </c>
      <c r="F1590" s="116">
        <v>214.3</v>
      </c>
      <c r="G1590">
        <v>122662</v>
      </c>
      <c r="H1590" s="116"/>
      <c r="I1590" s="116"/>
      <c r="L1590" s="170">
        <v>44355</v>
      </c>
      <c r="M1590" s="116">
        <v>175.55</v>
      </c>
      <c r="N1590" s="116">
        <v>178.25</v>
      </c>
      <c r="O1590" s="116">
        <v>173.75</v>
      </c>
      <c r="P1590" s="116">
        <v>178</v>
      </c>
      <c r="Q1590" s="116">
        <v>175.55</v>
      </c>
      <c r="R1590">
        <v>32490</v>
      </c>
    </row>
    <row r="1591" spans="1:18" x14ac:dyDescent="0.25">
      <c r="A1591" s="170">
        <v>44385</v>
      </c>
      <c r="B1591" s="116">
        <v>223</v>
      </c>
      <c r="C1591" s="116">
        <v>207.35</v>
      </c>
      <c r="D1591" s="116">
        <v>204.3</v>
      </c>
      <c r="E1591" s="116">
        <v>223</v>
      </c>
      <c r="F1591" s="116">
        <v>207.35</v>
      </c>
      <c r="G1591">
        <v>26631</v>
      </c>
      <c r="H1591" s="116"/>
      <c r="I1591" s="116"/>
      <c r="L1591" s="170">
        <v>44356</v>
      </c>
      <c r="M1591" s="116">
        <v>171.5</v>
      </c>
      <c r="N1591" s="116">
        <v>182</v>
      </c>
      <c r="O1591" s="116">
        <v>170.35</v>
      </c>
      <c r="P1591" s="116">
        <v>176.45</v>
      </c>
      <c r="Q1591" s="116">
        <v>171.5</v>
      </c>
      <c r="R1591">
        <v>83722</v>
      </c>
    </row>
    <row r="1592" spans="1:18" x14ac:dyDescent="0.25">
      <c r="A1592" s="170">
        <v>44386</v>
      </c>
      <c r="B1592" s="116">
        <v>223.45</v>
      </c>
      <c r="C1592" s="116">
        <v>216.15</v>
      </c>
      <c r="D1592" s="116">
        <v>202.55</v>
      </c>
      <c r="E1592" s="116">
        <v>208.3</v>
      </c>
      <c r="F1592" s="116">
        <v>216.15</v>
      </c>
      <c r="G1592">
        <v>39963</v>
      </c>
      <c r="H1592" s="116"/>
      <c r="I1592" s="116"/>
      <c r="L1592" s="170">
        <v>44357</v>
      </c>
      <c r="M1592" s="116">
        <v>171.05</v>
      </c>
      <c r="N1592" s="116">
        <v>175.95</v>
      </c>
      <c r="O1592" s="116">
        <v>170</v>
      </c>
      <c r="P1592" s="116">
        <v>171</v>
      </c>
      <c r="Q1592" s="116">
        <v>171.05</v>
      </c>
      <c r="R1592">
        <v>68967</v>
      </c>
    </row>
    <row r="1593" spans="1:18" x14ac:dyDescent="0.25">
      <c r="A1593" s="170">
        <v>44389</v>
      </c>
      <c r="B1593" s="116">
        <v>219.05</v>
      </c>
      <c r="C1593" s="116">
        <v>212.55</v>
      </c>
      <c r="D1593" s="116">
        <v>211.55</v>
      </c>
      <c r="E1593" s="116">
        <v>216.15</v>
      </c>
      <c r="F1593" s="116">
        <v>212.55</v>
      </c>
      <c r="G1593">
        <v>7853</v>
      </c>
      <c r="H1593" s="116"/>
      <c r="I1593" s="116"/>
      <c r="L1593" s="170">
        <v>44358</v>
      </c>
      <c r="M1593" s="116">
        <v>170.8</v>
      </c>
      <c r="N1593" s="116">
        <v>174.45</v>
      </c>
      <c r="O1593" s="116">
        <v>170</v>
      </c>
      <c r="P1593" s="116">
        <v>172.1</v>
      </c>
      <c r="Q1593" s="116">
        <v>170.8</v>
      </c>
      <c r="R1593">
        <v>65597</v>
      </c>
    </row>
    <row r="1594" spans="1:18" x14ac:dyDescent="0.25">
      <c r="A1594" s="170">
        <v>44390</v>
      </c>
      <c r="B1594" s="116">
        <v>221.2</v>
      </c>
      <c r="C1594" s="116">
        <v>214.25</v>
      </c>
      <c r="D1594" s="116">
        <v>213.85</v>
      </c>
      <c r="E1594" s="116">
        <v>213.85</v>
      </c>
      <c r="F1594" s="116">
        <v>214.25</v>
      </c>
      <c r="G1594">
        <v>13961</v>
      </c>
      <c r="H1594" s="116"/>
      <c r="I1594" s="116"/>
      <c r="L1594" s="170">
        <v>44361</v>
      </c>
      <c r="M1594" s="116">
        <v>170.45</v>
      </c>
      <c r="N1594" s="116">
        <v>172.85</v>
      </c>
      <c r="O1594" s="116">
        <v>166.6</v>
      </c>
      <c r="P1594" s="116">
        <v>172.85</v>
      </c>
      <c r="Q1594" s="116">
        <v>170.45</v>
      </c>
      <c r="R1594">
        <v>34604</v>
      </c>
    </row>
    <row r="1595" spans="1:18" x14ac:dyDescent="0.25">
      <c r="A1595" s="170">
        <v>44391</v>
      </c>
      <c r="B1595" s="116">
        <v>227.4</v>
      </c>
      <c r="C1595" s="116">
        <v>223.75</v>
      </c>
      <c r="D1595" s="116">
        <v>212.4</v>
      </c>
      <c r="E1595" s="116">
        <v>213.1</v>
      </c>
      <c r="F1595" s="116">
        <v>223.75</v>
      </c>
      <c r="G1595">
        <v>42358</v>
      </c>
      <c r="H1595" s="116"/>
      <c r="I1595" s="116"/>
      <c r="L1595" s="170">
        <v>44362</v>
      </c>
      <c r="M1595" s="116">
        <v>179.1</v>
      </c>
      <c r="N1595" s="116">
        <v>185</v>
      </c>
      <c r="O1595" s="116">
        <v>170.5</v>
      </c>
      <c r="P1595" s="116">
        <v>171.35</v>
      </c>
      <c r="Q1595" s="116">
        <v>179.1</v>
      </c>
      <c r="R1595">
        <v>337563</v>
      </c>
    </row>
    <row r="1596" spans="1:18" x14ac:dyDescent="0.25">
      <c r="A1596" s="170">
        <v>44392</v>
      </c>
      <c r="B1596" s="116">
        <v>230</v>
      </c>
      <c r="C1596" s="116">
        <v>215.5</v>
      </c>
      <c r="D1596" s="116">
        <v>214.3</v>
      </c>
      <c r="E1596" s="116">
        <v>230</v>
      </c>
      <c r="F1596" s="116">
        <v>215.5</v>
      </c>
      <c r="G1596">
        <v>38803</v>
      </c>
      <c r="H1596" s="116"/>
      <c r="I1596" s="116"/>
      <c r="L1596" s="170">
        <v>44363</v>
      </c>
      <c r="M1596" s="116">
        <v>173.95</v>
      </c>
      <c r="N1596" s="116">
        <v>180.65</v>
      </c>
      <c r="O1596" s="116">
        <v>171.55</v>
      </c>
      <c r="P1596" s="116">
        <v>180.65</v>
      </c>
      <c r="Q1596" s="116">
        <v>173.95</v>
      </c>
      <c r="R1596">
        <v>91025</v>
      </c>
    </row>
    <row r="1597" spans="1:18" x14ac:dyDescent="0.25">
      <c r="A1597" s="170">
        <v>44393</v>
      </c>
      <c r="B1597" s="116">
        <v>218.65</v>
      </c>
      <c r="C1597" s="116">
        <v>216.15</v>
      </c>
      <c r="D1597" s="116">
        <v>214.65</v>
      </c>
      <c r="E1597" s="116">
        <v>216.55</v>
      </c>
      <c r="F1597" s="116">
        <v>216.15</v>
      </c>
      <c r="G1597">
        <v>11147</v>
      </c>
      <c r="H1597" s="116"/>
      <c r="I1597" s="116"/>
      <c r="L1597" s="170">
        <v>44364</v>
      </c>
      <c r="M1597" s="116">
        <v>170.7</v>
      </c>
      <c r="N1597" s="116">
        <v>177.1</v>
      </c>
      <c r="O1597" s="116">
        <v>169.5</v>
      </c>
      <c r="P1597" s="116">
        <v>174.65</v>
      </c>
      <c r="Q1597" s="116">
        <v>170.7</v>
      </c>
      <c r="R1597">
        <v>59414</v>
      </c>
    </row>
    <row r="1598" spans="1:18" x14ac:dyDescent="0.25">
      <c r="A1598" s="170">
        <v>44396</v>
      </c>
      <c r="B1598" s="116">
        <v>217</v>
      </c>
      <c r="C1598" s="116">
        <v>212.55</v>
      </c>
      <c r="D1598" s="116">
        <v>210.45</v>
      </c>
      <c r="E1598" s="116">
        <v>216.5</v>
      </c>
      <c r="F1598" s="116">
        <v>212.55</v>
      </c>
      <c r="G1598">
        <v>11821</v>
      </c>
      <c r="H1598" s="116"/>
      <c r="I1598" s="116"/>
      <c r="L1598" s="170">
        <v>44365</v>
      </c>
      <c r="M1598" s="116">
        <v>171.75</v>
      </c>
      <c r="N1598" s="116">
        <v>174.55</v>
      </c>
      <c r="O1598" s="116">
        <v>165</v>
      </c>
      <c r="P1598" s="116">
        <v>171.6</v>
      </c>
      <c r="Q1598" s="116">
        <v>171.75</v>
      </c>
      <c r="R1598">
        <v>62073</v>
      </c>
    </row>
    <row r="1599" spans="1:18" x14ac:dyDescent="0.25">
      <c r="A1599" s="170">
        <v>44397</v>
      </c>
      <c r="B1599" s="116">
        <v>215</v>
      </c>
      <c r="C1599" s="116">
        <v>204.95</v>
      </c>
      <c r="D1599" s="116">
        <v>201.2</v>
      </c>
      <c r="E1599" s="116">
        <v>213.2</v>
      </c>
      <c r="F1599" s="116">
        <v>204.95</v>
      </c>
      <c r="G1599">
        <v>25128</v>
      </c>
      <c r="H1599" s="116"/>
      <c r="I1599" s="116"/>
      <c r="L1599" s="170">
        <v>44368</v>
      </c>
      <c r="M1599" s="116">
        <v>172.45</v>
      </c>
      <c r="N1599" s="116">
        <v>176.5</v>
      </c>
      <c r="O1599" s="116">
        <v>169.75</v>
      </c>
      <c r="P1599" s="116">
        <v>171.75</v>
      </c>
      <c r="Q1599" s="116">
        <v>172.45</v>
      </c>
      <c r="R1599">
        <v>44984</v>
      </c>
    </row>
    <row r="1600" spans="1:18" x14ac:dyDescent="0.25">
      <c r="A1600" s="170">
        <v>44399</v>
      </c>
      <c r="B1600" s="116">
        <v>215</v>
      </c>
      <c r="C1600" s="116">
        <v>212.3</v>
      </c>
      <c r="D1600" s="116">
        <v>205.5</v>
      </c>
      <c r="E1600" s="116">
        <v>207.55</v>
      </c>
      <c r="F1600" s="116">
        <v>212.3</v>
      </c>
      <c r="G1600">
        <v>13562</v>
      </c>
      <c r="H1600" s="116"/>
      <c r="I1600" s="116"/>
      <c r="L1600" s="170">
        <v>44369</v>
      </c>
      <c r="M1600" s="116">
        <v>184.7</v>
      </c>
      <c r="N1600" s="116">
        <v>189.8</v>
      </c>
      <c r="O1600" s="116">
        <v>173.35</v>
      </c>
      <c r="P1600" s="116">
        <v>173.35</v>
      </c>
      <c r="Q1600" s="116">
        <v>184.7</v>
      </c>
      <c r="R1600">
        <v>525107</v>
      </c>
    </row>
    <row r="1601" spans="1:18" x14ac:dyDescent="0.25">
      <c r="A1601" s="170">
        <v>44400</v>
      </c>
      <c r="B1601" s="116">
        <v>222.1</v>
      </c>
      <c r="C1601" s="116">
        <v>215.35</v>
      </c>
      <c r="D1601" s="116">
        <v>211.8</v>
      </c>
      <c r="E1601" s="116">
        <v>212.5</v>
      </c>
      <c r="F1601" s="116">
        <v>215.35</v>
      </c>
      <c r="G1601">
        <v>35259</v>
      </c>
      <c r="H1601" s="116"/>
      <c r="I1601" s="116"/>
      <c r="L1601" s="170">
        <v>44370</v>
      </c>
      <c r="M1601" s="116">
        <v>186.5</v>
      </c>
      <c r="N1601" s="116">
        <v>195</v>
      </c>
      <c r="O1601" s="116">
        <v>185</v>
      </c>
      <c r="P1601" s="116">
        <v>187.9</v>
      </c>
      <c r="Q1601" s="116">
        <v>186.5</v>
      </c>
      <c r="R1601">
        <v>496269</v>
      </c>
    </row>
    <row r="1602" spans="1:18" x14ac:dyDescent="0.25">
      <c r="A1602" s="170">
        <v>44403</v>
      </c>
      <c r="B1602" s="116">
        <v>211.8</v>
      </c>
      <c r="C1602" s="116">
        <v>196.5</v>
      </c>
      <c r="D1602" s="116">
        <v>192.55</v>
      </c>
      <c r="E1602" s="116">
        <v>211.8</v>
      </c>
      <c r="F1602" s="116">
        <v>196.5</v>
      </c>
      <c r="G1602">
        <v>21857</v>
      </c>
      <c r="H1602" s="116"/>
      <c r="I1602" s="116"/>
      <c r="L1602" s="170">
        <v>44371</v>
      </c>
      <c r="M1602" s="116">
        <v>184.25</v>
      </c>
      <c r="N1602" s="116">
        <v>192</v>
      </c>
      <c r="O1602" s="116">
        <v>181.25</v>
      </c>
      <c r="P1602" s="116">
        <v>188.8</v>
      </c>
      <c r="Q1602" s="116">
        <v>184.25</v>
      </c>
      <c r="R1602">
        <v>148345</v>
      </c>
    </row>
    <row r="1603" spans="1:18" x14ac:dyDescent="0.25">
      <c r="A1603" s="170">
        <v>44404</v>
      </c>
      <c r="B1603" s="116">
        <v>199.15</v>
      </c>
      <c r="C1603" s="116">
        <v>194.05</v>
      </c>
      <c r="D1603" s="116">
        <v>191.25</v>
      </c>
      <c r="E1603" s="116">
        <v>196.2</v>
      </c>
      <c r="F1603" s="116">
        <v>194.05</v>
      </c>
      <c r="G1603">
        <v>15173</v>
      </c>
      <c r="H1603" s="116"/>
      <c r="I1603" s="116"/>
      <c r="L1603" s="170">
        <v>44372</v>
      </c>
      <c r="M1603" s="116">
        <v>183.85</v>
      </c>
      <c r="N1603" s="116">
        <v>189</v>
      </c>
      <c r="O1603" s="116">
        <v>181</v>
      </c>
      <c r="P1603" s="116">
        <v>185.8</v>
      </c>
      <c r="Q1603" s="116">
        <v>183.85</v>
      </c>
      <c r="R1603">
        <v>76872</v>
      </c>
    </row>
    <row r="1604" spans="1:18" x14ac:dyDescent="0.25">
      <c r="A1604" s="170">
        <v>44405</v>
      </c>
      <c r="B1604" s="116">
        <v>205.05</v>
      </c>
      <c r="C1604" s="116">
        <v>200.65</v>
      </c>
      <c r="D1604" s="116">
        <v>190.15</v>
      </c>
      <c r="E1604" s="116">
        <v>190.15</v>
      </c>
      <c r="F1604" s="116">
        <v>200.65</v>
      </c>
      <c r="G1604">
        <v>20950</v>
      </c>
      <c r="H1604" s="116"/>
      <c r="I1604" s="116"/>
      <c r="L1604" s="170">
        <v>44375</v>
      </c>
      <c r="M1604" s="116">
        <v>185</v>
      </c>
      <c r="N1604" s="116">
        <v>188.85</v>
      </c>
      <c r="O1604" s="116">
        <v>183</v>
      </c>
      <c r="P1604" s="116">
        <v>187</v>
      </c>
      <c r="Q1604" s="116">
        <v>185</v>
      </c>
      <c r="R1604">
        <v>47934</v>
      </c>
    </row>
    <row r="1605" spans="1:18" x14ac:dyDescent="0.25">
      <c r="A1605" s="170">
        <v>44406</v>
      </c>
      <c r="B1605" s="116">
        <v>212.85</v>
      </c>
      <c r="C1605" s="116">
        <v>204.9</v>
      </c>
      <c r="D1605" s="116">
        <v>199.8</v>
      </c>
      <c r="E1605" s="116">
        <v>204</v>
      </c>
      <c r="F1605" s="116">
        <v>204.9</v>
      </c>
      <c r="G1605">
        <v>33972</v>
      </c>
      <c r="H1605" s="116"/>
      <c r="I1605" s="116"/>
      <c r="L1605" s="170">
        <v>44376</v>
      </c>
      <c r="M1605" s="116">
        <v>186</v>
      </c>
      <c r="N1605" s="116">
        <v>192</v>
      </c>
      <c r="O1605" s="116">
        <v>183.75</v>
      </c>
      <c r="P1605" s="116">
        <v>185.45</v>
      </c>
      <c r="Q1605" s="116">
        <v>186</v>
      </c>
      <c r="R1605">
        <v>103948</v>
      </c>
    </row>
    <row r="1606" spans="1:18" x14ac:dyDescent="0.25">
      <c r="A1606" s="170">
        <v>44407</v>
      </c>
      <c r="B1606" s="116">
        <v>207.3</v>
      </c>
      <c r="C1606" s="116">
        <v>202.9</v>
      </c>
      <c r="D1606" s="116">
        <v>201.8</v>
      </c>
      <c r="E1606" s="116">
        <v>204.9</v>
      </c>
      <c r="F1606" s="116">
        <v>202.9</v>
      </c>
      <c r="G1606">
        <v>6940</v>
      </c>
      <c r="H1606" s="116"/>
      <c r="I1606" s="116"/>
      <c r="L1606" s="170">
        <v>44377</v>
      </c>
      <c r="M1606" s="116">
        <v>198.6</v>
      </c>
      <c r="N1606" s="116">
        <v>204.7</v>
      </c>
      <c r="O1606" s="116">
        <v>184</v>
      </c>
      <c r="P1606" s="116">
        <v>184</v>
      </c>
      <c r="Q1606" s="116">
        <v>198.6</v>
      </c>
      <c r="R1606">
        <v>648911</v>
      </c>
    </row>
    <row r="1607" spans="1:18" x14ac:dyDescent="0.25">
      <c r="A1607" s="170">
        <v>44410</v>
      </c>
      <c r="B1607" s="116">
        <v>206.5</v>
      </c>
      <c r="C1607" s="116">
        <v>204.15</v>
      </c>
      <c r="D1607" s="116">
        <v>202.55</v>
      </c>
      <c r="E1607" s="116">
        <v>206.15</v>
      </c>
      <c r="F1607" s="116">
        <v>204.15</v>
      </c>
      <c r="G1607">
        <v>7950</v>
      </c>
      <c r="H1607" s="116"/>
      <c r="I1607" s="116"/>
      <c r="L1607" s="170">
        <v>44378</v>
      </c>
      <c r="M1607" s="116">
        <v>191.7</v>
      </c>
      <c r="N1607" s="116">
        <v>206.8</v>
      </c>
      <c r="O1607" s="116">
        <v>186.8</v>
      </c>
      <c r="P1607" s="116">
        <v>199.4</v>
      </c>
      <c r="Q1607" s="116">
        <v>191.7</v>
      </c>
      <c r="R1607">
        <v>429340</v>
      </c>
    </row>
    <row r="1608" spans="1:18" x14ac:dyDescent="0.25">
      <c r="A1608" s="170">
        <v>44411</v>
      </c>
      <c r="B1608" s="116">
        <v>208.25</v>
      </c>
      <c r="C1608" s="116">
        <v>202.85</v>
      </c>
      <c r="D1608" s="116">
        <v>201.35</v>
      </c>
      <c r="E1608" s="116">
        <v>201.65</v>
      </c>
      <c r="F1608" s="116">
        <v>202.85</v>
      </c>
      <c r="G1608">
        <v>29148</v>
      </c>
      <c r="H1608" s="116"/>
      <c r="I1608" s="116"/>
      <c r="L1608" s="170">
        <v>44379</v>
      </c>
      <c r="M1608" s="116">
        <v>192.45</v>
      </c>
      <c r="N1608" s="116">
        <v>197.1</v>
      </c>
      <c r="O1608" s="116">
        <v>191.25</v>
      </c>
      <c r="P1608" s="116">
        <v>192</v>
      </c>
      <c r="Q1608" s="116">
        <v>192.45</v>
      </c>
      <c r="R1608">
        <v>120129</v>
      </c>
    </row>
    <row r="1609" spans="1:18" x14ac:dyDescent="0.25">
      <c r="A1609" s="170">
        <v>44412</v>
      </c>
      <c r="B1609" s="116">
        <v>205.85</v>
      </c>
      <c r="C1609" s="116">
        <v>200.6</v>
      </c>
      <c r="D1609" s="116">
        <v>198.85</v>
      </c>
      <c r="E1609" s="116">
        <v>203.65</v>
      </c>
      <c r="F1609" s="116">
        <v>200.6</v>
      </c>
      <c r="G1609">
        <v>15235</v>
      </c>
      <c r="H1609" s="116"/>
      <c r="I1609" s="116"/>
      <c r="L1609" s="170">
        <v>44382</v>
      </c>
      <c r="M1609" s="116">
        <v>196.3</v>
      </c>
      <c r="N1609" s="116">
        <v>203.95</v>
      </c>
      <c r="O1609" s="116">
        <v>192.35</v>
      </c>
      <c r="P1609" s="116">
        <v>195.5</v>
      </c>
      <c r="Q1609" s="116">
        <v>196.3</v>
      </c>
      <c r="R1609">
        <v>273703</v>
      </c>
    </row>
    <row r="1610" spans="1:18" x14ac:dyDescent="0.25">
      <c r="A1610" s="170">
        <v>44413</v>
      </c>
      <c r="B1610" s="116">
        <v>212.1</v>
      </c>
      <c r="C1610" s="116">
        <v>205.1</v>
      </c>
      <c r="D1610" s="116">
        <v>192.6</v>
      </c>
      <c r="E1610" s="116">
        <v>200.05</v>
      </c>
      <c r="F1610" s="116">
        <v>205.1</v>
      </c>
      <c r="G1610">
        <v>25411</v>
      </c>
      <c r="H1610" s="116"/>
      <c r="I1610" s="116"/>
      <c r="L1610" s="170">
        <v>44383</v>
      </c>
      <c r="M1610" s="116">
        <v>199.75</v>
      </c>
      <c r="N1610" s="116">
        <v>202.65</v>
      </c>
      <c r="O1610" s="116">
        <v>194</v>
      </c>
      <c r="P1610" s="116">
        <v>196.3</v>
      </c>
      <c r="Q1610" s="116">
        <v>199.75</v>
      </c>
      <c r="R1610">
        <v>162295</v>
      </c>
    </row>
    <row r="1611" spans="1:18" x14ac:dyDescent="0.25">
      <c r="A1611" s="170">
        <v>44414</v>
      </c>
      <c r="B1611" s="116">
        <v>208.5</v>
      </c>
      <c r="C1611" s="116">
        <v>201.95</v>
      </c>
      <c r="D1611" s="116">
        <v>200</v>
      </c>
      <c r="E1611" s="116">
        <v>204</v>
      </c>
      <c r="F1611" s="116">
        <v>201.95</v>
      </c>
      <c r="G1611">
        <v>7092</v>
      </c>
      <c r="H1611" s="116"/>
      <c r="I1611" s="116"/>
      <c r="L1611" s="170">
        <v>44384</v>
      </c>
      <c r="M1611" s="116">
        <v>214.55</v>
      </c>
      <c r="N1611" s="116">
        <v>223</v>
      </c>
      <c r="O1611" s="116">
        <v>209.9</v>
      </c>
      <c r="P1611" s="116">
        <v>214</v>
      </c>
      <c r="Q1611" s="116">
        <v>214.55</v>
      </c>
      <c r="R1611">
        <v>1647794</v>
      </c>
    </row>
    <row r="1612" spans="1:18" x14ac:dyDescent="0.25">
      <c r="A1612" s="170">
        <v>44417</v>
      </c>
      <c r="B1612" s="116">
        <v>206.35</v>
      </c>
      <c r="C1612" s="116">
        <v>202.75</v>
      </c>
      <c r="D1612" s="116">
        <v>197.3</v>
      </c>
      <c r="E1612" s="116">
        <v>200.45</v>
      </c>
      <c r="F1612" s="116">
        <v>202.75</v>
      </c>
      <c r="G1612">
        <v>26118</v>
      </c>
      <c r="H1612" s="116"/>
      <c r="I1612" s="116"/>
      <c r="L1612" s="170">
        <v>44385</v>
      </c>
      <c r="M1612" s="116">
        <v>207.05</v>
      </c>
      <c r="N1612" s="116">
        <v>216.85</v>
      </c>
      <c r="O1612" s="116">
        <v>204</v>
      </c>
      <c r="P1612" s="116">
        <v>216.85</v>
      </c>
      <c r="Q1612" s="116">
        <v>207.05</v>
      </c>
      <c r="R1612">
        <v>178047</v>
      </c>
    </row>
    <row r="1613" spans="1:18" x14ac:dyDescent="0.25">
      <c r="A1613" s="170">
        <v>44418</v>
      </c>
      <c r="B1613" s="116">
        <v>204</v>
      </c>
      <c r="C1613" s="116">
        <v>194.15</v>
      </c>
      <c r="D1613" s="116">
        <v>189.5</v>
      </c>
      <c r="E1613" s="116">
        <v>204</v>
      </c>
      <c r="F1613" s="116">
        <v>194.15</v>
      </c>
      <c r="G1613">
        <v>8618</v>
      </c>
      <c r="H1613" s="116"/>
      <c r="I1613" s="116"/>
      <c r="L1613" s="170">
        <v>44386</v>
      </c>
      <c r="M1613" s="116">
        <v>217.05</v>
      </c>
      <c r="N1613" s="116">
        <v>224.3</v>
      </c>
      <c r="O1613" s="116">
        <v>202.2</v>
      </c>
      <c r="P1613" s="116">
        <v>211.8</v>
      </c>
      <c r="Q1613" s="116">
        <v>217.05</v>
      </c>
      <c r="R1613">
        <v>286146</v>
      </c>
    </row>
    <row r="1614" spans="1:18" x14ac:dyDescent="0.25">
      <c r="A1614" s="170">
        <v>44419</v>
      </c>
      <c r="B1614" s="116">
        <v>195</v>
      </c>
      <c r="C1614" s="116">
        <v>187.05</v>
      </c>
      <c r="D1614" s="116">
        <v>181.75</v>
      </c>
      <c r="E1614" s="116">
        <v>191.65</v>
      </c>
      <c r="F1614" s="116">
        <v>187.05</v>
      </c>
      <c r="G1614">
        <v>17708</v>
      </c>
      <c r="H1614" s="116"/>
      <c r="I1614" s="116"/>
      <c r="L1614" s="170">
        <v>44389</v>
      </c>
      <c r="M1614" s="116">
        <v>212.55</v>
      </c>
      <c r="N1614" s="116">
        <v>219</v>
      </c>
      <c r="O1614" s="116">
        <v>211</v>
      </c>
      <c r="P1614" s="116">
        <v>216.8</v>
      </c>
      <c r="Q1614" s="116">
        <v>212.55</v>
      </c>
      <c r="R1614">
        <v>103333</v>
      </c>
    </row>
    <row r="1615" spans="1:18" x14ac:dyDescent="0.25">
      <c r="A1615" s="170">
        <v>44420</v>
      </c>
      <c r="B1615" s="116">
        <v>193.6</v>
      </c>
      <c r="C1615" s="116">
        <v>191.8</v>
      </c>
      <c r="D1615" s="116">
        <v>188.7</v>
      </c>
      <c r="E1615" s="116">
        <v>190.2</v>
      </c>
      <c r="F1615" s="116">
        <v>191.8</v>
      </c>
      <c r="G1615">
        <v>3334</v>
      </c>
      <c r="H1615" s="116"/>
      <c r="I1615" s="116"/>
      <c r="L1615" s="170">
        <v>44390</v>
      </c>
      <c r="M1615" s="116">
        <v>214.2</v>
      </c>
      <c r="N1615" s="116">
        <v>221.4</v>
      </c>
      <c r="O1615" s="116">
        <v>213.2</v>
      </c>
      <c r="P1615" s="116">
        <v>213.2</v>
      </c>
      <c r="Q1615" s="116">
        <v>214.2</v>
      </c>
      <c r="R1615">
        <v>110806</v>
      </c>
    </row>
    <row r="1616" spans="1:18" x14ac:dyDescent="0.25">
      <c r="A1616" s="170">
        <v>44421</v>
      </c>
      <c r="B1616" s="116">
        <v>203</v>
      </c>
      <c r="C1616" s="116">
        <v>193.55</v>
      </c>
      <c r="D1616" s="116">
        <v>191.05</v>
      </c>
      <c r="E1616" s="116">
        <v>192.6</v>
      </c>
      <c r="F1616" s="116">
        <v>193.55</v>
      </c>
      <c r="G1616">
        <v>21516</v>
      </c>
      <c r="H1616" s="116"/>
      <c r="I1616" s="116"/>
      <c r="L1616" s="170">
        <v>44391</v>
      </c>
      <c r="M1616" s="116">
        <v>223.7</v>
      </c>
      <c r="N1616" s="116">
        <v>227.45</v>
      </c>
      <c r="O1616" s="116">
        <v>212.25</v>
      </c>
      <c r="P1616" s="116">
        <v>214.5</v>
      </c>
      <c r="Q1616" s="116">
        <v>223.7</v>
      </c>
      <c r="R1616">
        <v>358554</v>
      </c>
    </row>
    <row r="1617" spans="1:18" x14ac:dyDescent="0.25">
      <c r="A1617" s="170">
        <v>44424</v>
      </c>
      <c r="B1617" s="116">
        <v>194.6</v>
      </c>
      <c r="C1617" s="116">
        <v>188.45</v>
      </c>
      <c r="D1617" s="116">
        <v>187.3</v>
      </c>
      <c r="E1617" s="116">
        <v>194.1</v>
      </c>
      <c r="F1617" s="116">
        <v>188.45</v>
      </c>
      <c r="G1617">
        <v>10054</v>
      </c>
      <c r="H1617" s="116"/>
      <c r="I1617" s="116"/>
      <c r="L1617" s="170">
        <v>44392</v>
      </c>
      <c r="M1617" s="116">
        <v>215.85</v>
      </c>
      <c r="N1617" s="116">
        <v>228.8</v>
      </c>
      <c r="O1617" s="116">
        <v>214</v>
      </c>
      <c r="P1617" s="116">
        <v>228</v>
      </c>
      <c r="Q1617" s="116">
        <v>215.85</v>
      </c>
      <c r="R1617">
        <v>320417</v>
      </c>
    </row>
    <row r="1618" spans="1:18" x14ac:dyDescent="0.25">
      <c r="A1618" s="170">
        <v>44425</v>
      </c>
      <c r="B1618" s="116">
        <v>192.7</v>
      </c>
      <c r="C1618" s="116">
        <v>188.8</v>
      </c>
      <c r="D1618" s="116">
        <v>187.85</v>
      </c>
      <c r="E1618" s="116">
        <v>189.1</v>
      </c>
      <c r="F1618" s="116">
        <v>188.8</v>
      </c>
      <c r="G1618">
        <v>5841</v>
      </c>
      <c r="H1618" s="116"/>
      <c r="I1618" s="116"/>
      <c r="L1618" s="170">
        <v>44393</v>
      </c>
      <c r="M1618" s="116">
        <v>216.5</v>
      </c>
      <c r="N1618" s="116">
        <v>219</v>
      </c>
      <c r="O1618" s="116">
        <v>214.4</v>
      </c>
      <c r="P1618" s="116">
        <v>216.9</v>
      </c>
      <c r="Q1618" s="116">
        <v>216.5</v>
      </c>
      <c r="R1618">
        <v>181903</v>
      </c>
    </row>
    <row r="1619" spans="1:18" x14ac:dyDescent="0.25">
      <c r="A1619" s="170">
        <v>44426</v>
      </c>
      <c r="B1619" s="116">
        <v>190.45</v>
      </c>
      <c r="C1619" s="116">
        <v>185.25</v>
      </c>
      <c r="D1619" s="116">
        <v>183.35</v>
      </c>
      <c r="E1619" s="116">
        <v>189.1</v>
      </c>
      <c r="F1619" s="116">
        <v>185.25</v>
      </c>
      <c r="G1619">
        <v>6045</v>
      </c>
      <c r="H1619" s="116"/>
      <c r="I1619" s="116"/>
      <c r="L1619" s="170">
        <v>44396</v>
      </c>
      <c r="M1619" s="116">
        <v>211.55</v>
      </c>
      <c r="N1619" s="116">
        <v>216.95</v>
      </c>
      <c r="O1619" s="116">
        <v>210.1</v>
      </c>
      <c r="P1619" s="116">
        <v>213</v>
      </c>
      <c r="Q1619" s="116">
        <v>211.55</v>
      </c>
      <c r="R1619">
        <v>186566</v>
      </c>
    </row>
    <row r="1620" spans="1:18" x14ac:dyDescent="0.25">
      <c r="A1620" s="170">
        <v>44428</v>
      </c>
      <c r="B1620" s="116">
        <v>184.15</v>
      </c>
      <c r="C1620" s="116">
        <v>176.6</v>
      </c>
      <c r="D1620" s="116">
        <v>175.1</v>
      </c>
      <c r="E1620" s="116">
        <v>181.65</v>
      </c>
      <c r="F1620" s="116">
        <v>176.6</v>
      </c>
      <c r="G1620">
        <v>8204</v>
      </c>
      <c r="H1620" s="116"/>
      <c r="I1620" s="116"/>
      <c r="L1620" s="170">
        <v>44397</v>
      </c>
      <c r="M1620" s="116">
        <v>205.35</v>
      </c>
      <c r="N1620" s="116">
        <v>214.8</v>
      </c>
      <c r="O1620" s="116">
        <v>201</v>
      </c>
      <c r="P1620" s="116">
        <v>213.4</v>
      </c>
      <c r="Q1620" s="116">
        <v>205.35</v>
      </c>
      <c r="R1620">
        <v>201954</v>
      </c>
    </row>
    <row r="1621" spans="1:18" x14ac:dyDescent="0.25">
      <c r="A1621" s="170">
        <v>44431</v>
      </c>
      <c r="B1621" s="116">
        <v>178.95</v>
      </c>
      <c r="C1621" s="116">
        <v>168.55</v>
      </c>
      <c r="D1621" s="116">
        <v>167.7</v>
      </c>
      <c r="E1621" s="116">
        <v>178.15</v>
      </c>
      <c r="F1621" s="116">
        <v>168.55</v>
      </c>
      <c r="G1621">
        <v>7691</v>
      </c>
      <c r="H1621" s="116"/>
      <c r="I1621" s="116"/>
      <c r="L1621" s="170">
        <v>44399</v>
      </c>
      <c r="M1621" s="116">
        <v>211.5</v>
      </c>
      <c r="N1621" s="116">
        <v>215.2</v>
      </c>
      <c r="O1621" s="116">
        <v>205.35</v>
      </c>
      <c r="P1621" s="116">
        <v>207</v>
      </c>
      <c r="Q1621" s="116">
        <v>211.5</v>
      </c>
      <c r="R1621">
        <v>244863</v>
      </c>
    </row>
    <row r="1622" spans="1:18" x14ac:dyDescent="0.25">
      <c r="A1622" s="170">
        <v>44432</v>
      </c>
      <c r="B1622" s="116">
        <v>176.35</v>
      </c>
      <c r="C1622" s="116">
        <v>174</v>
      </c>
      <c r="D1622" s="116">
        <v>165.25</v>
      </c>
      <c r="E1622" s="116">
        <v>165.25</v>
      </c>
      <c r="F1622" s="116">
        <v>174</v>
      </c>
      <c r="G1622">
        <v>2047</v>
      </c>
      <c r="H1622" s="116"/>
      <c r="I1622" s="116"/>
      <c r="L1622" s="170">
        <v>44400</v>
      </c>
      <c r="M1622" s="116">
        <v>215.35</v>
      </c>
      <c r="N1622" s="116">
        <v>223</v>
      </c>
      <c r="O1622" s="116">
        <v>211.75</v>
      </c>
      <c r="P1622" s="116">
        <v>212.05</v>
      </c>
      <c r="Q1622" s="116">
        <v>215.35</v>
      </c>
      <c r="R1622">
        <v>350716</v>
      </c>
    </row>
    <row r="1623" spans="1:18" x14ac:dyDescent="0.25">
      <c r="A1623" s="170">
        <v>44433</v>
      </c>
      <c r="B1623" s="116">
        <v>183.1</v>
      </c>
      <c r="C1623" s="116">
        <v>176.65</v>
      </c>
      <c r="D1623" s="116">
        <v>171.45</v>
      </c>
      <c r="E1623" s="116">
        <v>177.5</v>
      </c>
      <c r="F1623" s="116">
        <v>176.65</v>
      </c>
      <c r="G1623">
        <v>8423</v>
      </c>
      <c r="H1623" s="116"/>
      <c r="I1623" s="116"/>
      <c r="L1623" s="170">
        <v>44403</v>
      </c>
      <c r="M1623" s="116">
        <v>195.75</v>
      </c>
      <c r="N1623" s="116">
        <v>208.85</v>
      </c>
      <c r="O1623" s="116">
        <v>190.25</v>
      </c>
      <c r="P1623" s="116">
        <v>203.15</v>
      </c>
      <c r="Q1623" s="116">
        <v>195.75</v>
      </c>
      <c r="R1623">
        <v>299084</v>
      </c>
    </row>
    <row r="1624" spans="1:18" x14ac:dyDescent="0.25">
      <c r="A1624" s="170">
        <v>44434</v>
      </c>
      <c r="B1624" s="116">
        <v>177.15</v>
      </c>
      <c r="C1624" s="116">
        <v>172.8</v>
      </c>
      <c r="D1624" s="116">
        <v>172.7</v>
      </c>
      <c r="E1624" s="116">
        <v>176</v>
      </c>
      <c r="F1624" s="116">
        <v>172.8</v>
      </c>
      <c r="G1624">
        <v>3616</v>
      </c>
      <c r="H1624" s="116"/>
      <c r="I1624" s="116"/>
      <c r="L1624" s="170">
        <v>44404</v>
      </c>
      <c r="M1624" s="116">
        <v>194.1</v>
      </c>
      <c r="N1624" s="116">
        <v>199.4</v>
      </c>
      <c r="O1624" s="116">
        <v>192.05</v>
      </c>
      <c r="P1624" s="116">
        <v>196.5</v>
      </c>
      <c r="Q1624" s="116">
        <v>194.1</v>
      </c>
      <c r="R1624">
        <v>166302</v>
      </c>
    </row>
    <row r="1625" spans="1:18" x14ac:dyDescent="0.25">
      <c r="A1625" s="170">
        <v>44435</v>
      </c>
      <c r="B1625" s="116">
        <v>176.75</v>
      </c>
      <c r="C1625" s="116">
        <v>172</v>
      </c>
      <c r="D1625" s="116">
        <v>171.5</v>
      </c>
      <c r="E1625" s="116">
        <v>174.35</v>
      </c>
      <c r="F1625" s="116">
        <v>172</v>
      </c>
      <c r="G1625">
        <v>8413</v>
      </c>
      <c r="H1625" s="116"/>
      <c r="I1625" s="116"/>
      <c r="L1625" s="170">
        <v>44405</v>
      </c>
      <c r="M1625" s="116">
        <v>199.35</v>
      </c>
      <c r="N1625" s="116">
        <v>204</v>
      </c>
      <c r="O1625" s="116">
        <v>191.05</v>
      </c>
      <c r="P1625" s="116">
        <v>194.3</v>
      </c>
      <c r="Q1625" s="116">
        <v>199.35</v>
      </c>
      <c r="R1625">
        <v>378452</v>
      </c>
    </row>
    <row r="1626" spans="1:18" x14ac:dyDescent="0.25">
      <c r="A1626" s="170">
        <v>44438</v>
      </c>
      <c r="B1626" s="116">
        <v>179.5</v>
      </c>
      <c r="C1626" s="116">
        <v>177.85</v>
      </c>
      <c r="D1626" s="116">
        <v>171.75</v>
      </c>
      <c r="E1626" s="116">
        <v>175.55</v>
      </c>
      <c r="F1626" s="116">
        <v>177.85</v>
      </c>
      <c r="G1626">
        <v>10652</v>
      </c>
      <c r="H1626" s="116"/>
      <c r="I1626" s="116"/>
      <c r="L1626" s="170">
        <v>44406</v>
      </c>
      <c r="M1626" s="116">
        <v>205.05</v>
      </c>
      <c r="N1626" s="116">
        <v>213</v>
      </c>
      <c r="O1626" s="116">
        <v>200</v>
      </c>
      <c r="P1626" s="116">
        <v>203.5</v>
      </c>
      <c r="Q1626" s="116">
        <v>205.05</v>
      </c>
      <c r="R1626">
        <v>432550</v>
      </c>
    </row>
    <row r="1627" spans="1:18" x14ac:dyDescent="0.25">
      <c r="A1627" s="170">
        <v>44439</v>
      </c>
      <c r="B1627" s="116">
        <v>178</v>
      </c>
      <c r="C1627" s="116">
        <v>175.1</v>
      </c>
      <c r="D1627" s="116">
        <v>173.2</v>
      </c>
      <c r="E1627" s="116">
        <v>176.7</v>
      </c>
      <c r="F1627" s="116">
        <v>175.1</v>
      </c>
      <c r="G1627">
        <v>3511</v>
      </c>
      <c r="H1627" s="116"/>
      <c r="I1627" s="116"/>
      <c r="L1627" s="170">
        <v>44407</v>
      </c>
      <c r="M1627" s="116">
        <v>203.1</v>
      </c>
      <c r="N1627" s="116">
        <v>207.5</v>
      </c>
      <c r="O1627" s="116">
        <v>201.8</v>
      </c>
      <c r="P1627" s="116">
        <v>204.05</v>
      </c>
      <c r="Q1627" s="116">
        <v>203.1</v>
      </c>
      <c r="R1627">
        <v>95791</v>
      </c>
    </row>
    <row r="1628" spans="1:18" x14ac:dyDescent="0.25">
      <c r="A1628" s="170">
        <v>44440</v>
      </c>
      <c r="B1628" s="116">
        <v>182.95</v>
      </c>
      <c r="C1628" s="116">
        <v>180.5</v>
      </c>
      <c r="D1628" s="116">
        <v>176.25</v>
      </c>
      <c r="E1628" s="116">
        <v>176.25</v>
      </c>
      <c r="F1628" s="116">
        <v>180.5</v>
      </c>
      <c r="G1628">
        <v>1886</v>
      </c>
      <c r="H1628" s="116"/>
      <c r="I1628" s="116"/>
      <c r="L1628" s="170">
        <v>44410</v>
      </c>
      <c r="M1628" s="116">
        <v>203.65</v>
      </c>
      <c r="N1628" s="116">
        <v>207.5</v>
      </c>
      <c r="O1628" s="116">
        <v>202.5</v>
      </c>
      <c r="P1628" s="116">
        <v>207.5</v>
      </c>
      <c r="Q1628" s="116">
        <v>203.65</v>
      </c>
      <c r="R1628">
        <v>147544</v>
      </c>
    </row>
    <row r="1629" spans="1:18" x14ac:dyDescent="0.25">
      <c r="A1629" s="170">
        <v>44441</v>
      </c>
      <c r="B1629" s="116">
        <v>216</v>
      </c>
      <c r="C1629" s="116">
        <v>179.15</v>
      </c>
      <c r="D1629" s="116">
        <v>177.4</v>
      </c>
      <c r="E1629" s="116">
        <v>200</v>
      </c>
      <c r="F1629" s="116">
        <v>179.15</v>
      </c>
      <c r="G1629">
        <v>9359</v>
      </c>
      <c r="H1629" s="116"/>
      <c r="I1629" s="116"/>
      <c r="L1629" s="170">
        <v>44411</v>
      </c>
      <c r="M1629" s="116">
        <v>202.25</v>
      </c>
      <c r="N1629" s="116">
        <v>208.65</v>
      </c>
      <c r="O1629" s="116">
        <v>200.05</v>
      </c>
      <c r="P1629" s="116">
        <v>202.85</v>
      </c>
      <c r="Q1629" s="116">
        <v>202.25</v>
      </c>
      <c r="R1629">
        <v>175698</v>
      </c>
    </row>
    <row r="1630" spans="1:18" x14ac:dyDescent="0.25">
      <c r="A1630" s="170">
        <v>44442</v>
      </c>
      <c r="B1630" s="116">
        <v>178.75</v>
      </c>
      <c r="C1630" s="116">
        <v>175.55</v>
      </c>
      <c r="D1630" s="116">
        <v>175.4</v>
      </c>
      <c r="E1630" s="116">
        <v>177.5</v>
      </c>
      <c r="F1630" s="116">
        <v>175.55</v>
      </c>
      <c r="G1630">
        <v>4337</v>
      </c>
      <c r="H1630" s="116"/>
      <c r="I1630" s="116"/>
      <c r="L1630" s="170">
        <v>44412</v>
      </c>
      <c r="M1630" s="116">
        <v>200.95</v>
      </c>
      <c r="N1630" s="116">
        <v>206</v>
      </c>
      <c r="O1630" s="116">
        <v>198.55</v>
      </c>
      <c r="P1630" s="116">
        <v>204</v>
      </c>
      <c r="Q1630" s="116">
        <v>200.95</v>
      </c>
      <c r="R1630">
        <v>125557</v>
      </c>
    </row>
    <row r="1631" spans="1:18" x14ac:dyDescent="0.25">
      <c r="A1631" s="170">
        <v>44445</v>
      </c>
      <c r="B1631" s="116">
        <v>180.25</v>
      </c>
      <c r="C1631" s="116">
        <v>178.6</v>
      </c>
      <c r="D1631" s="116">
        <v>174.9</v>
      </c>
      <c r="E1631" s="116">
        <v>176.7</v>
      </c>
      <c r="F1631" s="116">
        <v>178.6</v>
      </c>
      <c r="G1631">
        <v>4672</v>
      </c>
      <c r="H1631" s="116"/>
      <c r="I1631" s="116"/>
      <c r="L1631" s="170">
        <v>44413</v>
      </c>
      <c r="M1631" s="116">
        <v>205</v>
      </c>
      <c r="N1631" s="116">
        <v>212.4</v>
      </c>
      <c r="O1631" s="116">
        <v>192.4</v>
      </c>
      <c r="P1631" s="116">
        <v>202</v>
      </c>
      <c r="Q1631" s="116">
        <v>205</v>
      </c>
      <c r="R1631">
        <v>447519</v>
      </c>
    </row>
    <row r="1632" spans="1:18" x14ac:dyDescent="0.25">
      <c r="A1632" s="170">
        <v>44446</v>
      </c>
      <c r="B1632" s="116">
        <v>179.7</v>
      </c>
      <c r="C1632" s="116">
        <v>174.9</v>
      </c>
      <c r="D1632" s="116">
        <v>174.35</v>
      </c>
      <c r="E1632" s="116">
        <v>179.05</v>
      </c>
      <c r="F1632" s="116">
        <v>174.9</v>
      </c>
      <c r="G1632">
        <v>2318</v>
      </c>
      <c r="H1632" s="116"/>
      <c r="I1632" s="116"/>
      <c r="L1632" s="170">
        <v>44414</v>
      </c>
      <c r="M1632" s="116">
        <v>201.4</v>
      </c>
      <c r="N1632" s="116">
        <v>208.65</v>
      </c>
      <c r="O1632" s="116">
        <v>199.15</v>
      </c>
      <c r="P1632" s="116">
        <v>203.4</v>
      </c>
      <c r="Q1632" s="116">
        <v>201.4</v>
      </c>
      <c r="R1632">
        <v>75375</v>
      </c>
    </row>
    <row r="1633" spans="1:18" x14ac:dyDescent="0.25">
      <c r="A1633" s="170">
        <v>44447</v>
      </c>
      <c r="B1633" s="116">
        <v>181.45</v>
      </c>
      <c r="C1633" s="116">
        <v>179.7</v>
      </c>
      <c r="D1633" s="116">
        <v>176</v>
      </c>
      <c r="E1633" s="116">
        <v>177.7</v>
      </c>
      <c r="F1633" s="116">
        <v>179.7</v>
      </c>
      <c r="G1633">
        <v>5357</v>
      </c>
      <c r="H1633" s="116"/>
      <c r="I1633" s="116"/>
      <c r="L1633" s="170">
        <v>44417</v>
      </c>
      <c r="M1633" s="116">
        <v>202.8</v>
      </c>
      <c r="N1633" s="116">
        <v>206.8</v>
      </c>
      <c r="O1633" s="116">
        <v>197.3</v>
      </c>
      <c r="P1633" s="116">
        <v>198.35</v>
      </c>
      <c r="Q1633" s="116">
        <v>202.8</v>
      </c>
      <c r="R1633">
        <v>247645</v>
      </c>
    </row>
    <row r="1634" spans="1:18" x14ac:dyDescent="0.25">
      <c r="A1634" s="170">
        <v>44448</v>
      </c>
      <c r="B1634" s="116">
        <v>181</v>
      </c>
      <c r="C1634" s="116">
        <v>176.3</v>
      </c>
      <c r="D1634" s="116">
        <v>175.45</v>
      </c>
      <c r="E1634" s="116">
        <v>177.65</v>
      </c>
      <c r="F1634" s="116">
        <v>176.3</v>
      </c>
      <c r="G1634">
        <v>4130</v>
      </c>
      <c r="H1634" s="116"/>
      <c r="I1634" s="116"/>
      <c r="L1634" s="170">
        <v>44418</v>
      </c>
      <c r="M1634" s="116">
        <v>193.95</v>
      </c>
      <c r="N1634" s="116">
        <v>202</v>
      </c>
      <c r="O1634" s="116">
        <v>189.1</v>
      </c>
      <c r="P1634" s="116">
        <v>202</v>
      </c>
      <c r="Q1634" s="116">
        <v>193.95</v>
      </c>
      <c r="R1634">
        <v>126239</v>
      </c>
    </row>
    <row r="1635" spans="1:18" x14ac:dyDescent="0.25">
      <c r="A1635" s="170">
        <v>44452</v>
      </c>
      <c r="B1635" s="116">
        <v>177.35</v>
      </c>
      <c r="C1635" s="116">
        <v>176.15</v>
      </c>
      <c r="D1635" s="116">
        <v>174.9</v>
      </c>
      <c r="E1635" s="116">
        <v>177.05</v>
      </c>
      <c r="F1635" s="116">
        <v>176.15</v>
      </c>
      <c r="G1635">
        <v>3516</v>
      </c>
      <c r="H1635" s="116"/>
      <c r="I1635" s="116"/>
      <c r="L1635" s="170">
        <v>44419</v>
      </c>
      <c r="M1635" s="116">
        <v>187.45</v>
      </c>
      <c r="N1635" s="116">
        <v>194.95</v>
      </c>
      <c r="O1635" s="116">
        <v>181.5</v>
      </c>
      <c r="P1635" s="116">
        <v>194</v>
      </c>
      <c r="Q1635" s="116">
        <v>187.45</v>
      </c>
      <c r="R1635">
        <v>118844</v>
      </c>
    </row>
    <row r="1636" spans="1:18" x14ac:dyDescent="0.25">
      <c r="A1636" s="170">
        <v>44453</v>
      </c>
      <c r="B1636" s="116">
        <v>180</v>
      </c>
      <c r="C1636" s="116">
        <v>178.15</v>
      </c>
      <c r="D1636" s="116">
        <v>175.55</v>
      </c>
      <c r="E1636" s="116">
        <v>176</v>
      </c>
      <c r="F1636" s="116">
        <v>178.15</v>
      </c>
      <c r="G1636">
        <v>2008</v>
      </c>
      <c r="H1636" s="116"/>
      <c r="I1636" s="116"/>
      <c r="L1636" s="170">
        <v>44420</v>
      </c>
      <c r="M1636" s="116">
        <v>191.75</v>
      </c>
      <c r="N1636" s="116">
        <v>193.8</v>
      </c>
      <c r="O1636" s="116">
        <v>188.6</v>
      </c>
      <c r="P1636" s="116">
        <v>189</v>
      </c>
      <c r="Q1636" s="116">
        <v>191.75</v>
      </c>
      <c r="R1636">
        <v>51925</v>
      </c>
    </row>
    <row r="1637" spans="1:18" x14ac:dyDescent="0.25">
      <c r="A1637" s="170">
        <v>44454</v>
      </c>
      <c r="B1637" s="116">
        <v>180.5</v>
      </c>
      <c r="C1637" s="116">
        <v>179.45</v>
      </c>
      <c r="D1637" s="116">
        <v>177</v>
      </c>
      <c r="E1637" s="116">
        <v>177</v>
      </c>
      <c r="F1637" s="116">
        <v>179.45</v>
      </c>
      <c r="G1637">
        <v>1713</v>
      </c>
      <c r="H1637" s="116"/>
      <c r="I1637" s="116"/>
      <c r="L1637" s="170">
        <v>44421</v>
      </c>
      <c r="M1637" s="116">
        <v>193.3</v>
      </c>
      <c r="N1637" s="116">
        <v>203.35</v>
      </c>
      <c r="O1637" s="116">
        <v>188.3</v>
      </c>
      <c r="P1637" s="116">
        <v>192</v>
      </c>
      <c r="Q1637" s="116">
        <v>193.3</v>
      </c>
      <c r="R1637">
        <v>172803</v>
      </c>
    </row>
    <row r="1638" spans="1:18" x14ac:dyDescent="0.25">
      <c r="A1638" s="170">
        <v>44455</v>
      </c>
      <c r="B1638" s="116">
        <v>182.1</v>
      </c>
      <c r="C1638" s="116">
        <v>179.6</v>
      </c>
      <c r="D1638" s="116">
        <v>178.35</v>
      </c>
      <c r="E1638" s="116">
        <v>178.65</v>
      </c>
      <c r="F1638" s="116">
        <v>179.6</v>
      </c>
      <c r="G1638">
        <v>1826</v>
      </c>
      <c r="H1638" s="116"/>
      <c r="I1638" s="116"/>
      <c r="L1638" s="170">
        <v>44424</v>
      </c>
      <c r="M1638" s="116">
        <v>189.65</v>
      </c>
      <c r="N1638" s="116">
        <v>195.55</v>
      </c>
      <c r="O1638" s="116">
        <v>187.15</v>
      </c>
      <c r="P1638" s="116">
        <v>193.85</v>
      </c>
      <c r="Q1638" s="116">
        <v>189.65</v>
      </c>
      <c r="R1638">
        <v>57720</v>
      </c>
    </row>
    <row r="1639" spans="1:18" x14ac:dyDescent="0.25">
      <c r="A1639" s="170">
        <v>44456</v>
      </c>
      <c r="B1639" s="116">
        <v>180.4</v>
      </c>
      <c r="C1639" s="116">
        <v>175.3</v>
      </c>
      <c r="D1639" s="116">
        <v>174.75</v>
      </c>
      <c r="E1639" s="116">
        <v>180.25</v>
      </c>
      <c r="F1639" s="116">
        <v>175.3</v>
      </c>
      <c r="G1639">
        <v>866</v>
      </c>
      <c r="H1639" s="116"/>
      <c r="I1639" s="116"/>
      <c r="L1639" s="170">
        <v>44425</v>
      </c>
      <c r="M1639" s="116">
        <v>188.4</v>
      </c>
      <c r="N1639" s="116">
        <v>193.2</v>
      </c>
      <c r="O1639" s="116">
        <v>187.55</v>
      </c>
      <c r="P1639" s="116">
        <v>189.5</v>
      </c>
      <c r="Q1639" s="116">
        <v>188.4</v>
      </c>
      <c r="R1639">
        <v>54311</v>
      </c>
    </row>
    <row r="1640" spans="1:18" x14ac:dyDescent="0.25">
      <c r="A1640" s="170">
        <v>44459</v>
      </c>
      <c r="B1640" s="116">
        <v>176.7</v>
      </c>
      <c r="C1640" s="116">
        <v>173.85</v>
      </c>
      <c r="D1640" s="116">
        <v>172</v>
      </c>
      <c r="E1640" s="116">
        <v>174.5</v>
      </c>
      <c r="F1640" s="116">
        <v>173.85</v>
      </c>
      <c r="G1640">
        <v>716</v>
      </c>
      <c r="H1640" s="116"/>
      <c r="I1640" s="116"/>
      <c r="L1640" s="170">
        <v>44426</v>
      </c>
      <c r="M1640" s="116">
        <v>185.05</v>
      </c>
      <c r="N1640" s="116">
        <v>191.7</v>
      </c>
      <c r="O1640" s="116">
        <v>183.1</v>
      </c>
      <c r="P1640" s="116">
        <v>189.35</v>
      </c>
      <c r="Q1640" s="116">
        <v>185.05</v>
      </c>
      <c r="R1640">
        <v>41261</v>
      </c>
    </row>
    <row r="1641" spans="1:18" x14ac:dyDescent="0.25">
      <c r="A1641" s="170">
        <v>44460</v>
      </c>
      <c r="B1641" s="116">
        <v>175.2</v>
      </c>
      <c r="C1641" s="116">
        <v>174.15</v>
      </c>
      <c r="D1641" s="116">
        <v>170.9</v>
      </c>
      <c r="E1641" s="116">
        <v>172.5</v>
      </c>
      <c r="F1641" s="116">
        <v>174.15</v>
      </c>
      <c r="G1641">
        <v>1510</v>
      </c>
      <c r="H1641" s="116"/>
      <c r="I1641" s="116"/>
      <c r="L1641" s="170">
        <v>44428</v>
      </c>
      <c r="M1641" s="116">
        <v>176.55</v>
      </c>
      <c r="N1641" s="116">
        <v>185</v>
      </c>
      <c r="O1641" s="116">
        <v>175.05</v>
      </c>
      <c r="P1641" s="116">
        <v>185</v>
      </c>
      <c r="Q1641" s="116">
        <v>176.55</v>
      </c>
      <c r="R1641">
        <v>54198</v>
      </c>
    </row>
    <row r="1642" spans="1:18" x14ac:dyDescent="0.25">
      <c r="A1642" s="170">
        <v>44461</v>
      </c>
      <c r="B1642" s="116">
        <v>178.2</v>
      </c>
      <c r="C1642" s="116">
        <v>175.95</v>
      </c>
      <c r="D1642" s="116">
        <v>175</v>
      </c>
      <c r="E1642" s="116">
        <v>175.4</v>
      </c>
      <c r="F1642" s="116">
        <v>175.95</v>
      </c>
      <c r="G1642">
        <v>669</v>
      </c>
      <c r="H1642" s="116"/>
      <c r="I1642" s="116"/>
      <c r="L1642" s="170">
        <v>44431</v>
      </c>
      <c r="M1642" s="116">
        <v>168.65</v>
      </c>
      <c r="N1642" s="116">
        <v>179.1</v>
      </c>
      <c r="O1642" s="116">
        <v>168</v>
      </c>
      <c r="P1642" s="116">
        <v>177.15</v>
      </c>
      <c r="Q1642" s="116">
        <v>168.65</v>
      </c>
      <c r="R1642">
        <v>43267</v>
      </c>
    </row>
    <row r="1643" spans="1:18" x14ac:dyDescent="0.25">
      <c r="A1643" s="170">
        <v>44462</v>
      </c>
      <c r="B1643" s="116">
        <v>181.9</v>
      </c>
      <c r="C1643" s="116">
        <v>175.7</v>
      </c>
      <c r="D1643" s="116">
        <v>175</v>
      </c>
      <c r="E1643" s="116">
        <v>177.7</v>
      </c>
      <c r="F1643" s="116">
        <v>175.7</v>
      </c>
      <c r="G1643">
        <v>1775</v>
      </c>
      <c r="H1643" s="116"/>
      <c r="I1643" s="116"/>
      <c r="L1643" s="170">
        <v>44432</v>
      </c>
      <c r="M1643" s="116">
        <v>173.65</v>
      </c>
      <c r="N1643" s="116">
        <v>176.85</v>
      </c>
      <c r="O1643" s="116">
        <v>168.65</v>
      </c>
      <c r="P1643" s="116">
        <v>168.65</v>
      </c>
      <c r="Q1643" s="116">
        <v>173.65</v>
      </c>
      <c r="R1643">
        <v>99367</v>
      </c>
    </row>
    <row r="1644" spans="1:18" x14ac:dyDescent="0.25">
      <c r="A1644" s="170">
        <v>44463</v>
      </c>
      <c r="B1644" s="116">
        <v>179</v>
      </c>
      <c r="C1644" s="116">
        <v>172.55</v>
      </c>
      <c r="D1644" s="116">
        <v>171.55</v>
      </c>
      <c r="E1644" s="116">
        <v>178.3</v>
      </c>
      <c r="F1644" s="116">
        <v>172.55</v>
      </c>
      <c r="G1644">
        <v>478</v>
      </c>
      <c r="H1644" s="116"/>
      <c r="I1644" s="116"/>
      <c r="L1644" s="170">
        <v>44433</v>
      </c>
      <c r="M1644" s="116">
        <v>177.05</v>
      </c>
      <c r="N1644" s="116">
        <v>183.9</v>
      </c>
      <c r="O1644" s="116">
        <v>171.35</v>
      </c>
      <c r="P1644" s="116">
        <v>172.6</v>
      </c>
      <c r="Q1644" s="116">
        <v>177.05</v>
      </c>
      <c r="R1644">
        <v>84794</v>
      </c>
    </row>
    <row r="1645" spans="1:18" x14ac:dyDescent="0.25">
      <c r="A1645" s="170">
        <v>44466</v>
      </c>
      <c r="B1645" s="116">
        <v>186.3</v>
      </c>
      <c r="C1645" s="116">
        <v>181.35</v>
      </c>
      <c r="D1645" s="116">
        <v>171.25</v>
      </c>
      <c r="E1645" s="116">
        <v>173.85</v>
      </c>
      <c r="F1645" s="116">
        <v>181.35</v>
      </c>
      <c r="G1645">
        <v>13243</v>
      </c>
      <c r="H1645" s="116"/>
      <c r="I1645" s="116"/>
      <c r="L1645" s="170">
        <v>44434</v>
      </c>
      <c r="M1645" s="116">
        <v>172.85</v>
      </c>
      <c r="N1645" s="116">
        <v>177.85</v>
      </c>
      <c r="O1645" s="116">
        <v>172.2</v>
      </c>
      <c r="P1645" s="116">
        <v>175.3</v>
      </c>
      <c r="Q1645" s="116">
        <v>172.85</v>
      </c>
      <c r="R1645">
        <v>42236</v>
      </c>
    </row>
    <row r="1646" spans="1:18" x14ac:dyDescent="0.25">
      <c r="A1646" s="170">
        <v>44467</v>
      </c>
      <c r="B1646" s="116">
        <v>184.95</v>
      </c>
      <c r="C1646" s="116">
        <v>178.6</v>
      </c>
      <c r="D1646" s="116">
        <v>176.8</v>
      </c>
      <c r="E1646" s="116">
        <v>184.95</v>
      </c>
      <c r="F1646" s="116">
        <v>178.6</v>
      </c>
      <c r="G1646">
        <v>2228</v>
      </c>
      <c r="H1646" s="116"/>
      <c r="I1646" s="116"/>
      <c r="L1646" s="170">
        <v>44435</v>
      </c>
      <c r="M1646" s="116">
        <v>171.8</v>
      </c>
      <c r="N1646" s="116">
        <v>176.9</v>
      </c>
      <c r="O1646" s="116">
        <v>171.4</v>
      </c>
      <c r="P1646" s="116">
        <v>173.75</v>
      </c>
      <c r="Q1646" s="116">
        <v>171.8</v>
      </c>
      <c r="R1646">
        <v>69505</v>
      </c>
    </row>
    <row r="1647" spans="1:18" x14ac:dyDescent="0.25">
      <c r="A1647" s="170">
        <v>44468</v>
      </c>
      <c r="B1647" s="116">
        <v>184.25</v>
      </c>
      <c r="C1647" s="116">
        <v>180.95</v>
      </c>
      <c r="D1647" s="116">
        <v>175.75</v>
      </c>
      <c r="E1647" s="116">
        <v>176.9</v>
      </c>
      <c r="F1647" s="116">
        <v>180.95</v>
      </c>
      <c r="G1647">
        <v>7399</v>
      </c>
      <c r="H1647" s="116"/>
      <c r="I1647" s="116"/>
      <c r="L1647" s="170">
        <v>44438</v>
      </c>
      <c r="M1647" s="116">
        <v>178.1</v>
      </c>
      <c r="N1647" s="116">
        <v>179.9</v>
      </c>
      <c r="O1647" s="116">
        <v>171.6</v>
      </c>
      <c r="P1647" s="116">
        <v>174</v>
      </c>
      <c r="Q1647" s="116">
        <v>178.1</v>
      </c>
      <c r="R1647">
        <v>138420</v>
      </c>
    </row>
    <row r="1648" spans="1:18" x14ac:dyDescent="0.25">
      <c r="A1648" s="170">
        <v>44469</v>
      </c>
      <c r="B1648" s="116">
        <v>190</v>
      </c>
      <c r="C1648" s="116">
        <v>184.85</v>
      </c>
      <c r="D1648" s="116">
        <v>184.1</v>
      </c>
      <c r="E1648" s="116">
        <v>190</v>
      </c>
      <c r="F1648" s="116">
        <v>184.85</v>
      </c>
      <c r="G1648">
        <v>5097</v>
      </c>
      <c r="H1648" s="116"/>
      <c r="I1648" s="116"/>
      <c r="L1648" s="170">
        <v>44439</v>
      </c>
      <c r="M1648" s="116">
        <v>175.85</v>
      </c>
      <c r="N1648" s="116">
        <v>178.25</v>
      </c>
      <c r="O1648" s="116">
        <v>174</v>
      </c>
      <c r="P1648" s="116">
        <v>175.4</v>
      </c>
      <c r="Q1648" s="116">
        <v>175.85</v>
      </c>
      <c r="R1648">
        <v>27416</v>
      </c>
    </row>
    <row r="1649" spans="1:18" x14ac:dyDescent="0.25">
      <c r="A1649" s="170">
        <v>44470</v>
      </c>
      <c r="B1649" s="116">
        <v>184.85</v>
      </c>
      <c r="C1649" s="116">
        <v>181.65</v>
      </c>
      <c r="D1649" s="116">
        <v>181.15</v>
      </c>
      <c r="E1649" s="116">
        <v>184.55</v>
      </c>
      <c r="F1649" s="116">
        <v>181.65</v>
      </c>
      <c r="G1649">
        <v>7217</v>
      </c>
      <c r="H1649" s="116"/>
      <c r="I1649" s="116"/>
      <c r="L1649" s="170">
        <v>44440</v>
      </c>
      <c r="M1649" s="116">
        <v>181.35</v>
      </c>
      <c r="N1649" s="116">
        <v>183</v>
      </c>
      <c r="O1649" s="116">
        <v>175.7</v>
      </c>
      <c r="P1649" s="116">
        <v>175.95</v>
      </c>
      <c r="Q1649" s="116">
        <v>181.35</v>
      </c>
      <c r="R1649">
        <v>41484</v>
      </c>
    </row>
    <row r="1650" spans="1:18" x14ac:dyDescent="0.25">
      <c r="A1650" s="170">
        <v>44473</v>
      </c>
      <c r="B1650" s="116">
        <v>190.6</v>
      </c>
      <c r="C1650" s="116">
        <v>184.25</v>
      </c>
      <c r="D1650" s="116">
        <v>181.45</v>
      </c>
      <c r="E1650" s="116">
        <v>182.15</v>
      </c>
      <c r="F1650" s="116">
        <v>184.25</v>
      </c>
      <c r="G1650">
        <v>9278</v>
      </c>
      <c r="H1650" s="116"/>
      <c r="I1650" s="116"/>
      <c r="L1650" s="170">
        <v>44441</v>
      </c>
      <c r="M1650" s="116">
        <v>178.25</v>
      </c>
      <c r="N1650" s="116">
        <v>185</v>
      </c>
      <c r="O1650" s="116">
        <v>177</v>
      </c>
      <c r="P1650" s="116">
        <v>182</v>
      </c>
      <c r="Q1650" s="116">
        <v>178.25</v>
      </c>
      <c r="R1650">
        <v>71810</v>
      </c>
    </row>
    <row r="1651" spans="1:18" x14ac:dyDescent="0.25">
      <c r="A1651" s="170">
        <v>44474</v>
      </c>
      <c r="B1651" s="116">
        <v>192.4</v>
      </c>
      <c r="C1651" s="116">
        <v>190.5</v>
      </c>
      <c r="D1651" s="116">
        <v>183.95</v>
      </c>
      <c r="E1651" s="116">
        <v>184.65</v>
      </c>
      <c r="F1651" s="116">
        <v>190.5</v>
      </c>
      <c r="G1651">
        <v>8606</v>
      </c>
      <c r="H1651" s="116"/>
      <c r="I1651" s="116"/>
      <c r="L1651" s="170">
        <v>44442</v>
      </c>
      <c r="M1651" s="116">
        <v>175.75</v>
      </c>
      <c r="N1651" s="116">
        <v>179.15</v>
      </c>
      <c r="O1651" s="116">
        <v>174.9</v>
      </c>
      <c r="P1651" s="116">
        <v>179.15</v>
      </c>
      <c r="Q1651" s="116">
        <v>175.75</v>
      </c>
      <c r="R1651">
        <v>21332</v>
      </c>
    </row>
    <row r="1652" spans="1:18" x14ac:dyDescent="0.25">
      <c r="A1652" s="170">
        <v>44475</v>
      </c>
      <c r="B1652" s="116">
        <v>193.8</v>
      </c>
      <c r="C1652" s="116">
        <v>185.85</v>
      </c>
      <c r="D1652" s="116">
        <v>185</v>
      </c>
      <c r="E1652" s="116">
        <v>191.65</v>
      </c>
      <c r="F1652" s="116">
        <v>185.85</v>
      </c>
      <c r="G1652">
        <v>3322</v>
      </c>
      <c r="H1652" s="116"/>
      <c r="I1652" s="116"/>
      <c r="L1652" s="170">
        <v>44445</v>
      </c>
      <c r="M1652" s="116">
        <v>179.4</v>
      </c>
      <c r="N1652" s="116">
        <v>180.05</v>
      </c>
      <c r="O1652" s="116">
        <v>174.9</v>
      </c>
      <c r="P1652" s="116">
        <v>176.65</v>
      </c>
      <c r="Q1652" s="116">
        <v>179.4</v>
      </c>
      <c r="R1652">
        <v>38546</v>
      </c>
    </row>
    <row r="1653" spans="1:18" x14ac:dyDescent="0.25">
      <c r="A1653" s="170">
        <v>44476</v>
      </c>
      <c r="B1653" s="116">
        <v>189.2</v>
      </c>
      <c r="C1653" s="116">
        <v>183.7</v>
      </c>
      <c r="D1653" s="116">
        <v>182</v>
      </c>
      <c r="E1653" s="116">
        <v>186.25</v>
      </c>
      <c r="F1653" s="116">
        <v>183.7</v>
      </c>
      <c r="G1653">
        <v>4942</v>
      </c>
      <c r="H1653" s="116"/>
      <c r="I1653" s="116"/>
      <c r="L1653" s="170">
        <v>44446</v>
      </c>
      <c r="M1653" s="116">
        <v>174.8</v>
      </c>
      <c r="N1653" s="116">
        <v>180.3</v>
      </c>
      <c r="O1653" s="116">
        <v>174.1</v>
      </c>
      <c r="P1653" s="116">
        <v>180.3</v>
      </c>
      <c r="Q1653" s="116">
        <v>174.8</v>
      </c>
      <c r="R1653">
        <v>27503</v>
      </c>
    </row>
    <row r="1654" spans="1:18" x14ac:dyDescent="0.25">
      <c r="A1654" s="170">
        <v>44477</v>
      </c>
      <c r="B1654" s="116">
        <v>187.9</v>
      </c>
      <c r="C1654" s="116">
        <v>185.05</v>
      </c>
      <c r="D1654" s="116">
        <v>184.3</v>
      </c>
      <c r="E1654" s="116">
        <v>184.65</v>
      </c>
      <c r="F1654" s="116">
        <v>185.05</v>
      </c>
      <c r="G1654">
        <v>4227</v>
      </c>
      <c r="H1654" s="116"/>
      <c r="I1654" s="116"/>
      <c r="L1654" s="170">
        <v>44447</v>
      </c>
      <c r="M1654" s="116">
        <v>179.2</v>
      </c>
      <c r="N1654" s="116">
        <v>181.3</v>
      </c>
      <c r="O1654" s="116">
        <v>174.35</v>
      </c>
      <c r="P1654" s="116">
        <v>175.4</v>
      </c>
      <c r="Q1654" s="116">
        <v>179.2</v>
      </c>
      <c r="R1654">
        <v>45913</v>
      </c>
    </row>
    <row r="1655" spans="1:18" x14ac:dyDescent="0.25">
      <c r="A1655" s="170">
        <v>44480</v>
      </c>
      <c r="B1655" s="116">
        <v>186.6</v>
      </c>
      <c r="C1655" s="116">
        <v>184.1</v>
      </c>
      <c r="D1655" s="116">
        <v>183.25</v>
      </c>
      <c r="E1655" s="116">
        <v>186.6</v>
      </c>
      <c r="F1655" s="116">
        <v>184.1</v>
      </c>
      <c r="G1655">
        <v>1611</v>
      </c>
      <c r="H1655" s="116"/>
      <c r="I1655" s="116"/>
      <c r="L1655" s="170">
        <v>44448</v>
      </c>
      <c r="M1655" s="116">
        <v>176.3</v>
      </c>
      <c r="N1655" s="116">
        <v>181.3</v>
      </c>
      <c r="O1655" s="116">
        <v>175.45</v>
      </c>
      <c r="P1655" s="116">
        <v>178.7</v>
      </c>
      <c r="Q1655" s="116">
        <v>176.3</v>
      </c>
      <c r="R1655">
        <v>39839</v>
      </c>
    </row>
    <row r="1656" spans="1:18" x14ac:dyDescent="0.25">
      <c r="A1656" s="170">
        <v>44481</v>
      </c>
      <c r="B1656" s="116">
        <v>186.5</v>
      </c>
      <c r="C1656" s="116">
        <v>183</v>
      </c>
      <c r="D1656" s="116">
        <v>181</v>
      </c>
      <c r="E1656" s="116">
        <v>183.25</v>
      </c>
      <c r="F1656" s="116">
        <v>183</v>
      </c>
      <c r="G1656">
        <v>5187</v>
      </c>
      <c r="H1656" s="116"/>
      <c r="I1656" s="116"/>
      <c r="L1656" s="170">
        <v>44452</v>
      </c>
      <c r="M1656" s="116">
        <v>175.3</v>
      </c>
      <c r="N1656" s="116">
        <v>177</v>
      </c>
      <c r="O1656" s="116">
        <v>175</v>
      </c>
      <c r="P1656" s="116">
        <v>176.8</v>
      </c>
      <c r="Q1656" s="116">
        <v>175.3</v>
      </c>
      <c r="R1656">
        <v>15743</v>
      </c>
    </row>
    <row r="1657" spans="1:18" x14ac:dyDescent="0.25">
      <c r="A1657" s="170">
        <v>44482</v>
      </c>
      <c r="B1657" s="116">
        <v>187.15</v>
      </c>
      <c r="C1657" s="116">
        <v>184.95</v>
      </c>
      <c r="D1657" s="116">
        <v>181</v>
      </c>
      <c r="E1657" s="116">
        <v>181</v>
      </c>
      <c r="F1657" s="116">
        <v>184.95</v>
      </c>
      <c r="G1657">
        <v>5064</v>
      </c>
      <c r="H1657" s="116"/>
      <c r="I1657" s="116"/>
      <c r="L1657" s="170">
        <v>44453</v>
      </c>
      <c r="M1657" s="116">
        <v>177.95</v>
      </c>
      <c r="N1657" s="116">
        <v>180.05</v>
      </c>
      <c r="O1657" s="116">
        <v>175.3</v>
      </c>
      <c r="P1657" s="116">
        <v>176.2</v>
      </c>
      <c r="Q1657" s="116">
        <v>177.95</v>
      </c>
      <c r="R1657">
        <v>24100</v>
      </c>
    </row>
    <row r="1658" spans="1:18" x14ac:dyDescent="0.25">
      <c r="A1658" s="170">
        <v>44483</v>
      </c>
      <c r="B1658" s="116">
        <v>204.95</v>
      </c>
      <c r="C1658" s="116">
        <v>185.65</v>
      </c>
      <c r="D1658" s="116">
        <v>184.95</v>
      </c>
      <c r="E1658" s="116">
        <v>204.95</v>
      </c>
      <c r="F1658" s="116">
        <v>185.65</v>
      </c>
      <c r="G1658">
        <v>10098</v>
      </c>
      <c r="H1658" s="116"/>
      <c r="I1658" s="116"/>
      <c r="L1658" s="170">
        <v>44454</v>
      </c>
      <c r="M1658" s="116">
        <v>179.55</v>
      </c>
      <c r="N1658" s="116">
        <v>180.85</v>
      </c>
      <c r="O1658" s="116">
        <v>177.1</v>
      </c>
      <c r="P1658" s="116">
        <v>177.1</v>
      </c>
      <c r="Q1658" s="116">
        <v>179.55</v>
      </c>
      <c r="R1658">
        <v>15643</v>
      </c>
    </row>
    <row r="1659" spans="1:18" x14ac:dyDescent="0.25">
      <c r="A1659" s="170">
        <v>44487</v>
      </c>
      <c r="B1659" s="116">
        <v>186.95</v>
      </c>
      <c r="C1659" s="116">
        <v>182.5</v>
      </c>
      <c r="D1659" s="116">
        <v>182.25</v>
      </c>
      <c r="E1659" s="116">
        <v>185.65</v>
      </c>
      <c r="F1659" s="116">
        <v>182.5</v>
      </c>
      <c r="G1659">
        <v>3397</v>
      </c>
      <c r="H1659" s="116"/>
      <c r="I1659" s="116"/>
      <c r="L1659" s="170">
        <v>44455</v>
      </c>
      <c r="M1659" s="116">
        <v>180.3</v>
      </c>
      <c r="N1659" s="116">
        <v>181</v>
      </c>
      <c r="O1659" s="116">
        <v>177.65</v>
      </c>
      <c r="P1659" s="116">
        <v>179.55</v>
      </c>
      <c r="Q1659" s="116">
        <v>180.3</v>
      </c>
      <c r="R1659">
        <v>29970</v>
      </c>
    </row>
    <row r="1660" spans="1:18" x14ac:dyDescent="0.25">
      <c r="A1660" s="170">
        <v>44488</v>
      </c>
      <c r="B1660" s="116">
        <v>185</v>
      </c>
      <c r="C1660" s="116">
        <v>179.05</v>
      </c>
      <c r="D1660" s="116">
        <v>177.8</v>
      </c>
      <c r="E1660" s="116">
        <v>183.75</v>
      </c>
      <c r="F1660" s="116">
        <v>179.05</v>
      </c>
      <c r="G1660">
        <v>2332</v>
      </c>
      <c r="H1660" s="116"/>
      <c r="I1660" s="116"/>
      <c r="L1660" s="170">
        <v>44456</v>
      </c>
      <c r="M1660" s="116">
        <v>175.4</v>
      </c>
      <c r="N1660" s="116">
        <v>181.15</v>
      </c>
      <c r="O1660" s="116">
        <v>174.3</v>
      </c>
      <c r="P1660" s="116">
        <v>180.5</v>
      </c>
      <c r="Q1660" s="116">
        <v>175.4</v>
      </c>
      <c r="R1660">
        <v>16375</v>
      </c>
    </row>
    <row r="1661" spans="1:18" x14ac:dyDescent="0.25">
      <c r="A1661" s="170">
        <v>44489</v>
      </c>
      <c r="B1661" s="116">
        <v>179.5</v>
      </c>
      <c r="C1661" s="116">
        <v>176.75</v>
      </c>
      <c r="D1661" s="116">
        <v>172</v>
      </c>
      <c r="E1661" s="116">
        <v>178.3</v>
      </c>
      <c r="F1661" s="116">
        <v>176.75</v>
      </c>
      <c r="G1661">
        <v>5122</v>
      </c>
      <c r="H1661" s="116"/>
      <c r="I1661" s="116"/>
      <c r="L1661" s="170">
        <v>44459</v>
      </c>
      <c r="M1661" s="116">
        <v>173.2</v>
      </c>
      <c r="N1661" s="116">
        <v>176.95</v>
      </c>
      <c r="O1661" s="116">
        <v>171</v>
      </c>
      <c r="P1661" s="116">
        <v>174</v>
      </c>
      <c r="Q1661" s="116">
        <v>173.2</v>
      </c>
      <c r="R1661">
        <v>28041</v>
      </c>
    </row>
    <row r="1662" spans="1:18" x14ac:dyDescent="0.25">
      <c r="A1662" s="170">
        <v>44490</v>
      </c>
      <c r="B1662" s="116">
        <v>179.15</v>
      </c>
      <c r="C1662" s="116">
        <v>172.25</v>
      </c>
      <c r="D1662" s="116">
        <v>170.05</v>
      </c>
      <c r="E1662" s="116">
        <v>178.6</v>
      </c>
      <c r="F1662" s="116">
        <v>172.25</v>
      </c>
      <c r="G1662">
        <v>7228</v>
      </c>
      <c r="H1662" s="116"/>
      <c r="I1662" s="116"/>
      <c r="L1662" s="170">
        <v>44460</v>
      </c>
      <c r="M1662" s="116">
        <v>174.65</v>
      </c>
      <c r="N1662" s="116">
        <v>175</v>
      </c>
      <c r="O1662" s="116">
        <v>170.5</v>
      </c>
      <c r="P1662" s="116">
        <v>170.5</v>
      </c>
      <c r="Q1662" s="116">
        <v>174.65</v>
      </c>
      <c r="R1662">
        <v>17976</v>
      </c>
    </row>
    <row r="1663" spans="1:18" x14ac:dyDescent="0.25">
      <c r="A1663" s="170">
        <v>44491</v>
      </c>
      <c r="B1663" s="116">
        <v>176.7</v>
      </c>
      <c r="C1663" s="116">
        <v>174.6</v>
      </c>
      <c r="D1663" s="116">
        <v>172</v>
      </c>
      <c r="E1663" s="116">
        <v>174.9</v>
      </c>
      <c r="F1663" s="116">
        <v>174.6</v>
      </c>
      <c r="G1663">
        <v>3048</v>
      </c>
      <c r="H1663" s="116"/>
      <c r="I1663" s="116"/>
      <c r="L1663" s="170">
        <v>44461</v>
      </c>
      <c r="M1663" s="116">
        <v>176.5</v>
      </c>
      <c r="N1663" s="116">
        <v>177.15</v>
      </c>
      <c r="O1663" s="116">
        <v>173</v>
      </c>
      <c r="P1663" s="116">
        <v>173</v>
      </c>
      <c r="Q1663" s="116">
        <v>176.5</v>
      </c>
      <c r="R1663">
        <v>25412</v>
      </c>
    </row>
    <row r="1664" spans="1:18" x14ac:dyDescent="0.25">
      <c r="A1664" s="170">
        <v>44494</v>
      </c>
      <c r="B1664" s="116">
        <v>183.4</v>
      </c>
      <c r="C1664" s="116">
        <v>170.85</v>
      </c>
      <c r="D1664" s="116">
        <v>169.75</v>
      </c>
      <c r="E1664" s="116">
        <v>183.4</v>
      </c>
      <c r="F1664" s="116">
        <v>170.85</v>
      </c>
      <c r="G1664">
        <v>4337</v>
      </c>
      <c r="H1664" s="116"/>
      <c r="I1664" s="116"/>
      <c r="L1664" s="170">
        <v>44462</v>
      </c>
      <c r="M1664" s="116">
        <v>176.25</v>
      </c>
      <c r="N1664" s="116">
        <v>181.5</v>
      </c>
      <c r="O1664" s="116">
        <v>175.2</v>
      </c>
      <c r="P1664" s="116">
        <v>177.4</v>
      </c>
      <c r="Q1664" s="116">
        <v>176.25</v>
      </c>
      <c r="R1664">
        <v>51603</v>
      </c>
    </row>
    <row r="1665" spans="1:18" x14ac:dyDescent="0.25">
      <c r="A1665" s="170">
        <v>44495</v>
      </c>
      <c r="B1665" s="116">
        <v>177</v>
      </c>
      <c r="C1665" s="116">
        <v>173.7</v>
      </c>
      <c r="D1665" s="116">
        <v>170.25</v>
      </c>
      <c r="E1665" s="116">
        <v>170.25</v>
      </c>
      <c r="F1665" s="116">
        <v>173.7</v>
      </c>
      <c r="G1665">
        <v>2594</v>
      </c>
      <c r="H1665" s="116"/>
      <c r="I1665" s="116"/>
      <c r="L1665" s="170">
        <v>44463</v>
      </c>
      <c r="M1665" s="116">
        <v>173.15</v>
      </c>
      <c r="N1665" s="116">
        <v>178.8</v>
      </c>
      <c r="O1665" s="116">
        <v>172.05</v>
      </c>
      <c r="P1665" s="116">
        <v>177.15</v>
      </c>
      <c r="Q1665" s="116">
        <v>173.15</v>
      </c>
      <c r="R1665">
        <v>63164</v>
      </c>
    </row>
    <row r="1666" spans="1:18" x14ac:dyDescent="0.25">
      <c r="A1666" s="170">
        <v>44496</v>
      </c>
      <c r="B1666" s="116">
        <v>178</v>
      </c>
      <c r="C1666" s="116">
        <v>173.25</v>
      </c>
      <c r="D1666" s="116">
        <v>173.05</v>
      </c>
      <c r="E1666" s="116">
        <v>174.6</v>
      </c>
      <c r="F1666" s="116">
        <v>173.25</v>
      </c>
      <c r="G1666">
        <v>500</v>
      </c>
      <c r="H1666" s="116"/>
      <c r="I1666" s="116"/>
      <c r="L1666" s="170">
        <v>44466</v>
      </c>
      <c r="M1666" s="116">
        <v>181.5</v>
      </c>
      <c r="N1666" s="116">
        <v>186</v>
      </c>
      <c r="O1666" s="116">
        <v>171.6</v>
      </c>
      <c r="P1666" s="116">
        <v>173.15</v>
      </c>
      <c r="Q1666" s="116">
        <v>181.5</v>
      </c>
      <c r="R1666">
        <v>293000</v>
      </c>
    </row>
    <row r="1667" spans="1:18" x14ac:dyDescent="0.25">
      <c r="A1667" s="170">
        <v>44497</v>
      </c>
      <c r="B1667" s="116">
        <v>174.7</v>
      </c>
      <c r="C1667" s="116">
        <v>172.05</v>
      </c>
      <c r="D1667" s="116">
        <v>171</v>
      </c>
      <c r="E1667" s="116">
        <v>174.1</v>
      </c>
      <c r="F1667" s="116">
        <v>172.05</v>
      </c>
      <c r="G1667">
        <v>813</v>
      </c>
      <c r="H1667" s="116"/>
      <c r="I1667" s="116"/>
      <c r="L1667" s="170">
        <v>44467</v>
      </c>
      <c r="M1667" s="116">
        <v>177.7</v>
      </c>
      <c r="N1667" s="116">
        <v>183</v>
      </c>
      <c r="O1667" s="116">
        <v>177</v>
      </c>
      <c r="P1667" s="116">
        <v>183</v>
      </c>
      <c r="Q1667" s="116">
        <v>177.7</v>
      </c>
      <c r="R1667">
        <v>34353</v>
      </c>
    </row>
    <row r="1668" spans="1:18" x14ac:dyDescent="0.25">
      <c r="A1668" s="170">
        <v>44498</v>
      </c>
      <c r="B1668" s="116">
        <v>175.7</v>
      </c>
      <c r="C1668" s="116">
        <v>174.25</v>
      </c>
      <c r="D1668" s="116">
        <v>170.55</v>
      </c>
      <c r="E1668" s="116">
        <v>174.65</v>
      </c>
      <c r="F1668" s="116">
        <v>174.25</v>
      </c>
      <c r="G1668">
        <v>507</v>
      </c>
      <c r="H1668" s="116"/>
      <c r="I1668" s="116"/>
      <c r="L1668" s="170">
        <v>44468</v>
      </c>
      <c r="M1668" s="116">
        <v>181.65</v>
      </c>
      <c r="N1668" s="116">
        <v>183.4</v>
      </c>
      <c r="O1668" s="116">
        <v>172.05</v>
      </c>
      <c r="P1668" s="116">
        <v>178.5</v>
      </c>
      <c r="Q1668" s="116">
        <v>181.65</v>
      </c>
      <c r="R1668">
        <v>40298</v>
      </c>
    </row>
    <row r="1669" spans="1:18" x14ac:dyDescent="0.25">
      <c r="A1669" s="170">
        <v>44501</v>
      </c>
      <c r="B1669" s="116">
        <v>176.7</v>
      </c>
      <c r="C1669" s="116">
        <v>174.55</v>
      </c>
      <c r="D1669" s="116">
        <v>173.75</v>
      </c>
      <c r="E1669" s="116">
        <v>175.5</v>
      </c>
      <c r="F1669" s="116">
        <v>174.55</v>
      </c>
      <c r="G1669">
        <v>1655</v>
      </c>
      <c r="H1669" s="116"/>
      <c r="I1669" s="116"/>
      <c r="L1669" s="170">
        <v>44469</v>
      </c>
      <c r="M1669" s="116">
        <v>184.7</v>
      </c>
      <c r="N1669" s="116">
        <v>190.4</v>
      </c>
      <c r="O1669" s="116">
        <v>184</v>
      </c>
      <c r="P1669" s="116">
        <v>188</v>
      </c>
      <c r="Q1669" s="116">
        <v>184.7</v>
      </c>
      <c r="R1669">
        <v>182994</v>
      </c>
    </row>
    <row r="1670" spans="1:18" x14ac:dyDescent="0.25">
      <c r="A1670" s="170">
        <v>44502</v>
      </c>
      <c r="B1670" s="116">
        <v>175.05</v>
      </c>
      <c r="C1670" s="116">
        <v>173.3</v>
      </c>
      <c r="D1670" s="116">
        <v>171.55</v>
      </c>
      <c r="E1670" s="116">
        <v>174.6</v>
      </c>
      <c r="F1670" s="116">
        <v>173.3</v>
      </c>
      <c r="G1670">
        <v>2357</v>
      </c>
      <c r="H1670" s="116"/>
      <c r="I1670" s="116"/>
      <c r="L1670" s="170">
        <v>44470</v>
      </c>
      <c r="M1670" s="116">
        <v>181.3</v>
      </c>
      <c r="N1670" s="116">
        <v>186.75</v>
      </c>
      <c r="O1670" s="116">
        <v>180.5</v>
      </c>
      <c r="P1670" s="116">
        <v>184.8</v>
      </c>
      <c r="Q1670" s="116">
        <v>181.3</v>
      </c>
      <c r="R1670">
        <v>33630</v>
      </c>
    </row>
    <row r="1671" spans="1:18" x14ac:dyDescent="0.25">
      <c r="A1671" s="170">
        <v>44503</v>
      </c>
      <c r="B1671" s="116">
        <v>175.15</v>
      </c>
      <c r="C1671" s="116">
        <v>169.8</v>
      </c>
      <c r="D1671" s="116">
        <v>169.25</v>
      </c>
      <c r="E1671" s="116">
        <v>173.4</v>
      </c>
      <c r="F1671" s="116">
        <v>169.8</v>
      </c>
      <c r="G1671">
        <v>4881</v>
      </c>
      <c r="H1671" s="116"/>
      <c r="I1671" s="116"/>
      <c r="L1671" s="170">
        <v>44473</v>
      </c>
      <c r="M1671" s="116">
        <v>184.4</v>
      </c>
      <c r="N1671" s="116">
        <v>192.4</v>
      </c>
      <c r="O1671" s="116">
        <v>181.5</v>
      </c>
      <c r="P1671" s="116">
        <v>182.25</v>
      </c>
      <c r="Q1671" s="116">
        <v>184.4</v>
      </c>
      <c r="R1671">
        <v>106808</v>
      </c>
    </row>
    <row r="1672" spans="1:18" x14ac:dyDescent="0.25">
      <c r="A1672" s="170">
        <v>44504</v>
      </c>
      <c r="B1672" s="116">
        <v>178.9</v>
      </c>
      <c r="C1672" s="116">
        <v>172.9</v>
      </c>
      <c r="D1672" s="116">
        <v>170.95</v>
      </c>
      <c r="E1672" s="116">
        <v>178.9</v>
      </c>
      <c r="F1672" s="116">
        <v>172.9</v>
      </c>
      <c r="G1672">
        <v>1013</v>
      </c>
      <c r="H1672" s="116"/>
      <c r="I1672" s="116"/>
      <c r="L1672" s="170">
        <v>44474</v>
      </c>
      <c r="M1672" s="116">
        <v>190.75</v>
      </c>
      <c r="N1672" s="116">
        <v>192</v>
      </c>
      <c r="O1672" s="116">
        <v>183.25</v>
      </c>
      <c r="P1672" s="116">
        <v>184.4</v>
      </c>
      <c r="Q1672" s="116">
        <v>190.75</v>
      </c>
      <c r="R1672">
        <v>205613</v>
      </c>
    </row>
    <row r="1673" spans="1:18" x14ac:dyDescent="0.25">
      <c r="A1673" s="170">
        <v>44508</v>
      </c>
      <c r="B1673" s="116">
        <v>176.9</v>
      </c>
      <c r="C1673" s="116">
        <v>176.4</v>
      </c>
      <c r="D1673" s="116">
        <v>172.75</v>
      </c>
      <c r="E1673" s="116">
        <v>174.45</v>
      </c>
      <c r="F1673" s="116">
        <v>176.4</v>
      </c>
      <c r="G1673">
        <v>4043</v>
      </c>
      <c r="H1673" s="116"/>
      <c r="I1673" s="116"/>
      <c r="L1673" s="170">
        <v>44475</v>
      </c>
      <c r="M1673" s="116">
        <v>185.65</v>
      </c>
      <c r="N1673" s="116">
        <v>193.8</v>
      </c>
      <c r="O1673" s="116">
        <v>184.7</v>
      </c>
      <c r="P1673" s="116">
        <v>191.25</v>
      </c>
      <c r="Q1673" s="116">
        <v>185.65</v>
      </c>
      <c r="R1673">
        <v>78389</v>
      </c>
    </row>
    <row r="1674" spans="1:18" x14ac:dyDescent="0.25">
      <c r="A1674" s="170">
        <v>44509</v>
      </c>
      <c r="B1674" s="116">
        <v>178</v>
      </c>
      <c r="C1674" s="116">
        <v>177.4</v>
      </c>
      <c r="D1674" s="116">
        <v>171.65</v>
      </c>
      <c r="E1674" s="116">
        <v>177.6</v>
      </c>
      <c r="F1674" s="116">
        <v>177.4</v>
      </c>
      <c r="G1674">
        <v>2440</v>
      </c>
      <c r="H1674" s="116"/>
      <c r="I1674" s="116"/>
      <c r="L1674" s="170">
        <v>44476</v>
      </c>
      <c r="M1674" s="116">
        <v>183.35</v>
      </c>
      <c r="N1674" s="116">
        <v>189.5</v>
      </c>
      <c r="O1674" s="116">
        <v>181.9</v>
      </c>
      <c r="P1674" s="116">
        <v>186</v>
      </c>
      <c r="Q1674" s="116">
        <v>183.35</v>
      </c>
      <c r="R1674">
        <v>37856</v>
      </c>
    </row>
    <row r="1675" spans="1:18" x14ac:dyDescent="0.25">
      <c r="A1675" s="170">
        <v>44510</v>
      </c>
      <c r="B1675" s="116">
        <v>179</v>
      </c>
      <c r="C1675" s="116">
        <v>175.1</v>
      </c>
      <c r="D1675" s="116">
        <v>173</v>
      </c>
      <c r="E1675" s="116">
        <v>176.05</v>
      </c>
      <c r="F1675" s="116">
        <v>175.1</v>
      </c>
      <c r="G1675">
        <v>4582</v>
      </c>
      <c r="H1675" s="116"/>
      <c r="I1675" s="116"/>
      <c r="L1675" s="170">
        <v>44477</v>
      </c>
      <c r="M1675" s="116">
        <v>185.55</v>
      </c>
      <c r="N1675" s="116">
        <v>187.65</v>
      </c>
      <c r="O1675" s="116">
        <v>184</v>
      </c>
      <c r="P1675" s="116">
        <v>184</v>
      </c>
      <c r="Q1675" s="116">
        <v>185.55</v>
      </c>
      <c r="R1675">
        <v>56142</v>
      </c>
    </row>
    <row r="1676" spans="1:18" x14ac:dyDescent="0.25">
      <c r="A1676" s="170">
        <v>44511</v>
      </c>
      <c r="B1676" s="116">
        <v>178</v>
      </c>
      <c r="C1676" s="116">
        <v>173.85</v>
      </c>
      <c r="D1676" s="116">
        <v>173.75</v>
      </c>
      <c r="E1676" s="116">
        <v>176.4</v>
      </c>
      <c r="F1676" s="116">
        <v>173.85</v>
      </c>
      <c r="G1676">
        <v>7053</v>
      </c>
      <c r="H1676" s="116"/>
      <c r="I1676" s="116"/>
      <c r="L1676" s="170">
        <v>44480</v>
      </c>
      <c r="M1676" s="116">
        <v>183.7</v>
      </c>
      <c r="N1676" s="116">
        <v>187</v>
      </c>
      <c r="O1676" s="116">
        <v>183</v>
      </c>
      <c r="P1676" s="116">
        <v>186.5</v>
      </c>
      <c r="Q1676" s="116">
        <v>183.7</v>
      </c>
      <c r="R1676">
        <v>21975</v>
      </c>
    </row>
    <row r="1677" spans="1:18" x14ac:dyDescent="0.25">
      <c r="A1677" s="170">
        <v>44512</v>
      </c>
      <c r="B1677" s="116">
        <v>175</v>
      </c>
      <c r="C1677" s="116">
        <v>173.8</v>
      </c>
      <c r="D1677" s="116">
        <v>173.8</v>
      </c>
      <c r="E1677" s="116">
        <v>174.6</v>
      </c>
      <c r="F1677" s="116">
        <v>173.8</v>
      </c>
      <c r="G1677">
        <v>136</v>
      </c>
      <c r="H1677" s="116"/>
      <c r="I1677" s="116"/>
      <c r="L1677" s="170">
        <v>44481</v>
      </c>
      <c r="M1677" s="116">
        <v>182.95</v>
      </c>
      <c r="N1677" s="116">
        <v>186.9</v>
      </c>
      <c r="O1677" s="116">
        <v>182</v>
      </c>
      <c r="P1677" s="116">
        <v>183.6</v>
      </c>
      <c r="Q1677" s="116">
        <v>182.95</v>
      </c>
      <c r="R1677">
        <v>48485</v>
      </c>
    </row>
    <row r="1678" spans="1:18" x14ac:dyDescent="0.25">
      <c r="A1678" s="170">
        <v>44515</v>
      </c>
      <c r="B1678" s="116">
        <v>175.7</v>
      </c>
      <c r="C1678" s="116">
        <v>174.75</v>
      </c>
      <c r="D1678" s="116">
        <v>174.15</v>
      </c>
      <c r="E1678" s="116">
        <v>175.7</v>
      </c>
      <c r="F1678" s="116">
        <v>174.75</v>
      </c>
      <c r="G1678">
        <v>239</v>
      </c>
      <c r="H1678" s="116"/>
      <c r="I1678" s="116"/>
      <c r="L1678" s="170">
        <v>44482</v>
      </c>
      <c r="M1678" s="116">
        <v>185.35</v>
      </c>
      <c r="N1678" s="116">
        <v>186.6</v>
      </c>
      <c r="O1678" s="116">
        <v>182.95</v>
      </c>
      <c r="P1678" s="116">
        <v>183.85</v>
      </c>
      <c r="Q1678" s="116">
        <v>185.35</v>
      </c>
      <c r="R1678">
        <v>50938</v>
      </c>
    </row>
    <row r="1679" spans="1:18" x14ac:dyDescent="0.25">
      <c r="A1679" s="170">
        <v>44516</v>
      </c>
      <c r="B1679" s="116">
        <v>174.2</v>
      </c>
      <c r="C1679" s="116">
        <v>170.35</v>
      </c>
      <c r="D1679" s="116">
        <v>169.15</v>
      </c>
      <c r="E1679" s="116">
        <v>174.2</v>
      </c>
      <c r="F1679" s="116">
        <v>170.35</v>
      </c>
      <c r="G1679">
        <v>3452</v>
      </c>
      <c r="H1679" s="116"/>
      <c r="I1679" s="116"/>
      <c r="L1679" s="170">
        <v>44483</v>
      </c>
      <c r="M1679" s="116">
        <v>185.75</v>
      </c>
      <c r="N1679" s="116">
        <v>194.9</v>
      </c>
      <c r="O1679" s="116">
        <v>183.7</v>
      </c>
      <c r="P1679" s="116">
        <v>191.65</v>
      </c>
      <c r="Q1679" s="116">
        <v>185.75</v>
      </c>
      <c r="R1679">
        <v>188615</v>
      </c>
    </row>
    <row r="1680" spans="1:18" x14ac:dyDescent="0.25">
      <c r="A1680" s="170">
        <v>44517</v>
      </c>
      <c r="B1680" s="116">
        <v>172.7</v>
      </c>
      <c r="C1680" s="116">
        <v>171</v>
      </c>
      <c r="D1680" s="116">
        <v>168.65</v>
      </c>
      <c r="E1680" s="116">
        <v>171.5</v>
      </c>
      <c r="F1680" s="116">
        <v>171</v>
      </c>
      <c r="G1680">
        <v>1186</v>
      </c>
      <c r="H1680" s="116"/>
      <c r="I1680" s="116"/>
      <c r="L1680" s="170">
        <v>44487</v>
      </c>
      <c r="M1680" s="116">
        <v>182.7</v>
      </c>
      <c r="N1680" s="116">
        <v>186.65</v>
      </c>
      <c r="O1680" s="116">
        <v>181.7</v>
      </c>
      <c r="P1680" s="116">
        <v>185.2</v>
      </c>
      <c r="Q1680" s="116">
        <v>182.7</v>
      </c>
      <c r="R1680">
        <v>60583</v>
      </c>
    </row>
    <row r="1681" spans="1:18" x14ac:dyDescent="0.25">
      <c r="A1681" s="170">
        <v>44518</v>
      </c>
      <c r="B1681" s="116">
        <v>173.2</v>
      </c>
      <c r="C1681" s="116">
        <v>169.05</v>
      </c>
      <c r="D1681" s="116">
        <v>167.8</v>
      </c>
      <c r="E1681" s="116">
        <v>170.8</v>
      </c>
      <c r="F1681" s="116">
        <v>169.05</v>
      </c>
      <c r="G1681">
        <v>321</v>
      </c>
      <c r="H1681" s="116"/>
      <c r="I1681" s="116"/>
      <c r="L1681" s="170">
        <v>44488</v>
      </c>
      <c r="M1681" s="116">
        <v>178.7</v>
      </c>
      <c r="N1681" s="116">
        <v>185.75</v>
      </c>
      <c r="O1681" s="116">
        <v>178</v>
      </c>
      <c r="P1681" s="116">
        <v>183.65</v>
      </c>
      <c r="Q1681" s="116">
        <v>178.7</v>
      </c>
      <c r="R1681">
        <v>57358</v>
      </c>
    </row>
    <row r="1682" spans="1:18" x14ac:dyDescent="0.25">
      <c r="A1682" s="170">
        <v>44522</v>
      </c>
      <c r="B1682" s="116">
        <v>168.6</v>
      </c>
      <c r="C1682" s="116">
        <v>164.75</v>
      </c>
      <c r="D1682" s="116">
        <v>160.6</v>
      </c>
      <c r="E1682" s="116">
        <v>168.15</v>
      </c>
      <c r="F1682" s="116">
        <v>164.75</v>
      </c>
      <c r="G1682">
        <v>1831</v>
      </c>
      <c r="H1682" s="116"/>
      <c r="I1682" s="116"/>
      <c r="L1682" s="170">
        <v>44489</v>
      </c>
      <c r="M1682" s="116">
        <v>174</v>
      </c>
      <c r="N1682" s="116">
        <v>180.1</v>
      </c>
      <c r="O1682" s="116">
        <v>170.3</v>
      </c>
      <c r="P1682" s="116">
        <v>176.25</v>
      </c>
      <c r="Q1682" s="116">
        <v>174</v>
      </c>
      <c r="R1682">
        <v>31772</v>
      </c>
    </row>
    <row r="1683" spans="1:18" x14ac:dyDescent="0.25">
      <c r="A1683" s="170">
        <v>44523</v>
      </c>
      <c r="B1683" s="116">
        <v>169.35</v>
      </c>
      <c r="C1683" s="116">
        <v>167.55</v>
      </c>
      <c r="D1683" s="116">
        <v>163.44999999999999</v>
      </c>
      <c r="E1683" s="116">
        <v>165</v>
      </c>
      <c r="F1683" s="116">
        <v>167.55</v>
      </c>
      <c r="G1683">
        <v>2865</v>
      </c>
      <c r="H1683" s="116"/>
      <c r="I1683" s="116"/>
      <c r="L1683" s="170">
        <v>44490</v>
      </c>
      <c r="M1683" s="116">
        <v>172.75</v>
      </c>
      <c r="N1683" s="116">
        <v>180.8</v>
      </c>
      <c r="O1683" s="116">
        <v>171.6</v>
      </c>
      <c r="P1683" s="116">
        <v>174.9</v>
      </c>
      <c r="Q1683" s="116">
        <v>172.75</v>
      </c>
      <c r="R1683">
        <v>47484</v>
      </c>
    </row>
    <row r="1684" spans="1:18" x14ac:dyDescent="0.25">
      <c r="A1684" s="170">
        <v>44524</v>
      </c>
      <c r="B1684" s="116">
        <v>170.7</v>
      </c>
      <c r="C1684" s="116">
        <v>165.85</v>
      </c>
      <c r="D1684" s="116">
        <v>165</v>
      </c>
      <c r="E1684" s="116">
        <v>169</v>
      </c>
      <c r="F1684" s="116">
        <v>165.85</v>
      </c>
      <c r="G1684">
        <v>1109</v>
      </c>
      <c r="H1684" s="116"/>
      <c r="I1684" s="116"/>
      <c r="L1684" s="170">
        <v>44491</v>
      </c>
      <c r="M1684" s="116">
        <v>175.3</v>
      </c>
      <c r="N1684" s="116">
        <v>176.35</v>
      </c>
      <c r="O1684" s="116">
        <v>171.75</v>
      </c>
      <c r="P1684" s="116">
        <v>174.8</v>
      </c>
      <c r="Q1684" s="116">
        <v>175.3</v>
      </c>
      <c r="R1684">
        <v>45912</v>
      </c>
    </row>
    <row r="1685" spans="1:18" x14ac:dyDescent="0.25">
      <c r="A1685" s="170">
        <v>44525</v>
      </c>
      <c r="B1685" s="116">
        <v>168</v>
      </c>
      <c r="C1685" s="116">
        <v>164.5</v>
      </c>
      <c r="D1685" s="116">
        <v>163</v>
      </c>
      <c r="E1685" s="116">
        <v>166.65</v>
      </c>
      <c r="F1685" s="116">
        <v>164.5</v>
      </c>
      <c r="G1685">
        <v>2097</v>
      </c>
      <c r="H1685" s="116"/>
      <c r="I1685" s="116"/>
      <c r="L1685" s="170">
        <v>44494</v>
      </c>
      <c r="M1685" s="116">
        <v>170.45</v>
      </c>
      <c r="N1685" s="116">
        <v>181.6</v>
      </c>
      <c r="O1685" s="116">
        <v>169.6</v>
      </c>
      <c r="P1685" s="116">
        <v>180</v>
      </c>
      <c r="Q1685" s="116">
        <v>170.45</v>
      </c>
      <c r="R1685">
        <v>109984</v>
      </c>
    </row>
    <row r="1686" spans="1:18" x14ac:dyDescent="0.25">
      <c r="A1686" s="170">
        <v>44526</v>
      </c>
      <c r="B1686" s="116">
        <v>166.25</v>
      </c>
      <c r="C1686" s="116">
        <v>161.55000000000001</v>
      </c>
      <c r="D1686" s="116">
        <v>161</v>
      </c>
      <c r="E1686" s="116">
        <v>165.7</v>
      </c>
      <c r="F1686" s="116">
        <v>161.55000000000001</v>
      </c>
      <c r="G1686">
        <v>296</v>
      </c>
      <c r="H1686" s="116"/>
      <c r="I1686" s="116"/>
      <c r="L1686" s="170">
        <v>44495</v>
      </c>
      <c r="M1686" s="116">
        <v>173.9</v>
      </c>
      <c r="N1686" s="116">
        <v>174.9</v>
      </c>
      <c r="O1686" s="116">
        <v>169.1</v>
      </c>
      <c r="P1686" s="116">
        <v>169.1</v>
      </c>
      <c r="Q1686" s="116">
        <v>173.9</v>
      </c>
      <c r="R1686">
        <v>15609</v>
      </c>
    </row>
    <row r="1687" spans="1:18" x14ac:dyDescent="0.25">
      <c r="A1687" s="170">
        <v>44529</v>
      </c>
      <c r="B1687" s="116">
        <v>165</v>
      </c>
      <c r="C1687" s="116">
        <v>159.4</v>
      </c>
      <c r="D1687" s="116">
        <v>155</v>
      </c>
      <c r="E1687" s="116">
        <v>165</v>
      </c>
      <c r="F1687" s="116">
        <v>159.4</v>
      </c>
      <c r="G1687">
        <v>1561</v>
      </c>
      <c r="H1687" s="116"/>
      <c r="I1687" s="116"/>
      <c r="L1687" s="170">
        <v>44496</v>
      </c>
      <c r="M1687" s="116">
        <v>174</v>
      </c>
      <c r="N1687" s="116">
        <v>178.45</v>
      </c>
      <c r="O1687" s="116">
        <v>172.5</v>
      </c>
      <c r="P1687" s="116">
        <v>173.9</v>
      </c>
      <c r="Q1687" s="116">
        <v>174</v>
      </c>
      <c r="R1687">
        <v>36093</v>
      </c>
    </row>
    <row r="1688" spans="1:18" x14ac:dyDescent="0.25">
      <c r="A1688" s="170">
        <v>44530</v>
      </c>
      <c r="B1688" s="116">
        <v>162.65</v>
      </c>
      <c r="C1688" s="116">
        <v>158.15</v>
      </c>
      <c r="D1688" s="116">
        <v>157.5</v>
      </c>
      <c r="E1688" s="116">
        <v>159.6</v>
      </c>
      <c r="F1688" s="116">
        <v>158.15</v>
      </c>
      <c r="G1688">
        <v>1844</v>
      </c>
      <c r="H1688" s="116"/>
      <c r="I1688" s="116"/>
      <c r="L1688" s="170">
        <v>44497</v>
      </c>
      <c r="M1688" s="116">
        <v>172.65</v>
      </c>
      <c r="N1688" s="116">
        <v>175</v>
      </c>
      <c r="O1688" s="116">
        <v>171.1</v>
      </c>
      <c r="P1688" s="116">
        <v>174</v>
      </c>
      <c r="Q1688" s="116">
        <v>172.65</v>
      </c>
      <c r="R1688">
        <v>27467</v>
      </c>
    </row>
    <row r="1689" spans="1:18" x14ac:dyDescent="0.25">
      <c r="A1689" s="170">
        <v>44531</v>
      </c>
      <c r="B1689" s="116">
        <v>162.15</v>
      </c>
      <c r="C1689" s="116">
        <v>161.15</v>
      </c>
      <c r="D1689" s="116">
        <v>158.25</v>
      </c>
      <c r="E1689" s="116">
        <v>158.85</v>
      </c>
      <c r="F1689" s="116">
        <v>161.15</v>
      </c>
      <c r="G1689">
        <v>551</v>
      </c>
      <c r="H1689" s="116"/>
      <c r="I1689" s="116"/>
      <c r="L1689" s="170">
        <v>44498</v>
      </c>
      <c r="M1689" s="116">
        <v>174.75</v>
      </c>
      <c r="N1689" s="116">
        <v>175.6</v>
      </c>
      <c r="O1689" s="116">
        <v>170.35</v>
      </c>
      <c r="P1689" s="116">
        <v>173.55</v>
      </c>
      <c r="Q1689" s="116">
        <v>174.75</v>
      </c>
      <c r="R1689">
        <v>29253</v>
      </c>
    </row>
    <row r="1690" spans="1:18" x14ac:dyDescent="0.25">
      <c r="A1690" s="170">
        <v>44532</v>
      </c>
      <c r="B1690" s="116">
        <v>162.80000000000001</v>
      </c>
      <c r="C1690" s="116">
        <v>158.5</v>
      </c>
      <c r="D1690" s="116">
        <v>157.6</v>
      </c>
      <c r="E1690" s="116">
        <v>162</v>
      </c>
      <c r="F1690" s="116">
        <v>158.5</v>
      </c>
      <c r="G1690">
        <v>4688</v>
      </c>
      <c r="H1690" s="116"/>
      <c r="I1690" s="116"/>
      <c r="L1690" s="170">
        <v>44501</v>
      </c>
      <c r="M1690" s="116">
        <v>173.55</v>
      </c>
      <c r="N1690" s="116">
        <v>177.75</v>
      </c>
      <c r="O1690" s="116">
        <v>172.45</v>
      </c>
      <c r="P1690" s="116">
        <v>175</v>
      </c>
      <c r="Q1690" s="116">
        <v>173.55</v>
      </c>
      <c r="R1690">
        <v>23435</v>
      </c>
    </row>
    <row r="1691" spans="1:18" x14ac:dyDescent="0.25">
      <c r="A1691" s="170">
        <v>44533</v>
      </c>
      <c r="B1691" s="116">
        <v>166.7</v>
      </c>
      <c r="C1691" s="116">
        <v>155.85</v>
      </c>
      <c r="D1691" s="116">
        <v>154.5</v>
      </c>
      <c r="E1691" s="116">
        <v>166.7</v>
      </c>
      <c r="F1691" s="116">
        <v>155.85</v>
      </c>
      <c r="G1691">
        <v>2998</v>
      </c>
      <c r="H1691" s="116"/>
      <c r="I1691" s="116"/>
      <c r="L1691" s="170">
        <v>44502</v>
      </c>
      <c r="M1691" s="116">
        <v>173.35</v>
      </c>
      <c r="N1691" s="116">
        <v>175.7</v>
      </c>
      <c r="O1691" s="116">
        <v>173</v>
      </c>
      <c r="P1691" s="116">
        <v>174.45</v>
      </c>
      <c r="Q1691" s="116">
        <v>173.35</v>
      </c>
      <c r="R1691">
        <v>15646</v>
      </c>
    </row>
    <row r="1692" spans="1:18" x14ac:dyDescent="0.25">
      <c r="A1692" s="170">
        <v>44536</v>
      </c>
      <c r="B1692" s="116">
        <v>159.94999999999999</v>
      </c>
      <c r="C1692" s="116">
        <v>156.75</v>
      </c>
      <c r="D1692" s="116">
        <v>155.5</v>
      </c>
      <c r="E1692" s="116">
        <v>156.35</v>
      </c>
      <c r="F1692" s="116">
        <v>156.75</v>
      </c>
      <c r="G1692">
        <v>587</v>
      </c>
      <c r="H1692" s="116"/>
      <c r="I1692" s="116"/>
      <c r="L1692" s="170">
        <v>44503</v>
      </c>
      <c r="M1692" s="116">
        <v>170</v>
      </c>
      <c r="N1692" s="116">
        <v>175.15</v>
      </c>
      <c r="O1692" s="116">
        <v>169.5</v>
      </c>
      <c r="P1692" s="116">
        <v>174.25</v>
      </c>
      <c r="Q1692" s="116">
        <v>170</v>
      </c>
      <c r="R1692">
        <v>38213</v>
      </c>
    </row>
    <row r="1693" spans="1:18" x14ac:dyDescent="0.25">
      <c r="A1693" s="170">
        <v>44537</v>
      </c>
      <c r="B1693" s="116">
        <v>159.9</v>
      </c>
      <c r="C1693" s="116">
        <v>157.19999999999999</v>
      </c>
      <c r="D1693" s="116">
        <v>157</v>
      </c>
      <c r="E1693" s="116">
        <v>157.75</v>
      </c>
      <c r="F1693" s="116">
        <v>157.19999999999999</v>
      </c>
      <c r="G1693">
        <v>147</v>
      </c>
      <c r="H1693" s="116"/>
      <c r="I1693" s="116"/>
      <c r="L1693" s="170">
        <v>44504</v>
      </c>
      <c r="M1693" s="116">
        <v>172.4</v>
      </c>
      <c r="N1693" s="116">
        <v>174.85</v>
      </c>
      <c r="O1693" s="116">
        <v>169.5</v>
      </c>
      <c r="P1693" s="116">
        <v>173</v>
      </c>
      <c r="Q1693" s="116">
        <v>172.4</v>
      </c>
      <c r="R1693">
        <v>11246</v>
      </c>
    </row>
    <row r="1694" spans="1:18" x14ac:dyDescent="0.25">
      <c r="A1694" s="170">
        <v>44538</v>
      </c>
      <c r="B1694" s="116">
        <v>161.44999999999999</v>
      </c>
      <c r="C1694" s="116">
        <v>157.25</v>
      </c>
      <c r="D1694" s="116">
        <v>156.5</v>
      </c>
      <c r="E1694" s="116">
        <v>157.55000000000001</v>
      </c>
      <c r="F1694" s="116">
        <v>157.25</v>
      </c>
      <c r="G1694">
        <v>722</v>
      </c>
      <c r="H1694" s="116"/>
      <c r="I1694" s="116"/>
      <c r="L1694" s="170">
        <v>44508</v>
      </c>
      <c r="M1694" s="116">
        <v>176.25</v>
      </c>
      <c r="N1694" s="116">
        <v>177.75</v>
      </c>
      <c r="O1694" s="116">
        <v>173.2</v>
      </c>
      <c r="P1694" s="116">
        <v>173.55</v>
      </c>
      <c r="Q1694" s="116">
        <v>176.25</v>
      </c>
      <c r="R1694">
        <v>35190</v>
      </c>
    </row>
    <row r="1695" spans="1:18" x14ac:dyDescent="0.25">
      <c r="A1695" s="170">
        <v>44539</v>
      </c>
      <c r="B1695" s="116">
        <v>162.55000000000001</v>
      </c>
      <c r="C1695" s="116">
        <v>160.35</v>
      </c>
      <c r="D1695" s="116">
        <v>157.6</v>
      </c>
      <c r="E1695" s="116">
        <v>159.69999999999999</v>
      </c>
      <c r="F1695" s="116">
        <v>160.35</v>
      </c>
      <c r="G1695">
        <v>469</v>
      </c>
      <c r="H1695" s="116"/>
      <c r="I1695" s="116"/>
      <c r="L1695" s="170">
        <v>44509</v>
      </c>
      <c r="M1695" s="116">
        <v>177.35</v>
      </c>
      <c r="N1695" s="116">
        <v>178.3</v>
      </c>
      <c r="O1695" s="116">
        <v>175</v>
      </c>
      <c r="P1695" s="116">
        <v>177.15</v>
      </c>
      <c r="Q1695" s="116">
        <v>177.35</v>
      </c>
      <c r="R1695">
        <v>15927</v>
      </c>
    </row>
    <row r="1696" spans="1:18" x14ac:dyDescent="0.25">
      <c r="A1696" s="170">
        <v>44540</v>
      </c>
      <c r="B1696" s="116">
        <v>160.9</v>
      </c>
      <c r="C1696" s="116">
        <v>160.05000000000001</v>
      </c>
      <c r="D1696" s="116">
        <v>159.30000000000001</v>
      </c>
      <c r="E1696" s="116">
        <v>160</v>
      </c>
      <c r="F1696" s="116">
        <v>160.05000000000001</v>
      </c>
      <c r="G1696">
        <v>1028</v>
      </c>
      <c r="H1696" s="116"/>
      <c r="I1696" s="116"/>
      <c r="L1696" s="170">
        <v>44510</v>
      </c>
      <c r="M1696" s="116">
        <v>175</v>
      </c>
      <c r="N1696" s="116">
        <v>180.25</v>
      </c>
      <c r="O1696" s="116">
        <v>174</v>
      </c>
      <c r="P1696" s="116">
        <v>176.2</v>
      </c>
      <c r="Q1696" s="116">
        <v>175</v>
      </c>
      <c r="R1696">
        <v>64856</v>
      </c>
    </row>
    <row r="1697" spans="1:18" x14ac:dyDescent="0.25">
      <c r="A1697" s="170">
        <v>44543</v>
      </c>
      <c r="B1697" s="116">
        <v>164.45</v>
      </c>
      <c r="C1697" s="116">
        <v>159.4</v>
      </c>
      <c r="D1697" s="116">
        <v>157.80000000000001</v>
      </c>
      <c r="E1697" s="116">
        <v>161.35</v>
      </c>
      <c r="F1697" s="116">
        <v>159.4</v>
      </c>
      <c r="G1697">
        <v>3033</v>
      </c>
      <c r="H1697" s="116"/>
      <c r="I1697" s="116"/>
      <c r="L1697" s="170">
        <v>44511</v>
      </c>
      <c r="M1697" s="116">
        <v>173.95</v>
      </c>
      <c r="N1697" s="116">
        <v>177.85</v>
      </c>
      <c r="O1697" s="116">
        <v>173</v>
      </c>
      <c r="P1697" s="116">
        <v>175.9</v>
      </c>
      <c r="Q1697" s="116">
        <v>173.95</v>
      </c>
      <c r="R1697">
        <v>16150</v>
      </c>
    </row>
    <row r="1698" spans="1:18" x14ac:dyDescent="0.25">
      <c r="A1698" s="170">
        <v>44544</v>
      </c>
      <c r="B1698" s="116">
        <v>159.85</v>
      </c>
      <c r="C1698" s="116">
        <v>158.65</v>
      </c>
      <c r="D1698" s="116">
        <v>157</v>
      </c>
      <c r="E1698" s="116">
        <v>159</v>
      </c>
      <c r="F1698" s="116">
        <v>158.65</v>
      </c>
      <c r="G1698">
        <v>973</v>
      </c>
      <c r="H1698" s="116"/>
      <c r="I1698" s="116"/>
      <c r="L1698" s="170">
        <v>44512</v>
      </c>
      <c r="M1698" s="116">
        <v>173.95</v>
      </c>
      <c r="N1698" s="116">
        <v>175.6</v>
      </c>
      <c r="O1698" s="116">
        <v>173.65</v>
      </c>
      <c r="P1698" s="116">
        <v>174</v>
      </c>
      <c r="Q1698" s="116">
        <v>173.95</v>
      </c>
      <c r="R1698">
        <v>8042</v>
      </c>
    </row>
    <row r="1699" spans="1:18" x14ac:dyDescent="0.25">
      <c r="A1699" s="170">
        <v>44545</v>
      </c>
      <c r="B1699" s="116">
        <v>160.5</v>
      </c>
      <c r="C1699" s="116">
        <v>156.94999999999999</v>
      </c>
      <c r="D1699" s="116">
        <v>155</v>
      </c>
      <c r="E1699" s="116">
        <v>155</v>
      </c>
      <c r="F1699" s="116">
        <v>156.94999999999999</v>
      </c>
      <c r="G1699">
        <v>1593</v>
      </c>
      <c r="H1699" s="116"/>
      <c r="I1699" s="116"/>
      <c r="L1699" s="170">
        <v>44515</v>
      </c>
      <c r="M1699" s="116">
        <v>174.1</v>
      </c>
      <c r="N1699" s="116">
        <v>177.25</v>
      </c>
      <c r="O1699" s="116">
        <v>173.5</v>
      </c>
      <c r="P1699" s="116">
        <v>174.85</v>
      </c>
      <c r="Q1699" s="116">
        <v>174.1</v>
      </c>
      <c r="R1699">
        <v>16020</v>
      </c>
    </row>
    <row r="1700" spans="1:18" x14ac:dyDescent="0.25">
      <c r="A1700" s="170">
        <v>44546</v>
      </c>
      <c r="B1700" s="116">
        <v>157.44999999999999</v>
      </c>
      <c r="C1700" s="116">
        <v>155.35</v>
      </c>
      <c r="D1700" s="116">
        <v>155</v>
      </c>
      <c r="E1700" s="116">
        <v>157.44999999999999</v>
      </c>
      <c r="F1700" s="116">
        <v>155.35</v>
      </c>
      <c r="G1700">
        <v>2140</v>
      </c>
      <c r="H1700" s="116"/>
      <c r="I1700" s="116"/>
      <c r="L1700" s="170">
        <v>44516</v>
      </c>
      <c r="M1700" s="116">
        <v>170.7</v>
      </c>
      <c r="N1700" s="116">
        <v>174.8</v>
      </c>
      <c r="O1700" s="116">
        <v>169.5</v>
      </c>
      <c r="P1700" s="116">
        <v>173.55</v>
      </c>
      <c r="Q1700" s="116">
        <v>170.7</v>
      </c>
      <c r="R1700">
        <v>39328</v>
      </c>
    </row>
    <row r="1701" spans="1:18" x14ac:dyDescent="0.25">
      <c r="A1701" s="170">
        <v>44547</v>
      </c>
      <c r="B1701" s="116">
        <v>155.94999999999999</v>
      </c>
      <c r="C1701" s="116">
        <v>153.44999999999999</v>
      </c>
      <c r="D1701" s="116">
        <v>152</v>
      </c>
      <c r="E1701" s="116">
        <v>155.05000000000001</v>
      </c>
      <c r="F1701" s="116">
        <v>153.44999999999999</v>
      </c>
      <c r="G1701">
        <v>4734</v>
      </c>
      <c r="H1701" s="116"/>
      <c r="I1701" s="116"/>
      <c r="L1701" s="170">
        <v>44517</v>
      </c>
      <c r="M1701" s="116">
        <v>171.15</v>
      </c>
      <c r="N1701" s="116">
        <v>173</v>
      </c>
      <c r="O1701" s="116">
        <v>166.05</v>
      </c>
      <c r="P1701" s="116">
        <v>171.3</v>
      </c>
      <c r="Q1701" s="116">
        <v>171.15</v>
      </c>
      <c r="R1701">
        <v>25344</v>
      </c>
    </row>
    <row r="1702" spans="1:18" x14ac:dyDescent="0.25">
      <c r="A1702" s="170">
        <v>44550</v>
      </c>
      <c r="B1702" s="116">
        <v>152.05000000000001</v>
      </c>
      <c r="C1702" s="116">
        <v>147.44999999999999</v>
      </c>
      <c r="D1702" s="116">
        <v>140.69999999999999</v>
      </c>
      <c r="E1702" s="116">
        <v>152.05000000000001</v>
      </c>
      <c r="F1702" s="116">
        <v>147.44999999999999</v>
      </c>
      <c r="G1702">
        <v>5169</v>
      </c>
      <c r="H1702" s="116"/>
      <c r="I1702" s="116"/>
      <c r="L1702" s="170">
        <v>44518</v>
      </c>
      <c r="M1702" s="116">
        <v>169.15</v>
      </c>
      <c r="N1702" s="116">
        <v>171.75</v>
      </c>
      <c r="O1702" s="116">
        <v>168.05</v>
      </c>
      <c r="P1702" s="116">
        <v>170.35</v>
      </c>
      <c r="Q1702" s="116">
        <v>169.15</v>
      </c>
      <c r="R1702">
        <v>26078</v>
      </c>
    </row>
    <row r="1703" spans="1:18" x14ac:dyDescent="0.25">
      <c r="A1703" s="170">
        <v>44551</v>
      </c>
      <c r="B1703" s="116">
        <v>150</v>
      </c>
      <c r="C1703" s="116">
        <v>149.05000000000001</v>
      </c>
      <c r="D1703" s="116">
        <v>146</v>
      </c>
      <c r="E1703" s="116">
        <v>146</v>
      </c>
      <c r="F1703" s="116">
        <v>149.05000000000001</v>
      </c>
      <c r="G1703">
        <v>1871</v>
      </c>
      <c r="H1703" s="116"/>
      <c r="I1703" s="116"/>
      <c r="L1703" s="170">
        <v>44522</v>
      </c>
      <c r="M1703" s="116">
        <v>164.55</v>
      </c>
      <c r="N1703" s="116">
        <v>169.85</v>
      </c>
      <c r="O1703" s="116">
        <v>162.6</v>
      </c>
      <c r="P1703" s="116">
        <v>168.2</v>
      </c>
      <c r="Q1703" s="116">
        <v>164.55</v>
      </c>
      <c r="R1703">
        <v>39975</v>
      </c>
    </row>
    <row r="1704" spans="1:18" x14ac:dyDescent="0.25">
      <c r="A1704" s="170">
        <v>44552</v>
      </c>
      <c r="B1704" s="116">
        <v>152.19999999999999</v>
      </c>
      <c r="C1704" s="116">
        <v>151.35</v>
      </c>
      <c r="D1704" s="116">
        <v>148.85</v>
      </c>
      <c r="E1704" s="116">
        <v>149.19999999999999</v>
      </c>
      <c r="F1704" s="116">
        <v>151.35</v>
      </c>
      <c r="G1704">
        <v>829</v>
      </c>
      <c r="H1704" s="116"/>
      <c r="I1704" s="116"/>
      <c r="L1704" s="170">
        <v>44523</v>
      </c>
      <c r="M1704" s="116">
        <v>167.3</v>
      </c>
      <c r="N1704" s="116">
        <v>170</v>
      </c>
      <c r="O1704" s="116">
        <v>162.30000000000001</v>
      </c>
      <c r="P1704" s="116">
        <v>165.05</v>
      </c>
      <c r="Q1704" s="116">
        <v>167.3</v>
      </c>
      <c r="R1704">
        <v>17959</v>
      </c>
    </row>
    <row r="1705" spans="1:18" x14ac:dyDescent="0.25">
      <c r="A1705" s="170">
        <v>44553</v>
      </c>
      <c r="B1705" s="116">
        <v>153.55000000000001</v>
      </c>
      <c r="C1705" s="116">
        <v>149.9</v>
      </c>
      <c r="D1705" s="116">
        <v>148.15</v>
      </c>
      <c r="E1705" s="116">
        <v>152</v>
      </c>
      <c r="F1705" s="116">
        <v>149.9</v>
      </c>
      <c r="G1705">
        <v>1268</v>
      </c>
      <c r="H1705" s="116"/>
      <c r="I1705" s="116"/>
      <c r="L1705" s="170">
        <v>44524</v>
      </c>
      <c r="M1705" s="116">
        <v>165.6</v>
      </c>
      <c r="N1705" s="116">
        <v>170</v>
      </c>
      <c r="O1705" s="116">
        <v>164.4</v>
      </c>
      <c r="P1705" s="116">
        <v>168.15</v>
      </c>
      <c r="Q1705" s="116">
        <v>165.6</v>
      </c>
      <c r="R1705">
        <v>13122</v>
      </c>
    </row>
    <row r="1706" spans="1:18" x14ac:dyDescent="0.25">
      <c r="A1706" s="170">
        <v>44554</v>
      </c>
      <c r="B1706" s="116">
        <v>150.9</v>
      </c>
      <c r="C1706" s="116">
        <v>147.9</v>
      </c>
      <c r="D1706" s="116">
        <v>146.65</v>
      </c>
      <c r="E1706" s="116">
        <v>150</v>
      </c>
      <c r="F1706" s="116">
        <v>147.9</v>
      </c>
      <c r="G1706">
        <v>484</v>
      </c>
      <c r="H1706" s="116"/>
      <c r="I1706" s="116"/>
      <c r="L1706" s="170">
        <v>44525</v>
      </c>
      <c r="M1706" s="116">
        <v>166.05</v>
      </c>
      <c r="N1706" s="116">
        <v>167.6</v>
      </c>
      <c r="O1706" s="116">
        <v>162.85</v>
      </c>
      <c r="P1706" s="116">
        <v>165.95</v>
      </c>
      <c r="Q1706" s="116">
        <v>166.05</v>
      </c>
      <c r="R1706">
        <v>27680</v>
      </c>
    </row>
    <row r="1707" spans="1:18" x14ac:dyDescent="0.25">
      <c r="A1707" s="170">
        <v>44557</v>
      </c>
      <c r="B1707" s="116">
        <v>150</v>
      </c>
      <c r="C1707" s="116">
        <v>148.15</v>
      </c>
      <c r="D1707" s="116">
        <v>145.9</v>
      </c>
      <c r="E1707" s="116">
        <v>150</v>
      </c>
      <c r="F1707" s="116">
        <v>148.15</v>
      </c>
      <c r="G1707">
        <v>214</v>
      </c>
      <c r="H1707" s="116"/>
      <c r="I1707" s="116"/>
      <c r="L1707" s="170">
        <v>44526</v>
      </c>
      <c r="M1707" s="116">
        <v>162.4</v>
      </c>
      <c r="N1707" s="116">
        <v>166.9</v>
      </c>
      <c r="O1707" s="116">
        <v>161</v>
      </c>
      <c r="P1707" s="116">
        <v>166.9</v>
      </c>
      <c r="Q1707" s="116">
        <v>162.4</v>
      </c>
      <c r="R1707">
        <v>14915</v>
      </c>
    </row>
    <row r="1708" spans="1:18" x14ac:dyDescent="0.25">
      <c r="A1708" s="170">
        <v>44558</v>
      </c>
      <c r="B1708" s="116">
        <v>154.25</v>
      </c>
      <c r="C1708" s="116">
        <v>148.80000000000001</v>
      </c>
      <c r="D1708" s="116">
        <v>146.75</v>
      </c>
      <c r="E1708" s="116">
        <v>150</v>
      </c>
      <c r="F1708" s="116">
        <v>148.80000000000001</v>
      </c>
      <c r="G1708">
        <v>1131</v>
      </c>
      <c r="H1708" s="116"/>
      <c r="I1708" s="116"/>
      <c r="L1708" s="170">
        <v>44529</v>
      </c>
      <c r="M1708" s="116">
        <v>158</v>
      </c>
      <c r="N1708" s="116">
        <v>163.25</v>
      </c>
      <c r="O1708" s="116">
        <v>155</v>
      </c>
      <c r="P1708" s="116">
        <v>160.5</v>
      </c>
      <c r="Q1708" s="116">
        <v>158</v>
      </c>
      <c r="R1708">
        <v>25953</v>
      </c>
    </row>
    <row r="1709" spans="1:18" x14ac:dyDescent="0.25">
      <c r="A1709" s="170">
        <v>44559</v>
      </c>
      <c r="B1709" s="116">
        <v>150</v>
      </c>
      <c r="C1709" s="116">
        <v>149.30000000000001</v>
      </c>
      <c r="D1709" s="116">
        <v>147.44999999999999</v>
      </c>
      <c r="E1709" s="116">
        <v>148.55000000000001</v>
      </c>
      <c r="F1709" s="116">
        <v>149.30000000000001</v>
      </c>
      <c r="G1709">
        <v>783</v>
      </c>
      <c r="H1709" s="116"/>
      <c r="I1709" s="116"/>
      <c r="L1709" s="170">
        <v>44530</v>
      </c>
      <c r="M1709" s="116">
        <v>159.1</v>
      </c>
      <c r="N1709" s="116">
        <v>161.94999999999999</v>
      </c>
      <c r="O1709" s="116">
        <v>157.25</v>
      </c>
      <c r="P1709" s="116">
        <v>158.80000000000001</v>
      </c>
      <c r="Q1709" s="116">
        <v>159.1</v>
      </c>
      <c r="R1709">
        <v>22551</v>
      </c>
    </row>
    <row r="1710" spans="1:18" x14ac:dyDescent="0.25">
      <c r="A1710" s="170">
        <v>44560</v>
      </c>
      <c r="B1710" s="116">
        <v>153.4</v>
      </c>
      <c r="C1710" s="116">
        <v>151.19999999999999</v>
      </c>
      <c r="D1710" s="116">
        <v>146.55000000000001</v>
      </c>
      <c r="E1710" s="116">
        <v>149.05000000000001</v>
      </c>
      <c r="F1710" s="116">
        <v>151.19999999999999</v>
      </c>
      <c r="G1710">
        <v>1910</v>
      </c>
      <c r="H1710" s="116"/>
      <c r="I1710" s="116"/>
      <c r="L1710" s="170">
        <v>44531</v>
      </c>
      <c r="M1710" s="116">
        <v>160.85</v>
      </c>
      <c r="N1710" s="116">
        <v>162.9</v>
      </c>
      <c r="O1710" s="116">
        <v>158</v>
      </c>
      <c r="P1710" s="116">
        <v>159.9</v>
      </c>
      <c r="Q1710" s="116">
        <v>160.85</v>
      </c>
      <c r="R1710">
        <v>15692</v>
      </c>
    </row>
    <row r="1711" spans="1:18" x14ac:dyDescent="0.25">
      <c r="A1711" s="170">
        <v>44561</v>
      </c>
      <c r="B1711" s="116">
        <v>150.80000000000001</v>
      </c>
      <c r="C1711" s="116">
        <v>149.55000000000001</v>
      </c>
      <c r="D1711" s="116">
        <v>147.69999999999999</v>
      </c>
      <c r="E1711" s="116">
        <v>150.5</v>
      </c>
      <c r="F1711" s="116">
        <v>149.55000000000001</v>
      </c>
      <c r="G1711">
        <v>2484</v>
      </c>
      <c r="H1711" s="116"/>
      <c r="I1711" s="116"/>
      <c r="L1711" s="170">
        <v>44532</v>
      </c>
      <c r="M1711" s="116">
        <v>158.05000000000001</v>
      </c>
      <c r="N1711" s="116">
        <v>162.44999999999999</v>
      </c>
      <c r="O1711" s="116">
        <v>157.1</v>
      </c>
      <c r="P1711" s="116">
        <v>160</v>
      </c>
      <c r="Q1711" s="116">
        <v>158.05000000000001</v>
      </c>
      <c r="R1711">
        <v>34748</v>
      </c>
    </row>
    <row r="1712" spans="1:18" x14ac:dyDescent="0.25">
      <c r="A1712" s="170">
        <v>44564</v>
      </c>
      <c r="B1712" s="116">
        <v>151</v>
      </c>
      <c r="C1712" s="116">
        <v>148.94999999999999</v>
      </c>
      <c r="D1712" s="116">
        <v>147.15</v>
      </c>
      <c r="E1712" s="116">
        <v>149.44999999999999</v>
      </c>
      <c r="F1712" s="116">
        <v>148.94999999999999</v>
      </c>
      <c r="G1712">
        <v>4200</v>
      </c>
      <c r="H1712" s="116"/>
      <c r="I1712" s="116"/>
      <c r="L1712" s="170">
        <v>44533</v>
      </c>
      <c r="M1712" s="116">
        <v>157.30000000000001</v>
      </c>
      <c r="N1712" s="116">
        <v>161.44999999999999</v>
      </c>
      <c r="O1712" s="116">
        <v>155.85</v>
      </c>
      <c r="P1712" s="116">
        <v>158.44999999999999</v>
      </c>
      <c r="Q1712" s="116">
        <v>157.30000000000001</v>
      </c>
      <c r="R1712">
        <v>45996</v>
      </c>
    </row>
    <row r="1713" spans="1:18" x14ac:dyDescent="0.25">
      <c r="A1713" s="170">
        <v>44565</v>
      </c>
      <c r="B1713" s="116">
        <v>150.1</v>
      </c>
      <c r="C1713" s="116">
        <v>150.1</v>
      </c>
      <c r="D1713" s="116">
        <v>148</v>
      </c>
      <c r="E1713" s="116">
        <v>149.5</v>
      </c>
      <c r="F1713" s="116">
        <v>150.1</v>
      </c>
      <c r="G1713">
        <v>758</v>
      </c>
      <c r="H1713" s="116"/>
      <c r="I1713" s="116"/>
      <c r="L1713" s="170">
        <v>44536</v>
      </c>
      <c r="M1713" s="116">
        <v>156.85</v>
      </c>
      <c r="N1713" s="116">
        <v>159</v>
      </c>
      <c r="O1713" s="116">
        <v>155.6</v>
      </c>
      <c r="P1713" s="116">
        <v>156.85</v>
      </c>
      <c r="Q1713" s="116">
        <v>156.85</v>
      </c>
      <c r="R1713">
        <v>30333</v>
      </c>
    </row>
    <row r="1714" spans="1:18" x14ac:dyDescent="0.25">
      <c r="A1714" s="170">
        <v>44566</v>
      </c>
      <c r="B1714" s="116">
        <v>173</v>
      </c>
      <c r="C1714" s="116">
        <v>164.2</v>
      </c>
      <c r="D1714" s="116">
        <v>150.5</v>
      </c>
      <c r="E1714" s="116">
        <v>150.9</v>
      </c>
      <c r="F1714" s="116">
        <v>164.2</v>
      </c>
      <c r="G1714">
        <v>64805</v>
      </c>
      <c r="H1714" s="116"/>
      <c r="I1714" s="116"/>
      <c r="L1714" s="170">
        <v>44537</v>
      </c>
      <c r="M1714" s="116">
        <v>157.30000000000001</v>
      </c>
      <c r="N1714" s="116">
        <v>158.80000000000001</v>
      </c>
      <c r="O1714" s="116">
        <v>156.6</v>
      </c>
      <c r="P1714" s="116">
        <v>157.65</v>
      </c>
      <c r="Q1714" s="116">
        <v>157.30000000000001</v>
      </c>
      <c r="R1714">
        <v>32379</v>
      </c>
    </row>
    <row r="1715" spans="1:18" x14ac:dyDescent="0.25">
      <c r="A1715" s="170">
        <v>44567</v>
      </c>
      <c r="B1715" s="116">
        <v>166</v>
      </c>
      <c r="C1715" s="116">
        <v>161.15</v>
      </c>
      <c r="D1715" s="116">
        <v>159.94999999999999</v>
      </c>
      <c r="E1715" s="116">
        <v>164.1</v>
      </c>
      <c r="F1715" s="116">
        <v>161.15</v>
      </c>
      <c r="G1715">
        <v>15687</v>
      </c>
      <c r="H1715" s="116"/>
      <c r="I1715" s="116"/>
      <c r="L1715" s="170">
        <v>44538</v>
      </c>
      <c r="M1715" s="116">
        <v>157.9</v>
      </c>
      <c r="N1715" s="116">
        <v>162</v>
      </c>
      <c r="O1715" s="116">
        <v>155.80000000000001</v>
      </c>
      <c r="P1715" s="116">
        <v>157.44999999999999</v>
      </c>
      <c r="Q1715" s="116">
        <v>157.9</v>
      </c>
      <c r="R1715">
        <v>42467</v>
      </c>
    </row>
    <row r="1716" spans="1:18" x14ac:dyDescent="0.25">
      <c r="A1716" s="170">
        <v>44568</v>
      </c>
      <c r="B1716" s="116">
        <v>169.6</v>
      </c>
      <c r="C1716" s="116">
        <v>161.69999999999999</v>
      </c>
      <c r="D1716" s="116">
        <v>160.55000000000001</v>
      </c>
      <c r="E1716" s="116">
        <v>161.15</v>
      </c>
      <c r="F1716" s="116">
        <v>161.69999999999999</v>
      </c>
      <c r="G1716">
        <v>15509</v>
      </c>
      <c r="H1716" s="116"/>
      <c r="I1716" s="116"/>
      <c r="L1716" s="170">
        <v>44539</v>
      </c>
      <c r="M1716" s="116">
        <v>159.69999999999999</v>
      </c>
      <c r="N1716" s="116">
        <v>162</v>
      </c>
      <c r="O1716" s="116">
        <v>158</v>
      </c>
      <c r="P1716" s="116">
        <v>158.65</v>
      </c>
      <c r="Q1716" s="116">
        <v>159.69999999999999</v>
      </c>
      <c r="R1716">
        <v>36416</v>
      </c>
    </row>
    <row r="1717" spans="1:18" x14ac:dyDescent="0.25">
      <c r="A1717" s="170">
        <v>44571</v>
      </c>
      <c r="B1717" s="116">
        <v>166.25</v>
      </c>
      <c r="C1717" s="116">
        <v>164.15</v>
      </c>
      <c r="D1717" s="116">
        <v>162.25</v>
      </c>
      <c r="E1717" s="116">
        <v>165.05</v>
      </c>
      <c r="F1717" s="116">
        <v>164.15</v>
      </c>
      <c r="G1717">
        <v>14862</v>
      </c>
      <c r="H1717" s="116"/>
      <c r="I1717" s="116"/>
      <c r="L1717" s="170">
        <v>44540</v>
      </c>
      <c r="M1717" s="116">
        <v>159.65</v>
      </c>
      <c r="N1717" s="116">
        <v>160.9</v>
      </c>
      <c r="O1717" s="116">
        <v>159.05000000000001</v>
      </c>
      <c r="P1717" s="116">
        <v>160.4</v>
      </c>
      <c r="Q1717" s="116">
        <v>159.65</v>
      </c>
      <c r="R1717">
        <v>10085</v>
      </c>
    </row>
    <row r="1718" spans="1:18" x14ac:dyDescent="0.25">
      <c r="A1718" s="170">
        <v>44572</v>
      </c>
      <c r="B1718" s="116">
        <v>165.05</v>
      </c>
      <c r="C1718" s="116">
        <v>164.2</v>
      </c>
      <c r="D1718" s="116">
        <v>158</v>
      </c>
      <c r="E1718" s="116">
        <v>162.5</v>
      </c>
      <c r="F1718" s="116">
        <v>164.2</v>
      </c>
      <c r="G1718">
        <v>13818</v>
      </c>
      <c r="H1718" s="116"/>
      <c r="I1718" s="116"/>
      <c r="L1718" s="170">
        <v>44543</v>
      </c>
      <c r="M1718" s="116">
        <v>158.75</v>
      </c>
      <c r="N1718" s="116">
        <v>163.35</v>
      </c>
      <c r="O1718" s="116">
        <v>158</v>
      </c>
      <c r="P1718" s="116">
        <v>160</v>
      </c>
      <c r="Q1718" s="116">
        <v>158.75</v>
      </c>
      <c r="R1718">
        <v>45733</v>
      </c>
    </row>
    <row r="1719" spans="1:18" x14ac:dyDescent="0.25">
      <c r="A1719" s="170">
        <v>44573</v>
      </c>
      <c r="B1719" s="116">
        <v>165.8</v>
      </c>
      <c r="C1719" s="116">
        <v>162.19999999999999</v>
      </c>
      <c r="D1719" s="116">
        <v>161</v>
      </c>
      <c r="E1719" s="116">
        <v>165.8</v>
      </c>
      <c r="F1719" s="116">
        <v>162.19999999999999</v>
      </c>
      <c r="G1719">
        <v>9858</v>
      </c>
      <c r="H1719" s="116"/>
      <c r="I1719" s="116"/>
      <c r="L1719" s="170">
        <v>44544</v>
      </c>
      <c r="M1719" s="116">
        <v>158.35</v>
      </c>
      <c r="N1719" s="116">
        <v>159.55000000000001</v>
      </c>
      <c r="O1719" s="116">
        <v>157.19999999999999</v>
      </c>
      <c r="P1719" s="116">
        <v>158.9</v>
      </c>
      <c r="Q1719" s="116">
        <v>158.35</v>
      </c>
      <c r="R1719">
        <v>12884</v>
      </c>
    </row>
    <row r="1720" spans="1:18" x14ac:dyDescent="0.25">
      <c r="A1720" s="170">
        <v>44574</v>
      </c>
      <c r="B1720" s="116">
        <v>163.55000000000001</v>
      </c>
      <c r="C1720" s="116">
        <v>162.19999999999999</v>
      </c>
      <c r="D1720" s="116">
        <v>160.05000000000001</v>
      </c>
      <c r="E1720" s="116">
        <v>162.19999999999999</v>
      </c>
      <c r="F1720" s="116">
        <v>162.19999999999999</v>
      </c>
      <c r="G1720">
        <v>3534</v>
      </c>
      <c r="H1720" s="116"/>
      <c r="I1720" s="116"/>
      <c r="L1720" s="170">
        <v>44545</v>
      </c>
      <c r="M1720" s="116">
        <v>156.4</v>
      </c>
      <c r="N1720" s="116">
        <v>160</v>
      </c>
      <c r="O1720" s="116">
        <v>155.69999999999999</v>
      </c>
      <c r="P1720" s="116">
        <v>158.9</v>
      </c>
      <c r="Q1720" s="116">
        <v>156.4</v>
      </c>
      <c r="R1720">
        <v>19735</v>
      </c>
    </row>
    <row r="1721" spans="1:18" x14ac:dyDescent="0.25">
      <c r="A1721" s="170">
        <v>44575</v>
      </c>
      <c r="B1721" s="116">
        <v>163.80000000000001</v>
      </c>
      <c r="C1721" s="116">
        <v>163.05000000000001</v>
      </c>
      <c r="D1721" s="116">
        <v>161.19999999999999</v>
      </c>
      <c r="E1721" s="116">
        <v>162.19999999999999</v>
      </c>
      <c r="F1721" s="116">
        <v>163.05000000000001</v>
      </c>
      <c r="G1721">
        <v>2276</v>
      </c>
      <c r="H1721" s="116"/>
      <c r="I1721" s="116"/>
      <c r="L1721" s="170">
        <v>44546</v>
      </c>
      <c r="M1721" s="116">
        <v>155.05000000000001</v>
      </c>
      <c r="N1721" s="116">
        <v>158.94999999999999</v>
      </c>
      <c r="O1721" s="116">
        <v>154.4</v>
      </c>
      <c r="P1721" s="116">
        <v>157.19999999999999</v>
      </c>
      <c r="Q1721" s="116">
        <v>155.05000000000001</v>
      </c>
      <c r="R1721">
        <v>19001</v>
      </c>
    </row>
    <row r="1722" spans="1:18" x14ac:dyDescent="0.25">
      <c r="A1722" s="170">
        <v>44578</v>
      </c>
      <c r="B1722" s="116">
        <v>168.5</v>
      </c>
      <c r="C1722" s="116">
        <v>166.2</v>
      </c>
      <c r="D1722" s="116">
        <v>163.35</v>
      </c>
      <c r="E1722" s="116">
        <v>164.2</v>
      </c>
      <c r="F1722" s="116">
        <v>166.2</v>
      </c>
      <c r="G1722">
        <v>17358</v>
      </c>
      <c r="H1722" s="116"/>
      <c r="I1722" s="116"/>
      <c r="L1722" s="170">
        <v>44547</v>
      </c>
      <c r="M1722" s="116">
        <v>153.4</v>
      </c>
      <c r="N1722" s="116">
        <v>155.85</v>
      </c>
      <c r="O1722" s="116">
        <v>153</v>
      </c>
      <c r="P1722" s="116">
        <v>155</v>
      </c>
      <c r="Q1722" s="116">
        <v>153.4</v>
      </c>
      <c r="R1722">
        <v>20664</v>
      </c>
    </row>
    <row r="1723" spans="1:18" x14ac:dyDescent="0.25">
      <c r="A1723" s="170">
        <v>44579</v>
      </c>
      <c r="B1723" s="116">
        <v>167</v>
      </c>
      <c r="C1723" s="116">
        <v>163.35</v>
      </c>
      <c r="D1723" s="116">
        <v>162.94999999999999</v>
      </c>
      <c r="E1723" s="116">
        <v>167</v>
      </c>
      <c r="F1723" s="116">
        <v>163.35</v>
      </c>
      <c r="G1723">
        <v>10411</v>
      </c>
      <c r="H1723" s="116"/>
      <c r="I1723" s="116"/>
      <c r="L1723" s="170">
        <v>44550</v>
      </c>
      <c r="M1723" s="116">
        <v>146.05000000000001</v>
      </c>
      <c r="N1723" s="116">
        <v>152</v>
      </c>
      <c r="O1723" s="116">
        <v>141.05000000000001</v>
      </c>
      <c r="P1723" s="116">
        <v>152</v>
      </c>
      <c r="Q1723" s="116">
        <v>146.05000000000001</v>
      </c>
      <c r="R1723">
        <v>35529</v>
      </c>
    </row>
    <row r="1724" spans="1:18" x14ac:dyDescent="0.25">
      <c r="A1724" s="170">
        <v>44580</v>
      </c>
      <c r="B1724" s="116">
        <v>165</v>
      </c>
      <c r="C1724" s="116">
        <v>164.85</v>
      </c>
      <c r="D1724" s="116">
        <v>161.5</v>
      </c>
      <c r="E1724" s="116">
        <v>163.85</v>
      </c>
      <c r="F1724" s="116">
        <v>164.85</v>
      </c>
      <c r="G1724">
        <v>1411</v>
      </c>
      <c r="H1724" s="116"/>
      <c r="I1724" s="116"/>
      <c r="L1724" s="170">
        <v>44551</v>
      </c>
      <c r="M1724" s="116">
        <v>148.94999999999999</v>
      </c>
      <c r="N1724" s="116">
        <v>150.85</v>
      </c>
      <c r="O1724" s="116">
        <v>146.05000000000001</v>
      </c>
      <c r="P1724" s="116">
        <v>146.05000000000001</v>
      </c>
      <c r="Q1724" s="116">
        <v>148.94999999999999</v>
      </c>
      <c r="R1724">
        <v>17990</v>
      </c>
    </row>
    <row r="1725" spans="1:18" x14ac:dyDescent="0.25">
      <c r="A1725" s="170">
        <v>44581</v>
      </c>
      <c r="B1725" s="116">
        <v>168.5</v>
      </c>
      <c r="C1725" s="116">
        <v>166.95</v>
      </c>
      <c r="D1725" s="116">
        <v>162.85</v>
      </c>
      <c r="E1725" s="116">
        <v>164.5</v>
      </c>
      <c r="F1725" s="116">
        <v>166.95</v>
      </c>
      <c r="G1725">
        <v>6737</v>
      </c>
      <c r="H1725" s="116"/>
      <c r="I1725" s="116"/>
      <c r="L1725" s="170">
        <v>44552</v>
      </c>
      <c r="M1725" s="116">
        <v>151.19999999999999</v>
      </c>
      <c r="N1725" s="116">
        <v>152</v>
      </c>
      <c r="O1725" s="116">
        <v>145.30000000000001</v>
      </c>
      <c r="P1725" s="116">
        <v>149.69999999999999</v>
      </c>
      <c r="Q1725" s="116">
        <v>151.19999999999999</v>
      </c>
      <c r="R1725">
        <v>10226</v>
      </c>
    </row>
    <row r="1726" spans="1:18" x14ac:dyDescent="0.25">
      <c r="A1726" s="170">
        <v>44582</v>
      </c>
      <c r="B1726" s="116">
        <v>170.15</v>
      </c>
      <c r="C1726" s="116">
        <v>162.85</v>
      </c>
      <c r="D1726" s="116">
        <v>162</v>
      </c>
      <c r="E1726" s="116">
        <v>169.95</v>
      </c>
      <c r="F1726" s="116">
        <v>162.85</v>
      </c>
      <c r="G1726">
        <v>1286</v>
      </c>
      <c r="H1726" s="116"/>
      <c r="I1726" s="116"/>
      <c r="L1726" s="170">
        <v>44553</v>
      </c>
      <c r="M1726" s="116">
        <v>149.30000000000001</v>
      </c>
      <c r="N1726" s="116">
        <v>153.4</v>
      </c>
      <c r="O1726" s="116">
        <v>148.30000000000001</v>
      </c>
      <c r="P1726" s="116">
        <v>152</v>
      </c>
      <c r="Q1726" s="116">
        <v>149.30000000000001</v>
      </c>
      <c r="R1726">
        <v>26421</v>
      </c>
    </row>
    <row r="1727" spans="1:18" x14ac:dyDescent="0.25">
      <c r="A1727" s="170">
        <v>44585</v>
      </c>
      <c r="B1727" s="116">
        <v>162.05000000000001</v>
      </c>
      <c r="C1727" s="116">
        <v>154.35</v>
      </c>
      <c r="D1727" s="116">
        <v>153.1</v>
      </c>
      <c r="E1727" s="116">
        <v>162.05000000000001</v>
      </c>
      <c r="F1727" s="116">
        <v>154.35</v>
      </c>
      <c r="G1727">
        <v>4777</v>
      </c>
      <c r="H1727" s="116"/>
      <c r="I1727" s="116"/>
      <c r="L1727" s="170">
        <v>44554</v>
      </c>
      <c r="M1727" s="116">
        <v>148.30000000000001</v>
      </c>
      <c r="N1727" s="116">
        <v>151</v>
      </c>
      <c r="O1727" s="116">
        <v>148</v>
      </c>
      <c r="P1727" s="116">
        <v>150</v>
      </c>
      <c r="Q1727" s="116">
        <v>148.30000000000001</v>
      </c>
      <c r="R1727">
        <v>9010</v>
      </c>
    </row>
    <row r="1728" spans="1:18" x14ac:dyDescent="0.25">
      <c r="A1728" s="170">
        <v>44586</v>
      </c>
      <c r="B1728" s="116">
        <v>156.6</v>
      </c>
      <c r="C1728" s="116">
        <v>152.55000000000001</v>
      </c>
      <c r="D1728" s="116">
        <v>149.65</v>
      </c>
      <c r="E1728" s="116">
        <v>151.30000000000001</v>
      </c>
      <c r="F1728" s="116">
        <v>152.55000000000001</v>
      </c>
      <c r="G1728">
        <v>6040</v>
      </c>
      <c r="H1728" s="116"/>
      <c r="I1728" s="116"/>
      <c r="L1728" s="170">
        <v>44557</v>
      </c>
      <c r="M1728" s="116">
        <v>146.69999999999999</v>
      </c>
      <c r="N1728" s="116">
        <v>149.05000000000001</v>
      </c>
      <c r="O1728" s="116">
        <v>145.19999999999999</v>
      </c>
      <c r="P1728" s="116">
        <v>145.19999999999999</v>
      </c>
      <c r="Q1728" s="116">
        <v>146.69999999999999</v>
      </c>
      <c r="R1728">
        <v>14036</v>
      </c>
    </row>
    <row r="1729" spans="1:18" x14ac:dyDescent="0.25">
      <c r="A1729" s="170">
        <v>44588</v>
      </c>
      <c r="B1729" s="116">
        <v>152.9</v>
      </c>
      <c r="C1729" s="116">
        <v>152.05000000000001</v>
      </c>
      <c r="D1729" s="116">
        <v>148</v>
      </c>
      <c r="E1729" s="116">
        <v>150.6</v>
      </c>
      <c r="F1729" s="116">
        <v>152.05000000000001</v>
      </c>
      <c r="G1729">
        <v>4443</v>
      </c>
      <c r="H1729" s="116"/>
      <c r="I1729" s="116"/>
      <c r="L1729" s="170">
        <v>44558</v>
      </c>
      <c r="M1729" s="116">
        <v>149.85</v>
      </c>
      <c r="N1729" s="116">
        <v>151.85</v>
      </c>
      <c r="O1729" s="116">
        <v>146.9</v>
      </c>
      <c r="P1729" s="116">
        <v>147.44999999999999</v>
      </c>
      <c r="Q1729" s="116">
        <v>149.85</v>
      </c>
      <c r="R1729">
        <v>20348</v>
      </c>
    </row>
    <row r="1730" spans="1:18" x14ac:dyDescent="0.25">
      <c r="A1730" s="170">
        <v>44589</v>
      </c>
      <c r="B1730" s="116">
        <v>156.5</v>
      </c>
      <c r="C1730" s="116">
        <v>150.15</v>
      </c>
      <c r="D1730" s="116">
        <v>149.9</v>
      </c>
      <c r="E1730" s="116">
        <v>155.05000000000001</v>
      </c>
      <c r="F1730" s="116">
        <v>150.15</v>
      </c>
      <c r="G1730">
        <v>4211</v>
      </c>
      <c r="H1730" s="116"/>
      <c r="I1730" s="116"/>
      <c r="L1730" s="170">
        <v>44559</v>
      </c>
      <c r="M1730" s="116">
        <v>149.05000000000001</v>
      </c>
      <c r="N1730" s="116">
        <v>150.5</v>
      </c>
      <c r="O1730" s="116">
        <v>148</v>
      </c>
      <c r="P1730" s="116">
        <v>149.94999999999999</v>
      </c>
      <c r="Q1730" s="116">
        <v>149.05000000000001</v>
      </c>
      <c r="R1730">
        <v>17829</v>
      </c>
    </row>
    <row r="1731" spans="1:18" x14ac:dyDescent="0.25">
      <c r="A1731" s="170">
        <v>44592</v>
      </c>
      <c r="B1731" s="116">
        <v>152.15</v>
      </c>
      <c r="C1731" s="116">
        <v>149.6</v>
      </c>
      <c r="D1731" s="116">
        <v>148.55000000000001</v>
      </c>
      <c r="E1731" s="116">
        <v>152.15</v>
      </c>
      <c r="F1731" s="116">
        <v>149.6</v>
      </c>
      <c r="G1731">
        <v>3533</v>
      </c>
      <c r="H1731" s="116"/>
      <c r="I1731" s="116"/>
      <c r="L1731" s="170">
        <v>44560</v>
      </c>
      <c r="M1731" s="116">
        <v>149.44999999999999</v>
      </c>
      <c r="N1731" s="116">
        <v>152</v>
      </c>
      <c r="O1731" s="116">
        <v>146.9</v>
      </c>
      <c r="P1731" s="116">
        <v>149.80000000000001</v>
      </c>
      <c r="Q1731" s="116">
        <v>149.44999999999999</v>
      </c>
      <c r="R1731">
        <v>27555</v>
      </c>
    </row>
    <row r="1732" spans="1:18" x14ac:dyDescent="0.25">
      <c r="A1732" s="170">
        <v>44593</v>
      </c>
      <c r="B1732" s="116">
        <v>150</v>
      </c>
      <c r="C1732" s="116">
        <v>147.30000000000001</v>
      </c>
      <c r="D1732" s="116">
        <v>146.69999999999999</v>
      </c>
      <c r="E1732" s="116">
        <v>148.55000000000001</v>
      </c>
      <c r="F1732" s="116">
        <v>147.30000000000001</v>
      </c>
      <c r="G1732">
        <v>10916</v>
      </c>
      <c r="H1732" s="116"/>
      <c r="I1732" s="116"/>
      <c r="L1732" s="170">
        <v>44561</v>
      </c>
      <c r="M1732" s="116">
        <v>149.35</v>
      </c>
      <c r="N1732" s="116">
        <v>150.9</v>
      </c>
      <c r="O1732" s="116">
        <v>147.19999999999999</v>
      </c>
      <c r="P1732" s="116">
        <v>150.1</v>
      </c>
      <c r="Q1732" s="116">
        <v>149.35</v>
      </c>
      <c r="R1732">
        <v>23969</v>
      </c>
    </row>
    <row r="1733" spans="1:18" x14ac:dyDescent="0.25">
      <c r="A1733" s="170">
        <v>44594</v>
      </c>
      <c r="B1733" s="116">
        <v>153</v>
      </c>
      <c r="C1733" s="116">
        <v>149.9</v>
      </c>
      <c r="D1733" s="116">
        <v>147.30000000000001</v>
      </c>
      <c r="E1733" s="116">
        <v>147.30000000000001</v>
      </c>
      <c r="F1733" s="116">
        <v>149.9</v>
      </c>
      <c r="G1733">
        <v>9623</v>
      </c>
      <c r="H1733" s="116"/>
      <c r="I1733" s="116"/>
      <c r="L1733" s="170">
        <v>44564</v>
      </c>
      <c r="M1733" s="116">
        <v>149.30000000000001</v>
      </c>
      <c r="N1733" s="116">
        <v>151</v>
      </c>
      <c r="O1733" s="116">
        <v>147</v>
      </c>
      <c r="P1733" s="116">
        <v>151</v>
      </c>
      <c r="Q1733" s="116">
        <v>149.30000000000001</v>
      </c>
      <c r="R1733">
        <v>57605</v>
      </c>
    </row>
    <row r="1734" spans="1:18" x14ac:dyDescent="0.25">
      <c r="A1734" s="170">
        <v>44595</v>
      </c>
      <c r="B1734" s="116">
        <v>151.65</v>
      </c>
      <c r="C1734" s="116">
        <v>147.25</v>
      </c>
      <c r="D1734" s="116">
        <v>147</v>
      </c>
      <c r="E1734" s="116">
        <v>150.9</v>
      </c>
      <c r="F1734" s="116">
        <v>147.25</v>
      </c>
      <c r="G1734">
        <v>5166</v>
      </c>
      <c r="H1734" s="116"/>
      <c r="I1734" s="116"/>
      <c r="L1734" s="170">
        <v>44565</v>
      </c>
      <c r="M1734" s="116">
        <v>149.35</v>
      </c>
      <c r="N1734" s="116">
        <v>150.6</v>
      </c>
      <c r="O1734" s="116">
        <v>147.69999999999999</v>
      </c>
      <c r="P1734" s="116">
        <v>150.05000000000001</v>
      </c>
      <c r="Q1734" s="116">
        <v>149.35</v>
      </c>
      <c r="R1734">
        <v>45426</v>
      </c>
    </row>
    <row r="1735" spans="1:18" x14ac:dyDescent="0.25">
      <c r="A1735" s="170">
        <v>44596</v>
      </c>
      <c r="B1735" s="116">
        <v>148.25</v>
      </c>
      <c r="C1735" s="116">
        <v>147.69999999999999</v>
      </c>
      <c r="D1735" s="116">
        <v>146.5</v>
      </c>
      <c r="E1735" s="116">
        <v>147.6</v>
      </c>
      <c r="F1735" s="116">
        <v>147.69999999999999</v>
      </c>
      <c r="G1735">
        <v>3497</v>
      </c>
      <c r="H1735" s="116"/>
      <c r="I1735" s="116"/>
      <c r="L1735" s="170">
        <v>44566</v>
      </c>
      <c r="M1735" s="116">
        <v>164</v>
      </c>
      <c r="N1735" s="116">
        <v>173.2</v>
      </c>
      <c r="O1735" s="116">
        <v>149.35</v>
      </c>
      <c r="P1735" s="116">
        <v>150.1</v>
      </c>
      <c r="Q1735" s="116">
        <v>164</v>
      </c>
      <c r="R1735">
        <v>1191098</v>
      </c>
    </row>
    <row r="1736" spans="1:18" x14ac:dyDescent="0.25">
      <c r="A1736" s="170">
        <v>44599</v>
      </c>
      <c r="B1736" s="116">
        <v>148.15</v>
      </c>
      <c r="C1736" s="116">
        <v>145.55000000000001</v>
      </c>
      <c r="D1736" s="116">
        <v>145.05000000000001</v>
      </c>
      <c r="E1736" s="116">
        <v>147</v>
      </c>
      <c r="F1736" s="116">
        <v>145.55000000000001</v>
      </c>
      <c r="G1736">
        <v>4980</v>
      </c>
      <c r="H1736" s="116"/>
      <c r="I1736" s="116"/>
      <c r="L1736" s="170">
        <v>44567</v>
      </c>
      <c r="M1736" s="116">
        <v>161.30000000000001</v>
      </c>
      <c r="N1736" s="116">
        <v>166.5</v>
      </c>
      <c r="O1736" s="116">
        <v>160</v>
      </c>
      <c r="P1736" s="116">
        <v>163</v>
      </c>
      <c r="Q1736" s="116">
        <v>161.30000000000001</v>
      </c>
      <c r="R1736">
        <v>192565</v>
      </c>
    </row>
    <row r="1737" spans="1:18" x14ac:dyDescent="0.25">
      <c r="A1737" s="170">
        <v>44600</v>
      </c>
      <c r="B1737" s="116">
        <v>148.80000000000001</v>
      </c>
      <c r="C1737" s="116">
        <v>146.1</v>
      </c>
      <c r="D1737" s="116">
        <v>144</v>
      </c>
      <c r="E1737" s="116">
        <v>147.65</v>
      </c>
      <c r="F1737" s="116">
        <v>146.1</v>
      </c>
      <c r="G1737">
        <v>3137</v>
      </c>
      <c r="H1737" s="116"/>
      <c r="I1737" s="116"/>
      <c r="L1737" s="170">
        <v>44568</v>
      </c>
      <c r="M1737" s="116">
        <v>161.19999999999999</v>
      </c>
      <c r="N1737" s="116">
        <v>169.9</v>
      </c>
      <c r="O1737" s="116">
        <v>160</v>
      </c>
      <c r="P1737" s="116">
        <v>163.5</v>
      </c>
      <c r="Q1737" s="116">
        <v>161.19999999999999</v>
      </c>
      <c r="R1737">
        <v>142632</v>
      </c>
    </row>
    <row r="1738" spans="1:18" x14ac:dyDescent="0.25">
      <c r="A1738" s="170">
        <v>44601</v>
      </c>
      <c r="B1738" s="116">
        <v>148.15</v>
      </c>
      <c r="C1738" s="116">
        <v>146.4</v>
      </c>
      <c r="D1738" s="116">
        <v>145.30000000000001</v>
      </c>
      <c r="E1738" s="116">
        <v>147.30000000000001</v>
      </c>
      <c r="F1738" s="116">
        <v>146.4</v>
      </c>
      <c r="G1738">
        <v>4175</v>
      </c>
      <c r="H1738" s="116"/>
      <c r="I1738" s="116"/>
      <c r="L1738" s="170">
        <v>44571</v>
      </c>
      <c r="M1738" s="116">
        <v>163.69999999999999</v>
      </c>
      <c r="N1738" s="116">
        <v>166.6</v>
      </c>
      <c r="O1738" s="116">
        <v>161.55000000000001</v>
      </c>
      <c r="P1738" s="116">
        <v>163</v>
      </c>
      <c r="Q1738" s="116">
        <v>163.69999999999999</v>
      </c>
      <c r="R1738">
        <v>72423</v>
      </c>
    </row>
    <row r="1739" spans="1:18" x14ac:dyDescent="0.25">
      <c r="A1739" s="170">
        <v>44602</v>
      </c>
      <c r="B1739" s="116">
        <v>147.05000000000001</v>
      </c>
      <c r="C1739" s="116">
        <v>146.1</v>
      </c>
      <c r="D1739" s="116">
        <v>145.05000000000001</v>
      </c>
      <c r="E1739" s="116">
        <v>147.05000000000001</v>
      </c>
      <c r="F1739" s="116">
        <v>146.1</v>
      </c>
      <c r="G1739">
        <v>458</v>
      </c>
      <c r="H1739" s="116"/>
      <c r="I1739" s="116"/>
      <c r="L1739" s="170">
        <v>44572</v>
      </c>
      <c r="M1739" s="116">
        <v>163.95</v>
      </c>
      <c r="N1739" s="116">
        <v>165</v>
      </c>
      <c r="O1739" s="116">
        <v>161.85</v>
      </c>
      <c r="P1739" s="116">
        <v>164.55</v>
      </c>
      <c r="Q1739" s="116">
        <v>163.95</v>
      </c>
      <c r="R1739">
        <v>72626</v>
      </c>
    </row>
    <row r="1740" spans="1:18" x14ac:dyDescent="0.25">
      <c r="A1740" s="170">
        <v>44603</v>
      </c>
      <c r="B1740" s="116">
        <v>145.75</v>
      </c>
      <c r="C1740" s="116">
        <v>143.94999999999999</v>
      </c>
      <c r="D1740" s="116">
        <v>143.15</v>
      </c>
      <c r="E1740" s="116">
        <v>145</v>
      </c>
      <c r="F1740" s="116">
        <v>143.94999999999999</v>
      </c>
      <c r="G1740">
        <v>1372</v>
      </c>
      <c r="H1740" s="116"/>
      <c r="I1740" s="116"/>
      <c r="L1740" s="170">
        <v>44573</v>
      </c>
      <c r="M1740" s="116">
        <v>161.80000000000001</v>
      </c>
      <c r="N1740" s="116">
        <v>165.4</v>
      </c>
      <c r="O1740" s="116">
        <v>160</v>
      </c>
      <c r="P1740" s="116">
        <v>164.8</v>
      </c>
      <c r="Q1740" s="116">
        <v>161.80000000000001</v>
      </c>
      <c r="R1740">
        <v>71204</v>
      </c>
    </row>
    <row r="1741" spans="1:18" x14ac:dyDescent="0.25">
      <c r="A1741" s="170">
        <v>44606</v>
      </c>
      <c r="B1741" s="116">
        <v>145</v>
      </c>
      <c r="C1741" s="116">
        <v>137.9</v>
      </c>
      <c r="D1741" s="116">
        <v>137.4</v>
      </c>
      <c r="E1741" s="116">
        <v>145</v>
      </c>
      <c r="F1741" s="116">
        <v>137.9</v>
      </c>
      <c r="G1741">
        <v>3647</v>
      </c>
      <c r="H1741" s="116"/>
      <c r="I1741" s="116"/>
      <c r="L1741" s="170">
        <v>44574</v>
      </c>
      <c r="M1741" s="116">
        <v>162.25</v>
      </c>
      <c r="N1741" s="116">
        <v>164.55</v>
      </c>
      <c r="O1741" s="116">
        <v>159.80000000000001</v>
      </c>
      <c r="P1741" s="116">
        <v>162.65</v>
      </c>
      <c r="Q1741" s="116">
        <v>162.25</v>
      </c>
      <c r="R1741">
        <v>43343</v>
      </c>
    </row>
    <row r="1742" spans="1:18" x14ac:dyDescent="0.25">
      <c r="A1742" s="170">
        <v>44607</v>
      </c>
      <c r="B1742" s="116">
        <v>142.69999999999999</v>
      </c>
      <c r="C1742" s="116">
        <v>141.19999999999999</v>
      </c>
      <c r="D1742" s="116">
        <v>137.1</v>
      </c>
      <c r="E1742" s="116">
        <v>138.4</v>
      </c>
      <c r="F1742" s="116">
        <v>141.19999999999999</v>
      </c>
      <c r="G1742">
        <v>2754</v>
      </c>
      <c r="H1742" s="116"/>
      <c r="I1742" s="116"/>
      <c r="L1742" s="170">
        <v>44575</v>
      </c>
      <c r="M1742" s="116">
        <v>162.75</v>
      </c>
      <c r="N1742" s="116">
        <v>163.65</v>
      </c>
      <c r="O1742" s="116">
        <v>161.30000000000001</v>
      </c>
      <c r="P1742" s="116">
        <v>163.05000000000001</v>
      </c>
      <c r="Q1742" s="116">
        <v>162.75</v>
      </c>
      <c r="R1742">
        <v>44260</v>
      </c>
    </row>
    <row r="1743" spans="1:18" x14ac:dyDescent="0.25">
      <c r="A1743" s="170">
        <v>44608</v>
      </c>
      <c r="B1743" s="116">
        <v>145</v>
      </c>
      <c r="C1743" s="116">
        <v>142.65</v>
      </c>
      <c r="D1743" s="116">
        <v>141</v>
      </c>
      <c r="E1743" s="116">
        <v>141.05000000000001</v>
      </c>
      <c r="F1743" s="116">
        <v>142.65</v>
      </c>
      <c r="G1743">
        <v>1880</v>
      </c>
      <c r="H1743" s="116"/>
      <c r="I1743" s="116"/>
      <c r="L1743" s="170">
        <v>44578</v>
      </c>
      <c r="M1743" s="116">
        <v>166.05</v>
      </c>
      <c r="N1743" s="116">
        <v>169</v>
      </c>
      <c r="O1743" s="116">
        <v>163.30000000000001</v>
      </c>
      <c r="P1743" s="116">
        <v>164.5</v>
      </c>
      <c r="Q1743" s="116">
        <v>166.05</v>
      </c>
      <c r="R1743">
        <v>126454</v>
      </c>
    </row>
    <row r="1744" spans="1:18" x14ac:dyDescent="0.25">
      <c r="A1744" s="170">
        <v>44609</v>
      </c>
      <c r="B1744" s="116">
        <v>147.5</v>
      </c>
      <c r="C1744" s="116">
        <v>145.94999999999999</v>
      </c>
      <c r="D1744" s="116">
        <v>142.9</v>
      </c>
      <c r="E1744" s="116">
        <v>142.9</v>
      </c>
      <c r="F1744" s="116">
        <v>145.94999999999999</v>
      </c>
      <c r="G1744">
        <v>2912</v>
      </c>
      <c r="H1744" s="116"/>
      <c r="I1744" s="116"/>
      <c r="L1744" s="170">
        <v>44579</v>
      </c>
      <c r="M1744" s="116">
        <v>163.6</v>
      </c>
      <c r="N1744" s="116">
        <v>166.5</v>
      </c>
      <c r="O1744" s="116">
        <v>163.1</v>
      </c>
      <c r="P1744" s="116">
        <v>166.1</v>
      </c>
      <c r="Q1744" s="116">
        <v>163.6</v>
      </c>
      <c r="R1744">
        <v>48066</v>
      </c>
    </row>
    <row r="1745" spans="1:18" x14ac:dyDescent="0.25">
      <c r="A1745" s="170">
        <v>44610</v>
      </c>
      <c r="B1745" s="116">
        <v>148.94999999999999</v>
      </c>
      <c r="C1745" s="116">
        <v>144.5</v>
      </c>
      <c r="D1745" s="116">
        <v>143.94999999999999</v>
      </c>
      <c r="E1745" s="116">
        <v>148.94999999999999</v>
      </c>
      <c r="F1745" s="116">
        <v>144.5</v>
      </c>
      <c r="G1745">
        <v>700</v>
      </c>
      <c r="H1745" s="116"/>
      <c r="I1745" s="116"/>
      <c r="L1745" s="170">
        <v>44580</v>
      </c>
      <c r="M1745" s="116">
        <v>164.6</v>
      </c>
      <c r="N1745" s="116">
        <v>165.7</v>
      </c>
      <c r="O1745" s="116">
        <v>161.15</v>
      </c>
      <c r="P1745" s="116">
        <v>164.45</v>
      </c>
      <c r="Q1745" s="116">
        <v>164.6</v>
      </c>
      <c r="R1745">
        <v>55128</v>
      </c>
    </row>
    <row r="1746" spans="1:18" x14ac:dyDescent="0.25">
      <c r="A1746" s="170">
        <v>44613</v>
      </c>
      <c r="B1746" s="116">
        <v>149</v>
      </c>
      <c r="C1746" s="116">
        <v>145.35</v>
      </c>
      <c r="D1746" s="116">
        <v>143.4</v>
      </c>
      <c r="E1746" s="116">
        <v>148.80000000000001</v>
      </c>
      <c r="F1746" s="116">
        <v>145.35</v>
      </c>
      <c r="G1746">
        <v>6770</v>
      </c>
      <c r="H1746" s="116"/>
      <c r="I1746" s="116"/>
      <c r="L1746" s="170">
        <v>44581</v>
      </c>
      <c r="M1746" s="116">
        <v>167.1</v>
      </c>
      <c r="N1746" s="116">
        <v>168.05</v>
      </c>
      <c r="O1746" s="116">
        <v>162.94999999999999</v>
      </c>
      <c r="P1746" s="116">
        <v>164.6</v>
      </c>
      <c r="Q1746" s="116">
        <v>167.1</v>
      </c>
      <c r="R1746">
        <v>59896</v>
      </c>
    </row>
    <row r="1747" spans="1:18" x14ac:dyDescent="0.25">
      <c r="A1747" s="170">
        <v>44614</v>
      </c>
      <c r="B1747" s="116">
        <v>143</v>
      </c>
      <c r="C1747" s="116">
        <v>138.65</v>
      </c>
      <c r="D1747" s="116">
        <v>137.85</v>
      </c>
      <c r="E1747" s="116">
        <v>140.1</v>
      </c>
      <c r="F1747" s="116">
        <v>138.65</v>
      </c>
      <c r="G1747">
        <v>9520</v>
      </c>
      <c r="H1747" s="116"/>
      <c r="I1747" s="116"/>
      <c r="L1747" s="170">
        <v>44582</v>
      </c>
      <c r="M1747" s="116">
        <v>163.05000000000001</v>
      </c>
      <c r="N1747" s="116">
        <v>171.95</v>
      </c>
      <c r="O1747" s="116">
        <v>162</v>
      </c>
      <c r="P1747" s="116">
        <v>167.7</v>
      </c>
      <c r="Q1747" s="116">
        <v>163.05000000000001</v>
      </c>
      <c r="R1747">
        <v>146041</v>
      </c>
    </row>
    <row r="1748" spans="1:18" x14ac:dyDescent="0.25">
      <c r="A1748" s="170">
        <v>44615</v>
      </c>
      <c r="B1748" s="116">
        <v>148</v>
      </c>
      <c r="C1748" s="116">
        <v>140.85</v>
      </c>
      <c r="D1748" s="116">
        <v>139</v>
      </c>
      <c r="E1748" s="116">
        <v>148</v>
      </c>
      <c r="F1748" s="116">
        <v>140.85</v>
      </c>
      <c r="G1748">
        <v>4322</v>
      </c>
      <c r="H1748" s="116"/>
      <c r="I1748" s="116"/>
      <c r="L1748" s="170">
        <v>44585</v>
      </c>
      <c r="M1748" s="116">
        <v>154.19999999999999</v>
      </c>
      <c r="N1748" s="116">
        <v>158.19999999999999</v>
      </c>
      <c r="O1748" s="116">
        <v>153.05000000000001</v>
      </c>
      <c r="P1748" s="116">
        <v>155</v>
      </c>
      <c r="Q1748" s="116">
        <v>154.19999999999999</v>
      </c>
      <c r="R1748">
        <v>95613</v>
      </c>
    </row>
    <row r="1749" spans="1:18" x14ac:dyDescent="0.25">
      <c r="A1749" s="170">
        <v>44616</v>
      </c>
      <c r="B1749" s="116">
        <v>138.5</v>
      </c>
      <c r="C1749" s="116">
        <v>135</v>
      </c>
      <c r="D1749" s="116">
        <v>134.30000000000001</v>
      </c>
      <c r="E1749" s="116">
        <v>138.5</v>
      </c>
      <c r="F1749" s="116">
        <v>135</v>
      </c>
      <c r="G1749">
        <v>2951</v>
      </c>
      <c r="H1749" s="116"/>
      <c r="I1749" s="116"/>
      <c r="L1749" s="170">
        <v>44586</v>
      </c>
      <c r="M1749" s="116">
        <v>152.35</v>
      </c>
      <c r="N1749" s="116">
        <v>156.35</v>
      </c>
      <c r="O1749" s="116">
        <v>150</v>
      </c>
      <c r="P1749" s="116">
        <v>155</v>
      </c>
      <c r="Q1749" s="116">
        <v>152.35</v>
      </c>
      <c r="R1749">
        <v>56982</v>
      </c>
    </row>
    <row r="1750" spans="1:18" x14ac:dyDescent="0.25">
      <c r="A1750" s="170">
        <v>44617</v>
      </c>
      <c r="B1750" s="116">
        <v>140.44999999999999</v>
      </c>
      <c r="C1750" s="116">
        <v>138.94999999999999</v>
      </c>
      <c r="D1750" s="116">
        <v>133.94999999999999</v>
      </c>
      <c r="E1750" s="116">
        <v>135.65</v>
      </c>
      <c r="F1750" s="116">
        <v>138.94999999999999</v>
      </c>
      <c r="G1750">
        <v>4147</v>
      </c>
      <c r="H1750" s="116"/>
      <c r="I1750" s="116"/>
      <c r="L1750" s="170">
        <v>44588</v>
      </c>
      <c r="M1750" s="116">
        <v>151.4</v>
      </c>
      <c r="N1750" s="116">
        <v>153</v>
      </c>
      <c r="O1750" s="116">
        <v>148</v>
      </c>
      <c r="P1750" s="116">
        <v>150</v>
      </c>
      <c r="Q1750" s="116">
        <v>151.4</v>
      </c>
      <c r="R1750">
        <v>49150</v>
      </c>
    </row>
    <row r="1751" spans="1:18" x14ac:dyDescent="0.25">
      <c r="A1751" s="170">
        <v>44620</v>
      </c>
      <c r="B1751" s="116">
        <v>143</v>
      </c>
      <c r="C1751" s="116">
        <v>142.4</v>
      </c>
      <c r="D1751" s="116">
        <v>139.05000000000001</v>
      </c>
      <c r="E1751" s="116">
        <v>139.05000000000001</v>
      </c>
      <c r="F1751" s="116">
        <v>142.4</v>
      </c>
      <c r="G1751">
        <v>2976</v>
      </c>
      <c r="H1751" s="116"/>
      <c r="I1751" s="116"/>
      <c r="L1751" s="170">
        <v>44589</v>
      </c>
      <c r="M1751" s="116">
        <v>150</v>
      </c>
      <c r="N1751" s="116">
        <v>156.9</v>
      </c>
      <c r="O1751" s="116">
        <v>149.1</v>
      </c>
      <c r="P1751" s="116">
        <v>156.9</v>
      </c>
      <c r="Q1751" s="116">
        <v>150</v>
      </c>
      <c r="R1751">
        <v>77924</v>
      </c>
    </row>
    <row r="1752" spans="1:18" x14ac:dyDescent="0.25">
      <c r="A1752" s="170">
        <v>44622</v>
      </c>
      <c r="B1752" s="116">
        <v>143.44999999999999</v>
      </c>
      <c r="C1752" s="116">
        <v>141.6</v>
      </c>
      <c r="D1752" s="116">
        <v>139.05000000000001</v>
      </c>
      <c r="E1752" s="116">
        <v>140</v>
      </c>
      <c r="F1752" s="116">
        <v>141.6</v>
      </c>
      <c r="G1752">
        <v>2579</v>
      </c>
      <c r="H1752" s="116"/>
      <c r="I1752" s="116"/>
      <c r="L1752" s="170">
        <v>44592</v>
      </c>
      <c r="M1752" s="116">
        <v>149.6</v>
      </c>
      <c r="N1752" s="116">
        <v>152.5</v>
      </c>
      <c r="O1752" s="116">
        <v>148.4</v>
      </c>
      <c r="P1752" s="116">
        <v>150.80000000000001</v>
      </c>
      <c r="Q1752" s="116">
        <v>149.6</v>
      </c>
      <c r="R1752">
        <v>54956</v>
      </c>
    </row>
    <row r="1753" spans="1:18" x14ac:dyDescent="0.25">
      <c r="A1753" s="170">
        <v>44623</v>
      </c>
      <c r="B1753" s="116">
        <v>145.69999999999999</v>
      </c>
      <c r="C1753" s="116">
        <v>144.6</v>
      </c>
      <c r="D1753" s="116">
        <v>141.94999999999999</v>
      </c>
      <c r="E1753" s="116">
        <v>141.94999999999999</v>
      </c>
      <c r="F1753" s="116">
        <v>144.6</v>
      </c>
      <c r="G1753">
        <v>381</v>
      </c>
      <c r="H1753" s="116"/>
      <c r="I1753" s="116"/>
      <c r="L1753" s="170">
        <v>44593</v>
      </c>
      <c r="M1753" s="116">
        <v>147.25</v>
      </c>
      <c r="N1753" s="116">
        <v>150.94999999999999</v>
      </c>
      <c r="O1753" s="116">
        <v>146.30000000000001</v>
      </c>
      <c r="P1753" s="116">
        <v>148.80000000000001</v>
      </c>
      <c r="Q1753" s="116">
        <v>147.25</v>
      </c>
      <c r="R1753">
        <v>128125</v>
      </c>
    </row>
    <row r="1754" spans="1:18" x14ac:dyDescent="0.25">
      <c r="A1754" s="170">
        <v>44624</v>
      </c>
      <c r="B1754" s="116">
        <v>146.4</v>
      </c>
      <c r="C1754" s="116">
        <v>144.25</v>
      </c>
      <c r="D1754" s="116">
        <v>142.30000000000001</v>
      </c>
      <c r="E1754" s="116">
        <v>142.55000000000001</v>
      </c>
      <c r="F1754" s="116">
        <v>144.25</v>
      </c>
      <c r="G1754">
        <v>5281</v>
      </c>
      <c r="H1754" s="116"/>
      <c r="I1754" s="116"/>
      <c r="L1754" s="170">
        <v>44594</v>
      </c>
      <c r="M1754" s="116">
        <v>150.19999999999999</v>
      </c>
      <c r="N1754" s="116">
        <v>153.30000000000001</v>
      </c>
      <c r="O1754" s="116">
        <v>147.25</v>
      </c>
      <c r="P1754" s="116">
        <v>147.25</v>
      </c>
      <c r="Q1754" s="116">
        <v>150.19999999999999</v>
      </c>
      <c r="R1754">
        <v>205878</v>
      </c>
    </row>
    <row r="1755" spans="1:18" x14ac:dyDescent="0.25">
      <c r="A1755" s="170">
        <v>44627</v>
      </c>
      <c r="B1755" s="116">
        <v>141.85</v>
      </c>
      <c r="C1755" s="116">
        <v>140.94999999999999</v>
      </c>
      <c r="D1755" s="116">
        <v>139</v>
      </c>
      <c r="E1755" s="116">
        <v>141.1</v>
      </c>
      <c r="F1755" s="116">
        <v>140.94999999999999</v>
      </c>
      <c r="G1755">
        <v>2840</v>
      </c>
      <c r="H1755" s="116"/>
      <c r="I1755" s="116"/>
      <c r="L1755" s="170">
        <v>44595</v>
      </c>
      <c r="M1755" s="116">
        <v>147.30000000000001</v>
      </c>
      <c r="N1755" s="116">
        <v>151.55000000000001</v>
      </c>
      <c r="O1755" s="116">
        <v>147</v>
      </c>
      <c r="P1755" s="116">
        <v>151</v>
      </c>
      <c r="Q1755" s="116">
        <v>147.30000000000001</v>
      </c>
      <c r="R1755">
        <v>97711</v>
      </c>
    </row>
    <row r="1756" spans="1:18" x14ac:dyDescent="0.25">
      <c r="A1756" s="170">
        <v>44628</v>
      </c>
      <c r="B1756" s="116">
        <v>142.9</v>
      </c>
      <c r="C1756" s="116">
        <v>141.69999999999999</v>
      </c>
      <c r="D1756" s="116">
        <v>137.15</v>
      </c>
      <c r="E1756" s="116">
        <v>137.15</v>
      </c>
      <c r="F1756" s="116">
        <v>141.69999999999999</v>
      </c>
      <c r="G1756">
        <v>5673</v>
      </c>
      <c r="H1756" s="116"/>
      <c r="I1756" s="116"/>
      <c r="L1756" s="170">
        <v>44596</v>
      </c>
      <c r="M1756" s="116">
        <v>147.35</v>
      </c>
      <c r="N1756" s="116">
        <v>148.75</v>
      </c>
      <c r="O1756" s="116">
        <v>146.4</v>
      </c>
      <c r="P1756" s="116">
        <v>147.30000000000001</v>
      </c>
      <c r="Q1756" s="116">
        <v>147.35</v>
      </c>
      <c r="R1756">
        <v>68607</v>
      </c>
    </row>
    <row r="1757" spans="1:18" x14ac:dyDescent="0.25">
      <c r="A1757" s="170">
        <v>44629</v>
      </c>
      <c r="B1757" s="116">
        <v>146</v>
      </c>
      <c r="C1757" s="116">
        <v>145</v>
      </c>
      <c r="D1757" s="116">
        <v>141.44999999999999</v>
      </c>
      <c r="E1757" s="116">
        <v>141.44999999999999</v>
      </c>
      <c r="F1757" s="116">
        <v>145</v>
      </c>
      <c r="G1757">
        <v>2914</v>
      </c>
      <c r="H1757" s="116"/>
      <c r="I1757" s="116"/>
      <c r="L1757" s="170">
        <v>44599</v>
      </c>
      <c r="M1757" s="116">
        <v>145.35</v>
      </c>
      <c r="N1757" s="116">
        <v>148.1</v>
      </c>
      <c r="O1757" s="116">
        <v>145</v>
      </c>
      <c r="P1757" s="116">
        <v>148.1</v>
      </c>
      <c r="Q1757" s="116">
        <v>145.35</v>
      </c>
      <c r="R1757">
        <v>41154</v>
      </c>
    </row>
    <row r="1758" spans="1:18" x14ac:dyDescent="0.25">
      <c r="A1758" s="170">
        <v>44630</v>
      </c>
      <c r="B1758" s="116">
        <v>154</v>
      </c>
      <c r="C1758" s="116">
        <v>150.94999999999999</v>
      </c>
      <c r="D1758" s="116">
        <v>145.9</v>
      </c>
      <c r="E1758" s="116">
        <v>149</v>
      </c>
      <c r="F1758" s="116">
        <v>150.94999999999999</v>
      </c>
      <c r="G1758">
        <v>4179</v>
      </c>
      <c r="H1758" s="116"/>
      <c r="I1758" s="116"/>
      <c r="L1758" s="170">
        <v>44600</v>
      </c>
      <c r="M1758" s="116">
        <v>145.75</v>
      </c>
      <c r="N1758" s="116">
        <v>149.44999999999999</v>
      </c>
      <c r="O1758" s="116">
        <v>143.55000000000001</v>
      </c>
      <c r="P1758" s="116">
        <v>144.5</v>
      </c>
      <c r="Q1758" s="116">
        <v>145.75</v>
      </c>
      <c r="R1758">
        <v>48732</v>
      </c>
    </row>
    <row r="1759" spans="1:18" x14ac:dyDescent="0.25">
      <c r="A1759" s="170">
        <v>44631</v>
      </c>
      <c r="B1759" s="116">
        <v>160.6</v>
      </c>
      <c r="C1759" s="116">
        <v>159.44999999999999</v>
      </c>
      <c r="D1759" s="116">
        <v>151</v>
      </c>
      <c r="E1759" s="116">
        <v>151</v>
      </c>
      <c r="F1759" s="116">
        <v>159.44999999999999</v>
      </c>
      <c r="G1759">
        <v>23474</v>
      </c>
      <c r="H1759" s="116"/>
      <c r="I1759" s="116"/>
      <c r="L1759" s="170">
        <v>44601</v>
      </c>
      <c r="M1759" s="116">
        <v>146.55000000000001</v>
      </c>
      <c r="N1759" s="116">
        <v>148.30000000000001</v>
      </c>
      <c r="O1759" s="116">
        <v>145.6</v>
      </c>
      <c r="P1759" s="116">
        <v>146.5</v>
      </c>
      <c r="Q1759" s="116">
        <v>146.55000000000001</v>
      </c>
      <c r="R1759">
        <v>88457</v>
      </c>
    </row>
    <row r="1760" spans="1:18" x14ac:dyDescent="0.25">
      <c r="A1760" s="170">
        <v>44634</v>
      </c>
      <c r="B1760" s="116">
        <v>166</v>
      </c>
      <c r="C1760" s="116">
        <v>165.25</v>
      </c>
      <c r="D1760" s="116">
        <v>157</v>
      </c>
      <c r="E1760" s="116">
        <v>157</v>
      </c>
      <c r="F1760" s="116">
        <v>165.25</v>
      </c>
      <c r="G1760">
        <v>16396</v>
      </c>
      <c r="H1760" s="116"/>
      <c r="I1760" s="116"/>
      <c r="L1760" s="170">
        <v>44602</v>
      </c>
      <c r="M1760" s="116">
        <v>145.9</v>
      </c>
      <c r="N1760" s="116">
        <v>147.30000000000001</v>
      </c>
      <c r="O1760" s="116">
        <v>145.30000000000001</v>
      </c>
      <c r="P1760" s="116">
        <v>147</v>
      </c>
      <c r="Q1760" s="116">
        <v>145.9</v>
      </c>
      <c r="R1760">
        <v>24695</v>
      </c>
    </row>
    <row r="1761" spans="1:18" x14ac:dyDescent="0.25">
      <c r="A1761" s="170">
        <v>44635</v>
      </c>
      <c r="B1761" s="116">
        <v>175.3</v>
      </c>
      <c r="C1761" s="116">
        <v>170.1</v>
      </c>
      <c r="D1761" s="116">
        <v>166.6</v>
      </c>
      <c r="E1761" s="116">
        <v>168.5</v>
      </c>
      <c r="F1761" s="116">
        <v>170.1</v>
      </c>
      <c r="G1761">
        <v>42446</v>
      </c>
      <c r="H1761" s="116"/>
      <c r="I1761" s="116"/>
      <c r="L1761" s="170">
        <v>44603</v>
      </c>
      <c r="M1761" s="116">
        <v>143.94999999999999</v>
      </c>
      <c r="N1761" s="116">
        <v>145.9</v>
      </c>
      <c r="O1761" s="116">
        <v>143.30000000000001</v>
      </c>
      <c r="P1761" s="116">
        <v>145.19999999999999</v>
      </c>
      <c r="Q1761" s="116">
        <v>143.94999999999999</v>
      </c>
      <c r="R1761">
        <v>24518</v>
      </c>
    </row>
    <row r="1762" spans="1:18" x14ac:dyDescent="0.25">
      <c r="A1762" s="170">
        <v>44636</v>
      </c>
      <c r="B1762" s="116">
        <v>187.75</v>
      </c>
      <c r="C1762" s="116">
        <v>185.8</v>
      </c>
      <c r="D1762" s="116">
        <v>172.2</v>
      </c>
      <c r="E1762" s="116">
        <v>172.2</v>
      </c>
      <c r="F1762" s="116">
        <v>185.8</v>
      </c>
      <c r="G1762">
        <v>35131</v>
      </c>
      <c r="H1762" s="116"/>
      <c r="I1762" s="116"/>
      <c r="L1762" s="170">
        <v>44606</v>
      </c>
      <c r="M1762" s="116">
        <v>139.05000000000001</v>
      </c>
      <c r="N1762" s="116">
        <v>142</v>
      </c>
      <c r="O1762" s="116">
        <v>137</v>
      </c>
      <c r="P1762" s="116">
        <v>142</v>
      </c>
      <c r="Q1762" s="116">
        <v>139.05000000000001</v>
      </c>
      <c r="R1762">
        <v>40192</v>
      </c>
    </row>
    <row r="1763" spans="1:18" x14ac:dyDescent="0.25">
      <c r="A1763" s="170">
        <v>44637</v>
      </c>
      <c r="B1763" s="116">
        <v>194.05</v>
      </c>
      <c r="C1763" s="116">
        <v>184.1</v>
      </c>
      <c r="D1763" s="116">
        <v>178.8</v>
      </c>
      <c r="E1763" s="116">
        <v>192</v>
      </c>
      <c r="F1763" s="116">
        <v>184.1</v>
      </c>
      <c r="G1763">
        <v>54431</v>
      </c>
      <c r="H1763" s="116"/>
      <c r="I1763" s="116"/>
      <c r="L1763" s="170">
        <v>44607</v>
      </c>
      <c r="M1763" s="116">
        <v>140.9</v>
      </c>
      <c r="N1763" s="116">
        <v>142.4</v>
      </c>
      <c r="O1763" s="116">
        <v>136.69999999999999</v>
      </c>
      <c r="P1763" s="116">
        <v>136.69999999999999</v>
      </c>
      <c r="Q1763" s="116">
        <v>140.9</v>
      </c>
      <c r="R1763">
        <v>29600</v>
      </c>
    </row>
    <row r="1764" spans="1:18" x14ac:dyDescent="0.25">
      <c r="A1764" s="170">
        <v>44641</v>
      </c>
      <c r="B1764" s="116">
        <v>191.15</v>
      </c>
      <c r="C1764" s="116">
        <v>184.8</v>
      </c>
      <c r="D1764" s="116">
        <v>183.15</v>
      </c>
      <c r="E1764" s="116">
        <v>184</v>
      </c>
      <c r="F1764" s="116">
        <v>184.8</v>
      </c>
      <c r="G1764">
        <v>12574</v>
      </c>
      <c r="H1764" s="116"/>
      <c r="I1764" s="116"/>
      <c r="L1764" s="170">
        <v>44608</v>
      </c>
      <c r="M1764" s="116">
        <v>142.69999999999999</v>
      </c>
      <c r="N1764" s="116">
        <v>145.69999999999999</v>
      </c>
      <c r="O1764" s="116">
        <v>140.9</v>
      </c>
      <c r="P1764" s="116">
        <v>141.65</v>
      </c>
      <c r="Q1764" s="116">
        <v>142.69999999999999</v>
      </c>
      <c r="R1764">
        <v>26391</v>
      </c>
    </row>
    <row r="1765" spans="1:18" x14ac:dyDescent="0.25">
      <c r="A1765" s="170">
        <v>44642</v>
      </c>
      <c r="B1765" s="116">
        <v>189.7</v>
      </c>
      <c r="C1765" s="116">
        <v>184</v>
      </c>
      <c r="D1765" s="116">
        <v>183.5</v>
      </c>
      <c r="E1765" s="116">
        <v>188</v>
      </c>
      <c r="F1765" s="116">
        <v>184</v>
      </c>
      <c r="G1765">
        <v>16129</v>
      </c>
      <c r="H1765" s="116"/>
      <c r="I1765" s="116"/>
      <c r="L1765" s="170">
        <v>44609</v>
      </c>
      <c r="M1765" s="116">
        <v>146</v>
      </c>
      <c r="N1765" s="116">
        <v>147.80000000000001</v>
      </c>
      <c r="O1765" s="116">
        <v>142.69999999999999</v>
      </c>
      <c r="P1765" s="116">
        <v>142.69999999999999</v>
      </c>
      <c r="Q1765" s="116">
        <v>146</v>
      </c>
      <c r="R1765">
        <v>54561</v>
      </c>
    </row>
    <row r="1766" spans="1:18" x14ac:dyDescent="0.25">
      <c r="A1766" s="170">
        <v>44643</v>
      </c>
      <c r="B1766" s="116">
        <v>185.85</v>
      </c>
      <c r="C1766" s="116">
        <v>178.55</v>
      </c>
      <c r="D1766" s="116">
        <v>176.45</v>
      </c>
      <c r="E1766" s="116">
        <v>184.8</v>
      </c>
      <c r="F1766" s="116">
        <v>178.55</v>
      </c>
      <c r="G1766">
        <v>7442</v>
      </c>
      <c r="H1766" s="116"/>
      <c r="I1766" s="116"/>
      <c r="L1766" s="170">
        <v>44610</v>
      </c>
      <c r="M1766" s="116">
        <v>144.94999999999999</v>
      </c>
      <c r="N1766" s="116">
        <v>146.5</v>
      </c>
      <c r="O1766" s="116">
        <v>144</v>
      </c>
      <c r="P1766" s="116">
        <v>146</v>
      </c>
      <c r="Q1766" s="116">
        <v>144.94999999999999</v>
      </c>
      <c r="R1766">
        <v>11947</v>
      </c>
    </row>
    <row r="1767" spans="1:18" x14ac:dyDescent="0.25">
      <c r="A1767" s="170">
        <v>44644</v>
      </c>
      <c r="B1767" s="116">
        <v>181.2</v>
      </c>
      <c r="C1767" s="116">
        <v>177.4</v>
      </c>
      <c r="D1767" s="116">
        <v>175.9</v>
      </c>
      <c r="E1767" s="116">
        <v>178.55</v>
      </c>
      <c r="F1767" s="116">
        <v>177.4</v>
      </c>
      <c r="G1767">
        <v>971</v>
      </c>
      <c r="H1767" s="116"/>
      <c r="I1767" s="116"/>
      <c r="L1767" s="170">
        <v>44613</v>
      </c>
      <c r="M1767" s="116">
        <v>144.75</v>
      </c>
      <c r="N1767" s="116">
        <v>150</v>
      </c>
      <c r="O1767" s="116">
        <v>143.15</v>
      </c>
      <c r="P1767" s="116">
        <v>150</v>
      </c>
      <c r="Q1767" s="116">
        <v>144.75</v>
      </c>
      <c r="R1767">
        <v>98927</v>
      </c>
    </row>
    <row r="1768" spans="1:18" x14ac:dyDescent="0.25">
      <c r="A1768" s="170">
        <v>44645</v>
      </c>
      <c r="B1768" s="116">
        <v>181.9</v>
      </c>
      <c r="C1768" s="116">
        <v>178</v>
      </c>
      <c r="D1768" s="116">
        <v>173.55</v>
      </c>
      <c r="E1768" s="116">
        <v>181.9</v>
      </c>
      <c r="F1768" s="116">
        <v>178</v>
      </c>
      <c r="G1768">
        <v>13839</v>
      </c>
      <c r="H1768" s="116"/>
      <c r="I1768" s="116"/>
      <c r="L1768" s="170">
        <v>44614</v>
      </c>
      <c r="M1768" s="116">
        <v>138.4</v>
      </c>
      <c r="N1768" s="116">
        <v>143.35</v>
      </c>
      <c r="O1768" s="116">
        <v>138</v>
      </c>
      <c r="P1768" s="116">
        <v>143.30000000000001</v>
      </c>
      <c r="Q1768" s="116">
        <v>138.4</v>
      </c>
      <c r="R1768">
        <v>48320</v>
      </c>
    </row>
    <row r="1769" spans="1:18" x14ac:dyDescent="0.25">
      <c r="A1769" s="170">
        <v>44648</v>
      </c>
      <c r="B1769" s="116">
        <v>179</v>
      </c>
      <c r="C1769" s="116">
        <v>173.95</v>
      </c>
      <c r="D1769" s="116">
        <v>169.5</v>
      </c>
      <c r="E1769" s="116">
        <v>179</v>
      </c>
      <c r="F1769" s="116">
        <v>173.95</v>
      </c>
      <c r="G1769">
        <v>3596</v>
      </c>
      <c r="H1769" s="116"/>
      <c r="I1769" s="116"/>
      <c r="L1769" s="170">
        <v>44615</v>
      </c>
      <c r="M1769" s="116">
        <v>140.9</v>
      </c>
      <c r="N1769" s="116">
        <v>142.85</v>
      </c>
      <c r="O1769" s="116">
        <v>138.94999999999999</v>
      </c>
      <c r="P1769" s="116">
        <v>139.1</v>
      </c>
      <c r="Q1769" s="116">
        <v>140.9</v>
      </c>
      <c r="R1769">
        <v>34004</v>
      </c>
    </row>
    <row r="1770" spans="1:18" x14ac:dyDescent="0.25">
      <c r="A1770" s="170">
        <v>44649</v>
      </c>
      <c r="B1770" s="116">
        <v>184</v>
      </c>
      <c r="C1770" s="116">
        <v>178.15</v>
      </c>
      <c r="D1770" s="116">
        <v>175.7</v>
      </c>
      <c r="E1770" s="116">
        <v>175.7</v>
      </c>
      <c r="F1770" s="116">
        <v>178.15</v>
      </c>
      <c r="G1770">
        <v>3211</v>
      </c>
      <c r="H1770" s="116"/>
      <c r="I1770" s="116"/>
      <c r="L1770" s="170">
        <v>44616</v>
      </c>
      <c r="M1770" s="116">
        <v>134.80000000000001</v>
      </c>
      <c r="N1770" s="116">
        <v>138.5</v>
      </c>
      <c r="O1770" s="116">
        <v>133.6</v>
      </c>
      <c r="P1770" s="116">
        <v>136.69999999999999</v>
      </c>
      <c r="Q1770" s="116">
        <v>134.80000000000001</v>
      </c>
      <c r="R1770">
        <v>45271</v>
      </c>
    </row>
    <row r="1771" spans="1:18" x14ac:dyDescent="0.25">
      <c r="A1771" s="170">
        <v>44650</v>
      </c>
      <c r="B1771" s="116">
        <v>185.8</v>
      </c>
      <c r="C1771" s="116">
        <v>176.15</v>
      </c>
      <c r="D1771" s="116">
        <v>173.75</v>
      </c>
      <c r="E1771" s="116">
        <v>180.65</v>
      </c>
      <c r="F1771" s="116">
        <v>176.15</v>
      </c>
      <c r="G1771">
        <v>9118</v>
      </c>
      <c r="H1771" s="116"/>
      <c r="I1771" s="116"/>
      <c r="L1771" s="170">
        <v>44617</v>
      </c>
      <c r="M1771" s="116">
        <v>139.30000000000001</v>
      </c>
      <c r="N1771" s="116">
        <v>140.44999999999999</v>
      </c>
      <c r="O1771" s="116">
        <v>135</v>
      </c>
      <c r="P1771" s="116">
        <v>137</v>
      </c>
      <c r="Q1771" s="116">
        <v>139.30000000000001</v>
      </c>
      <c r="R1771">
        <v>32199</v>
      </c>
    </row>
    <row r="1772" spans="1:18" x14ac:dyDescent="0.25">
      <c r="A1772" s="170">
        <v>44651</v>
      </c>
      <c r="B1772" s="116">
        <v>182</v>
      </c>
      <c r="C1772" s="116">
        <v>174.9</v>
      </c>
      <c r="D1772" s="116">
        <v>173.75</v>
      </c>
      <c r="E1772" s="116">
        <v>182</v>
      </c>
      <c r="F1772" s="116">
        <v>174.9</v>
      </c>
      <c r="G1772">
        <v>9963</v>
      </c>
      <c r="H1772" s="116"/>
      <c r="I1772" s="116"/>
      <c r="L1772" s="170">
        <v>44620</v>
      </c>
      <c r="M1772" s="116">
        <v>142.1</v>
      </c>
      <c r="N1772" s="116">
        <v>145</v>
      </c>
      <c r="O1772" s="116">
        <v>136.55000000000001</v>
      </c>
      <c r="P1772" s="116">
        <v>137</v>
      </c>
      <c r="Q1772" s="116">
        <v>142.1</v>
      </c>
      <c r="R1772">
        <v>19891</v>
      </c>
    </row>
    <row r="1773" spans="1:18" x14ac:dyDescent="0.25">
      <c r="A1773" s="170">
        <v>44652</v>
      </c>
      <c r="B1773" s="116">
        <v>182.5</v>
      </c>
      <c r="C1773" s="116">
        <v>179.5</v>
      </c>
      <c r="D1773" s="116">
        <v>174</v>
      </c>
      <c r="E1773" s="116">
        <v>175.35</v>
      </c>
      <c r="F1773" s="116">
        <v>179.5</v>
      </c>
      <c r="G1773">
        <v>16296</v>
      </c>
      <c r="H1773" s="116"/>
      <c r="I1773" s="116"/>
      <c r="L1773" s="170">
        <v>44622</v>
      </c>
      <c r="M1773" s="116">
        <v>141.75</v>
      </c>
      <c r="N1773" s="116">
        <v>143</v>
      </c>
      <c r="O1773" s="116">
        <v>139.19999999999999</v>
      </c>
      <c r="P1773" s="116">
        <v>140.15</v>
      </c>
      <c r="Q1773" s="116">
        <v>141.75</v>
      </c>
      <c r="R1773">
        <v>34013</v>
      </c>
    </row>
    <row r="1774" spans="1:18" x14ac:dyDescent="0.25">
      <c r="A1774" s="170">
        <v>44655</v>
      </c>
      <c r="B1774" s="116">
        <v>187.15</v>
      </c>
      <c r="C1774" s="116">
        <v>185.85</v>
      </c>
      <c r="D1774" s="116">
        <v>180.5</v>
      </c>
      <c r="E1774" s="116">
        <v>183.5</v>
      </c>
      <c r="F1774" s="116">
        <v>185.85</v>
      </c>
      <c r="G1774">
        <v>24746</v>
      </c>
      <c r="H1774" s="116"/>
      <c r="I1774" s="116"/>
      <c r="L1774" s="170">
        <v>44623</v>
      </c>
      <c r="M1774" s="116">
        <v>144.25</v>
      </c>
      <c r="N1774" s="116">
        <v>145.25</v>
      </c>
      <c r="O1774" s="116">
        <v>142.1</v>
      </c>
      <c r="P1774" s="116">
        <v>142.44999999999999</v>
      </c>
      <c r="Q1774" s="116">
        <v>144.25</v>
      </c>
      <c r="R1774">
        <v>28712</v>
      </c>
    </row>
    <row r="1775" spans="1:18" x14ac:dyDescent="0.25">
      <c r="A1775" s="170">
        <v>44656</v>
      </c>
      <c r="B1775" s="116">
        <v>185.4</v>
      </c>
      <c r="C1775" s="116">
        <v>184.05</v>
      </c>
      <c r="D1775" s="116">
        <v>181.2</v>
      </c>
      <c r="E1775" s="116">
        <v>185.05</v>
      </c>
      <c r="F1775" s="116">
        <v>184.05</v>
      </c>
      <c r="G1775">
        <v>6978</v>
      </c>
      <c r="H1775" s="116"/>
      <c r="I1775" s="116"/>
      <c r="L1775" s="170">
        <v>44624</v>
      </c>
      <c r="M1775" s="116">
        <v>144.4</v>
      </c>
      <c r="N1775" s="116">
        <v>145.80000000000001</v>
      </c>
      <c r="O1775" s="116">
        <v>142.15</v>
      </c>
      <c r="P1775" s="116">
        <v>143</v>
      </c>
      <c r="Q1775" s="116">
        <v>144.4</v>
      </c>
      <c r="R1775">
        <v>36941</v>
      </c>
    </row>
    <row r="1776" spans="1:18" x14ac:dyDescent="0.25">
      <c r="A1776" s="170">
        <v>44657</v>
      </c>
      <c r="B1776" s="116">
        <v>194.15</v>
      </c>
      <c r="C1776" s="116">
        <v>191.1</v>
      </c>
      <c r="D1776" s="116">
        <v>183.05</v>
      </c>
      <c r="E1776" s="116">
        <v>183.25</v>
      </c>
      <c r="F1776" s="116">
        <v>191.1</v>
      </c>
      <c r="G1776">
        <v>35164</v>
      </c>
      <c r="H1776" s="116"/>
      <c r="I1776" s="116"/>
      <c r="L1776" s="170">
        <v>44627</v>
      </c>
      <c r="M1776" s="116">
        <v>140.85</v>
      </c>
      <c r="N1776" s="116">
        <v>142.19999999999999</v>
      </c>
      <c r="O1776" s="116">
        <v>138.75</v>
      </c>
      <c r="P1776" s="116">
        <v>142.19999999999999</v>
      </c>
      <c r="Q1776" s="116">
        <v>140.85</v>
      </c>
      <c r="R1776">
        <v>41894</v>
      </c>
    </row>
    <row r="1777" spans="1:18" x14ac:dyDescent="0.25">
      <c r="A1777" s="170">
        <v>44658</v>
      </c>
      <c r="B1777" s="116">
        <v>192.4</v>
      </c>
      <c r="C1777" s="116">
        <v>183.55</v>
      </c>
      <c r="D1777" s="116">
        <v>181.8</v>
      </c>
      <c r="E1777" s="116">
        <v>190.75</v>
      </c>
      <c r="F1777" s="116">
        <v>183.55</v>
      </c>
      <c r="G1777">
        <v>15436</v>
      </c>
      <c r="H1777" s="116"/>
      <c r="I1777" s="116"/>
      <c r="L1777" s="170">
        <v>44628</v>
      </c>
      <c r="M1777" s="116">
        <v>141.30000000000001</v>
      </c>
      <c r="N1777" s="116">
        <v>143.5</v>
      </c>
      <c r="O1777" s="116">
        <v>139.25</v>
      </c>
      <c r="P1777" s="116">
        <v>140.44999999999999</v>
      </c>
      <c r="Q1777" s="116">
        <v>141.30000000000001</v>
      </c>
      <c r="R1777">
        <v>67781</v>
      </c>
    </row>
    <row r="1778" spans="1:18" x14ac:dyDescent="0.25">
      <c r="A1778" s="170">
        <v>44659</v>
      </c>
      <c r="B1778" s="116">
        <v>185</v>
      </c>
      <c r="C1778" s="116">
        <v>183</v>
      </c>
      <c r="D1778" s="116">
        <v>181.95</v>
      </c>
      <c r="E1778" s="116">
        <v>182.55</v>
      </c>
      <c r="F1778" s="116">
        <v>183</v>
      </c>
      <c r="G1778">
        <v>9161</v>
      </c>
      <c r="H1778" s="116"/>
      <c r="I1778" s="116"/>
      <c r="L1778" s="170">
        <v>44629</v>
      </c>
      <c r="M1778" s="116">
        <v>144.5</v>
      </c>
      <c r="N1778" s="116">
        <v>146.85</v>
      </c>
      <c r="O1778" s="116">
        <v>141.5</v>
      </c>
      <c r="P1778" s="116">
        <v>141.5</v>
      </c>
      <c r="Q1778" s="116">
        <v>144.5</v>
      </c>
      <c r="R1778">
        <v>45870</v>
      </c>
    </row>
    <row r="1779" spans="1:18" x14ac:dyDescent="0.25">
      <c r="A1779" s="170">
        <v>44662</v>
      </c>
      <c r="B1779" s="116">
        <v>188.35</v>
      </c>
      <c r="C1779" s="116">
        <v>184.8</v>
      </c>
      <c r="D1779" s="116">
        <v>181.65</v>
      </c>
      <c r="E1779" s="116">
        <v>181.65</v>
      </c>
      <c r="F1779" s="116">
        <v>184.8</v>
      </c>
      <c r="G1779">
        <v>12112</v>
      </c>
      <c r="H1779" s="116"/>
      <c r="I1779" s="116"/>
      <c r="L1779" s="170">
        <v>44630</v>
      </c>
      <c r="M1779" s="116">
        <v>152.4</v>
      </c>
      <c r="N1779" s="116">
        <v>169</v>
      </c>
      <c r="O1779" s="116">
        <v>145.5</v>
      </c>
      <c r="P1779" s="116">
        <v>145.5</v>
      </c>
      <c r="Q1779" s="116">
        <v>152.4</v>
      </c>
      <c r="R1779">
        <v>91001</v>
      </c>
    </row>
    <row r="1780" spans="1:18" x14ac:dyDescent="0.25">
      <c r="A1780" s="170">
        <v>44663</v>
      </c>
      <c r="B1780" s="116">
        <v>184.15</v>
      </c>
      <c r="C1780" s="116">
        <v>182.35</v>
      </c>
      <c r="D1780" s="116">
        <v>179.5</v>
      </c>
      <c r="E1780" s="116">
        <v>184.15</v>
      </c>
      <c r="F1780" s="116">
        <v>182.35</v>
      </c>
      <c r="G1780">
        <v>13168</v>
      </c>
      <c r="H1780" s="116"/>
      <c r="I1780" s="116"/>
      <c r="L1780" s="170">
        <v>44631</v>
      </c>
      <c r="M1780" s="116">
        <v>159.19999999999999</v>
      </c>
      <c r="N1780" s="116">
        <v>161</v>
      </c>
      <c r="O1780" s="116">
        <v>150.05000000000001</v>
      </c>
      <c r="P1780" s="116">
        <v>152.4</v>
      </c>
      <c r="Q1780" s="116">
        <v>159.19999999999999</v>
      </c>
      <c r="R1780">
        <v>341935</v>
      </c>
    </row>
    <row r="1781" spans="1:18" x14ac:dyDescent="0.25">
      <c r="A1781" s="170">
        <v>44664</v>
      </c>
      <c r="B1781" s="116">
        <v>204.25</v>
      </c>
      <c r="C1781" s="116">
        <v>202.5</v>
      </c>
      <c r="D1781" s="116">
        <v>184.2</v>
      </c>
      <c r="E1781" s="116">
        <v>184.4</v>
      </c>
      <c r="F1781" s="116">
        <v>202.5</v>
      </c>
      <c r="G1781">
        <v>72824</v>
      </c>
      <c r="H1781" s="116"/>
      <c r="I1781" s="116"/>
      <c r="L1781" s="170">
        <v>44634</v>
      </c>
      <c r="M1781" s="116">
        <v>165.15</v>
      </c>
      <c r="N1781" s="116">
        <v>166.65</v>
      </c>
      <c r="O1781" s="116">
        <v>158.55000000000001</v>
      </c>
      <c r="P1781" s="116">
        <v>158.9</v>
      </c>
      <c r="Q1781" s="116">
        <v>165.15</v>
      </c>
      <c r="R1781">
        <v>204514</v>
      </c>
    </row>
    <row r="1782" spans="1:18" x14ac:dyDescent="0.25">
      <c r="A1782" s="170">
        <v>44669</v>
      </c>
      <c r="B1782" s="116">
        <v>238</v>
      </c>
      <c r="C1782" s="116">
        <v>232.35</v>
      </c>
      <c r="D1782" s="116">
        <v>203.75</v>
      </c>
      <c r="E1782" s="116">
        <v>208.1</v>
      </c>
      <c r="F1782" s="116">
        <v>232.35</v>
      </c>
      <c r="G1782">
        <v>156929</v>
      </c>
      <c r="H1782" s="116"/>
      <c r="I1782" s="116"/>
      <c r="L1782" s="170">
        <v>44635</v>
      </c>
      <c r="M1782" s="116">
        <v>170.25</v>
      </c>
      <c r="N1782" s="116">
        <v>175.85</v>
      </c>
      <c r="O1782" s="116">
        <v>166.1</v>
      </c>
      <c r="P1782" s="116">
        <v>167.05</v>
      </c>
      <c r="Q1782" s="116">
        <v>170.25</v>
      </c>
      <c r="R1782">
        <v>377440</v>
      </c>
    </row>
    <row r="1783" spans="1:18" x14ac:dyDescent="0.25">
      <c r="A1783" s="170">
        <v>44670</v>
      </c>
      <c r="B1783" s="116">
        <v>238.95</v>
      </c>
      <c r="C1783" s="116">
        <v>209.4</v>
      </c>
      <c r="D1783" s="116">
        <v>201.55</v>
      </c>
      <c r="E1783" s="116">
        <v>238.1</v>
      </c>
      <c r="F1783" s="116">
        <v>209.4</v>
      </c>
      <c r="G1783">
        <v>79263</v>
      </c>
      <c r="H1783" s="116"/>
      <c r="I1783" s="116"/>
      <c r="L1783" s="170">
        <v>44636</v>
      </c>
      <c r="M1783" s="116">
        <v>185.75</v>
      </c>
      <c r="N1783" s="116">
        <v>188</v>
      </c>
      <c r="O1783" s="116">
        <v>175.5</v>
      </c>
      <c r="P1783" s="116">
        <v>176</v>
      </c>
      <c r="Q1783" s="116">
        <v>185.75</v>
      </c>
      <c r="R1783">
        <v>783495</v>
      </c>
    </row>
    <row r="1784" spans="1:18" x14ac:dyDescent="0.25">
      <c r="A1784" s="170">
        <v>44671</v>
      </c>
      <c r="B1784" s="116">
        <v>226</v>
      </c>
      <c r="C1784" s="116">
        <v>220.35</v>
      </c>
      <c r="D1784" s="116">
        <v>212.35</v>
      </c>
      <c r="E1784" s="116">
        <v>215</v>
      </c>
      <c r="F1784" s="116">
        <v>220.35</v>
      </c>
      <c r="G1784">
        <v>62725</v>
      </c>
      <c r="H1784" s="116"/>
      <c r="I1784" s="116"/>
      <c r="L1784" s="170">
        <v>44637</v>
      </c>
      <c r="M1784" s="116">
        <v>184.6</v>
      </c>
      <c r="N1784" s="116">
        <v>194.45</v>
      </c>
      <c r="O1784" s="116">
        <v>179.15</v>
      </c>
      <c r="P1784" s="116">
        <v>193</v>
      </c>
      <c r="Q1784" s="116">
        <v>184.6</v>
      </c>
      <c r="R1784">
        <v>456261</v>
      </c>
    </row>
    <row r="1785" spans="1:18" x14ac:dyDescent="0.25">
      <c r="A1785" s="170">
        <v>44672</v>
      </c>
      <c r="B1785" s="116">
        <v>225</v>
      </c>
      <c r="C1785" s="116">
        <v>220.75</v>
      </c>
      <c r="D1785" s="116">
        <v>212.7</v>
      </c>
      <c r="E1785" s="116">
        <v>225</v>
      </c>
      <c r="F1785" s="116">
        <v>220.75</v>
      </c>
      <c r="G1785">
        <v>21883</v>
      </c>
      <c r="H1785" s="116"/>
      <c r="I1785" s="116"/>
      <c r="L1785" s="170">
        <v>44641</v>
      </c>
      <c r="M1785" s="116">
        <v>184.5</v>
      </c>
      <c r="N1785" s="116">
        <v>192.8</v>
      </c>
      <c r="O1785" s="116">
        <v>182.3</v>
      </c>
      <c r="P1785" s="116">
        <v>184</v>
      </c>
      <c r="Q1785" s="116">
        <v>184.5</v>
      </c>
      <c r="R1785">
        <v>250520</v>
      </c>
    </row>
    <row r="1786" spans="1:18" x14ac:dyDescent="0.25">
      <c r="A1786" s="170">
        <v>44673</v>
      </c>
      <c r="B1786" s="116">
        <v>220.75</v>
      </c>
      <c r="C1786" s="116">
        <v>212</v>
      </c>
      <c r="D1786" s="116">
        <v>210.35</v>
      </c>
      <c r="E1786" s="116">
        <v>215.6</v>
      </c>
      <c r="F1786" s="116">
        <v>212</v>
      </c>
      <c r="G1786">
        <v>24846</v>
      </c>
      <c r="H1786" s="116"/>
      <c r="I1786" s="116"/>
      <c r="L1786" s="170">
        <v>44642</v>
      </c>
      <c r="M1786" s="116">
        <v>184.4</v>
      </c>
      <c r="N1786" s="116">
        <v>190</v>
      </c>
      <c r="O1786" s="116">
        <v>183.5</v>
      </c>
      <c r="P1786" s="116">
        <v>188</v>
      </c>
      <c r="Q1786" s="116">
        <v>184.4</v>
      </c>
      <c r="R1786">
        <v>167304</v>
      </c>
    </row>
    <row r="1787" spans="1:18" x14ac:dyDescent="0.25">
      <c r="A1787" s="170">
        <v>44676</v>
      </c>
      <c r="B1787" s="116">
        <v>218.7</v>
      </c>
      <c r="C1787" s="116">
        <v>211.35</v>
      </c>
      <c r="D1787" s="116">
        <v>210</v>
      </c>
      <c r="E1787" s="116">
        <v>218.7</v>
      </c>
      <c r="F1787" s="116">
        <v>211.35</v>
      </c>
      <c r="G1787">
        <v>12492</v>
      </c>
      <c r="H1787" s="116"/>
      <c r="I1787" s="116"/>
      <c r="L1787" s="170">
        <v>44643</v>
      </c>
      <c r="M1787" s="116">
        <v>178.7</v>
      </c>
      <c r="N1787" s="116">
        <v>185.7</v>
      </c>
      <c r="O1787" s="116">
        <v>176.25</v>
      </c>
      <c r="P1787" s="116">
        <v>185</v>
      </c>
      <c r="Q1787" s="116">
        <v>178.7</v>
      </c>
      <c r="R1787">
        <v>88447</v>
      </c>
    </row>
    <row r="1788" spans="1:18" x14ac:dyDescent="0.25">
      <c r="A1788" s="170">
        <v>44677</v>
      </c>
      <c r="B1788" s="116">
        <v>216.3</v>
      </c>
      <c r="C1788" s="116">
        <v>212.95</v>
      </c>
      <c r="D1788" s="116">
        <v>207.5</v>
      </c>
      <c r="E1788" s="116">
        <v>214</v>
      </c>
      <c r="F1788" s="116">
        <v>212.95</v>
      </c>
      <c r="G1788">
        <v>7659</v>
      </c>
      <c r="H1788" s="116"/>
      <c r="I1788" s="116"/>
      <c r="L1788" s="170">
        <v>44644</v>
      </c>
      <c r="M1788" s="116">
        <v>177</v>
      </c>
      <c r="N1788" s="116">
        <v>181.95</v>
      </c>
      <c r="O1788" s="116">
        <v>176.05</v>
      </c>
      <c r="P1788" s="116">
        <v>178.9</v>
      </c>
      <c r="Q1788" s="116">
        <v>177</v>
      </c>
      <c r="R1788">
        <v>47610</v>
      </c>
    </row>
    <row r="1789" spans="1:18" x14ac:dyDescent="0.25">
      <c r="A1789" s="170">
        <v>44678</v>
      </c>
      <c r="B1789" s="116">
        <v>213.15</v>
      </c>
      <c r="C1789" s="116">
        <v>207.85</v>
      </c>
      <c r="D1789" s="116">
        <v>206.3</v>
      </c>
      <c r="E1789" s="116">
        <v>211</v>
      </c>
      <c r="F1789" s="116">
        <v>207.85</v>
      </c>
      <c r="G1789">
        <v>4313</v>
      </c>
      <c r="H1789" s="116"/>
      <c r="I1789" s="116"/>
      <c r="L1789" s="170">
        <v>44645</v>
      </c>
      <c r="M1789" s="116">
        <v>178.65</v>
      </c>
      <c r="N1789" s="116">
        <v>180.95</v>
      </c>
      <c r="O1789" s="116">
        <v>173.55</v>
      </c>
      <c r="P1789" s="116">
        <v>178.55</v>
      </c>
      <c r="Q1789" s="116">
        <v>178.65</v>
      </c>
      <c r="R1789">
        <v>75850</v>
      </c>
    </row>
    <row r="1790" spans="1:18" x14ac:dyDescent="0.25">
      <c r="A1790" s="170">
        <v>44679</v>
      </c>
      <c r="B1790" s="116">
        <v>212.3</v>
      </c>
      <c r="C1790" s="116">
        <v>206.95</v>
      </c>
      <c r="D1790" s="116">
        <v>205.35</v>
      </c>
      <c r="E1790" s="116">
        <v>209.1</v>
      </c>
      <c r="F1790" s="116">
        <v>206.95</v>
      </c>
      <c r="G1790">
        <v>10643</v>
      </c>
      <c r="H1790" s="116"/>
      <c r="I1790" s="116"/>
      <c r="L1790" s="170">
        <v>44648</v>
      </c>
      <c r="M1790" s="116">
        <v>174.1</v>
      </c>
      <c r="N1790" s="116">
        <v>179.5</v>
      </c>
      <c r="O1790" s="116">
        <v>171</v>
      </c>
      <c r="P1790" s="116">
        <v>179</v>
      </c>
      <c r="Q1790" s="116">
        <v>174.1</v>
      </c>
      <c r="R1790">
        <v>69043</v>
      </c>
    </row>
    <row r="1791" spans="1:18" x14ac:dyDescent="0.25">
      <c r="A1791" s="170">
        <v>44680</v>
      </c>
      <c r="B1791" s="116">
        <v>209.4</v>
      </c>
      <c r="C1791" s="116">
        <v>199.9</v>
      </c>
      <c r="D1791" s="116">
        <v>196.45</v>
      </c>
      <c r="E1791" s="116">
        <v>207.4</v>
      </c>
      <c r="F1791" s="116">
        <v>199.9</v>
      </c>
      <c r="G1791">
        <v>19352</v>
      </c>
      <c r="H1791" s="116"/>
      <c r="I1791" s="116"/>
      <c r="L1791" s="170">
        <v>44649</v>
      </c>
      <c r="M1791" s="116">
        <v>178.25</v>
      </c>
      <c r="N1791" s="116">
        <v>184.3</v>
      </c>
      <c r="O1791" s="116">
        <v>174</v>
      </c>
      <c r="P1791" s="116">
        <v>174</v>
      </c>
      <c r="Q1791" s="116">
        <v>178.25</v>
      </c>
      <c r="R1791">
        <v>113586</v>
      </c>
    </row>
    <row r="1792" spans="1:18" x14ac:dyDescent="0.25">
      <c r="A1792" s="170">
        <v>44683</v>
      </c>
      <c r="B1792" s="116">
        <v>210.8</v>
      </c>
      <c r="C1792" s="116">
        <v>209.75</v>
      </c>
      <c r="D1792" s="116">
        <v>202.45</v>
      </c>
      <c r="E1792" s="116">
        <v>202.5</v>
      </c>
      <c r="F1792" s="116">
        <v>209.75</v>
      </c>
      <c r="G1792">
        <v>22815</v>
      </c>
      <c r="H1792" s="116"/>
      <c r="I1792" s="116"/>
      <c r="L1792" s="170">
        <v>44650</v>
      </c>
      <c r="M1792" s="116">
        <v>175.6</v>
      </c>
      <c r="N1792" s="116">
        <v>185.7</v>
      </c>
      <c r="O1792" s="116">
        <v>173.55</v>
      </c>
      <c r="P1792" s="116">
        <v>179</v>
      </c>
      <c r="Q1792" s="116">
        <v>175.6</v>
      </c>
      <c r="R1792">
        <v>204998</v>
      </c>
    </row>
    <row r="1793" spans="1:18" x14ac:dyDescent="0.25">
      <c r="A1793" s="170">
        <v>44685</v>
      </c>
      <c r="B1793" s="116">
        <v>212.2</v>
      </c>
      <c r="C1793" s="116">
        <v>196.15</v>
      </c>
      <c r="D1793" s="116">
        <v>193.3</v>
      </c>
      <c r="E1793" s="116">
        <v>209.75</v>
      </c>
      <c r="F1793" s="116">
        <v>196.15</v>
      </c>
      <c r="G1793">
        <v>21611</v>
      </c>
      <c r="H1793" s="116"/>
      <c r="I1793" s="116"/>
      <c r="L1793" s="170">
        <v>44651</v>
      </c>
      <c r="M1793" s="116">
        <v>174.55</v>
      </c>
      <c r="N1793" s="116">
        <v>181</v>
      </c>
      <c r="O1793" s="116">
        <v>173.95</v>
      </c>
      <c r="P1793" s="116">
        <v>176.8</v>
      </c>
      <c r="Q1793" s="116">
        <v>174.55</v>
      </c>
      <c r="R1793">
        <v>141392</v>
      </c>
    </row>
    <row r="1794" spans="1:18" x14ac:dyDescent="0.25">
      <c r="A1794" s="170">
        <v>44686</v>
      </c>
      <c r="B1794" s="116">
        <v>203.5</v>
      </c>
      <c r="C1794" s="116">
        <v>196.9</v>
      </c>
      <c r="D1794" s="116">
        <v>192.95</v>
      </c>
      <c r="E1794" s="116">
        <v>202.8</v>
      </c>
      <c r="F1794" s="116">
        <v>196.9</v>
      </c>
      <c r="G1794">
        <v>22828</v>
      </c>
      <c r="H1794" s="116"/>
      <c r="I1794" s="116"/>
      <c r="L1794" s="170">
        <v>44652</v>
      </c>
      <c r="M1794" s="116">
        <v>179.15</v>
      </c>
      <c r="N1794" s="116">
        <v>182.9</v>
      </c>
      <c r="O1794" s="116">
        <v>174</v>
      </c>
      <c r="P1794" s="116">
        <v>174</v>
      </c>
      <c r="Q1794" s="116">
        <v>179.15</v>
      </c>
      <c r="R1794">
        <v>254824</v>
      </c>
    </row>
    <row r="1795" spans="1:18" x14ac:dyDescent="0.25">
      <c r="A1795" s="170">
        <v>44687</v>
      </c>
      <c r="B1795" s="116">
        <v>203.3</v>
      </c>
      <c r="C1795" s="116">
        <v>198.5</v>
      </c>
      <c r="D1795" s="116">
        <v>189.5</v>
      </c>
      <c r="E1795" s="116">
        <v>194</v>
      </c>
      <c r="F1795" s="116">
        <v>198.5</v>
      </c>
      <c r="G1795">
        <v>27923</v>
      </c>
      <c r="H1795" s="116"/>
      <c r="I1795" s="116"/>
      <c r="L1795" s="170">
        <v>44655</v>
      </c>
      <c r="M1795" s="116">
        <v>186.15</v>
      </c>
      <c r="N1795" s="116">
        <v>187.15</v>
      </c>
      <c r="O1795" s="116">
        <v>180.8</v>
      </c>
      <c r="P1795" s="116">
        <v>181.25</v>
      </c>
      <c r="Q1795" s="116">
        <v>186.15</v>
      </c>
      <c r="R1795">
        <v>206649</v>
      </c>
    </row>
    <row r="1796" spans="1:18" x14ac:dyDescent="0.25">
      <c r="A1796" s="170">
        <v>44690</v>
      </c>
      <c r="B1796" s="116">
        <v>205.7</v>
      </c>
      <c r="C1796" s="116">
        <v>190.55</v>
      </c>
      <c r="D1796" s="116">
        <v>189.35</v>
      </c>
      <c r="E1796" s="116">
        <v>205</v>
      </c>
      <c r="F1796" s="116">
        <v>190.55</v>
      </c>
      <c r="G1796">
        <v>27287</v>
      </c>
      <c r="H1796" s="116"/>
      <c r="I1796" s="116"/>
      <c r="L1796" s="170">
        <v>44656</v>
      </c>
      <c r="M1796" s="116">
        <v>183.7</v>
      </c>
      <c r="N1796" s="116">
        <v>186</v>
      </c>
      <c r="O1796" s="116">
        <v>181.05</v>
      </c>
      <c r="P1796" s="116">
        <v>186</v>
      </c>
      <c r="Q1796" s="116">
        <v>183.7</v>
      </c>
      <c r="R1796">
        <v>112857</v>
      </c>
    </row>
    <row r="1797" spans="1:18" x14ac:dyDescent="0.25">
      <c r="A1797" s="170">
        <v>44691</v>
      </c>
      <c r="B1797" s="116">
        <v>197</v>
      </c>
      <c r="C1797" s="116">
        <v>187.35</v>
      </c>
      <c r="D1797" s="116">
        <v>185.6</v>
      </c>
      <c r="E1797" s="116">
        <v>192.65</v>
      </c>
      <c r="F1797" s="116">
        <v>187.35</v>
      </c>
      <c r="G1797">
        <v>17596</v>
      </c>
      <c r="H1797" s="116"/>
      <c r="I1797" s="116"/>
      <c r="L1797" s="170">
        <v>44657</v>
      </c>
      <c r="M1797" s="116">
        <v>191.1</v>
      </c>
      <c r="N1797" s="116">
        <v>194.6</v>
      </c>
      <c r="O1797" s="116">
        <v>183</v>
      </c>
      <c r="P1797" s="116">
        <v>183.5</v>
      </c>
      <c r="Q1797" s="116">
        <v>191.1</v>
      </c>
      <c r="R1797">
        <v>378100</v>
      </c>
    </row>
    <row r="1798" spans="1:18" x14ac:dyDescent="0.25">
      <c r="A1798" s="170">
        <v>44692</v>
      </c>
      <c r="B1798" s="116">
        <v>193</v>
      </c>
      <c r="C1798" s="116">
        <v>188.4</v>
      </c>
      <c r="D1798" s="116">
        <v>178.45</v>
      </c>
      <c r="E1798" s="116">
        <v>185</v>
      </c>
      <c r="F1798" s="116">
        <v>188.4</v>
      </c>
      <c r="G1798">
        <v>101534</v>
      </c>
      <c r="H1798" s="116"/>
      <c r="I1798" s="116"/>
      <c r="L1798" s="170">
        <v>44658</v>
      </c>
      <c r="M1798" s="116">
        <v>183.4</v>
      </c>
      <c r="N1798" s="116">
        <v>192.55</v>
      </c>
      <c r="O1798" s="116">
        <v>181.45</v>
      </c>
      <c r="P1798" s="116">
        <v>192</v>
      </c>
      <c r="Q1798" s="116">
        <v>183.4</v>
      </c>
      <c r="R1798">
        <v>116780</v>
      </c>
    </row>
    <row r="1799" spans="1:18" x14ac:dyDescent="0.25">
      <c r="A1799" s="170">
        <v>44693</v>
      </c>
      <c r="B1799" s="116">
        <v>185.5</v>
      </c>
      <c r="C1799" s="116">
        <v>179.15</v>
      </c>
      <c r="D1799" s="116">
        <v>178.7</v>
      </c>
      <c r="E1799" s="116">
        <v>185.5</v>
      </c>
      <c r="F1799" s="116">
        <v>179.15</v>
      </c>
      <c r="G1799">
        <v>11002</v>
      </c>
      <c r="H1799" s="116"/>
      <c r="I1799" s="116"/>
      <c r="L1799" s="170">
        <v>44659</v>
      </c>
      <c r="M1799" s="116">
        <v>182.95</v>
      </c>
      <c r="N1799" s="116">
        <v>185.2</v>
      </c>
      <c r="O1799" s="116">
        <v>181.95</v>
      </c>
      <c r="P1799" s="116">
        <v>184.35</v>
      </c>
      <c r="Q1799" s="116">
        <v>182.95</v>
      </c>
      <c r="R1799">
        <v>59453</v>
      </c>
    </row>
    <row r="1800" spans="1:18" x14ac:dyDescent="0.25">
      <c r="A1800" s="170">
        <v>44694</v>
      </c>
      <c r="B1800" s="116">
        <v>188.35</v>
      </c>
      <c r="C1800" s="116">
        <v>180.75</v>
      </c>
      <c r="D1800" s="116">
        <v>178.75</v>
      </c>
      <c r="E1800" s="116">
        <v>185</v>
      </c>
      <c r="F1800" s="116">
        <v>180.75</v>
      </c>
      <c r="G1800">
        <v>8045</v>
      </c>
      <c r="H1800" s="116"/>
      <c r="I1800" s="116"/>
      <c r="L1800" s="170">
        <v>44662</v>
      </c>
      <c r="M1800" s="116">
        <v>184.4</v>
      </c>
      <c r="N1800" s="116">
        <v>188.8</v>
      </c>
      <c r="O1800" s="116">
        <v>182.95</v>
      </c>
      <c r="P1800" s="116">
        <v>184</v>
      </c>
      <c r="Q1800" s="116">
        <v>184.4</v>
      </c>
      <c r="R1800">
        <v>112031</v>
      </c>
    </row>
    <row r="1801" spans="1:18" x14ac:dyDescent="0.25">
      <c r="A1801" s="170">
        <v>44697</v>
      </c>
      <c r="B1801" s="116">
        <v>199.15</v>
      </c>
      <c r="C1801" s="116">
        <v>195.05</v>
      </c>
      <c r="D1801" s="116">
        <v>181.65</v>
      </c>
      <c r="E1801" s="116">
        <v>182.85</v>
      </c>
      <c r="F1801" s="116">
        <v>195.05</v>
      </c>
      <c r="G1801">
        <v>15182</v>
      </c>
      <c r="H1801" s="116"/>
      <c r="I1801" s="116"/>
      <c r="L1801" s="170">
        <v>44663</v>
      </c>
      <c r="M1801" s="116">
        <v>182.35</v>
      </c>
      <c r="N1801" s="116">
        <v>184.15</v>
      </c>
      <c r="O1801" s="116">
        <v>179.45</v>
      </c>
      <c r="P1801" s="116">
        <v>184.15</v>
      </c>
      <c r="Q1801" s="116">
        <v>182.35</v>
      </c>
      <c r="R1801">
        <v>63856</v>
      </c>
    </row>
    <row r="1802" spans="1:18" x14ac:dyDescent="0.25">
      <c r="A1802" s="170">
        <v>44698</v>
      </c>
      <c r="B1802" s="116">
        <v>200.9</v>
      </c>
      <c r="C1802" s="116">
        <v>199.5</v>
      </c>
      <c r="D1802" s="116">
        <v>192.75</v>
      </c>
      <c r="E1802" s="116">
        <v>197</v>
      </c>
      <c r="F1802" s="116">
        <v>199.5</v>
      </c>
      <c r="G1802">
        <v>8184</v>
      </c>
      <c r="H1802" s="116"/>
      <c r="I1802" s="116"/>
      <c r="L1802" s="170">
        <v>44664</v>
      </c>
      <c r="M1802" s="116">
        <v>202.55</v>
      </c>
      <c r="N1802" s="116">
        <v>204</v>
      </c>
      <c r="O1802" s="116">
        <v>183.6</v>
      </c>
      <c r="P1802" s="116">
        <v>184.9</v>
      </c>
      <c r="Q1802" s="116">
        <v>202.55</v>
      </c>
      <c r="R1802">
        <v>658923</v>
      </c>
    </row>
    <row r="1803" spans="1:18" x14ac:dyDescent="0.25">
      <c r="A1803" s="170">
        <v>44699</v>
      </c>
      <c r="B1803" s="116">
        <v>207</v>
      </c>
      <c r="C1803" s="116">
        <v>203.2</v>
      </c>
      <c r="D1803" s="116">
        <v>197.1</v>
      </c>
      <c r="E1803" s="116">
        <v>199.5</v>
      </c>
      <c r="F1803" s="116">
        <v>203.2</v>
      </c>
      <c r="G1803">
        <v>19845</v>
      </c>
      <c r="H1803" s="116"/>
      <c r="I1803" s="116"/>
      <c r="L1803" s="170">
        <v>44669</v>
      </c>
      <c r="M1803" s="116">
        <v>232.95</v>
      </c>
      <c r="N1803" s="116">
        <v>238.25</v>
      </c>
      <c r="O1803" s="116">
        <v>202.55</v>
      </c>
      <c r="P1803" s="116">
        <v>209.9</v>
      </c>
      <c r="Q1803" s="116">
        <v>232.95</v>
      </c>
      <c r="R1803">
        <v>2540586</v>
      </c>
    </row>
    <row r="1804" spans="1:18" x14ac:dyDescent="0.25">
      <c r="A1804" s="170">
        <v>44700</v>
      </c>
      <c r="B1804" s="116">
        <v>201.2</v>
      </c>
      <c r="C1804" s="116">
        <v>193.5</v>
      </c>
      <c r="D1804" s="116">
        <v>192</v>
      </c>
      <c r="E1804" s="116">
        <v>194.75</v>
      </c>
      <c r="F1804" s="116">
        <v>193.5</v>
      </c>
      <c r="G1804">
        <v>10190</v>
      </c>
      <c r="H1804" s="116"/>
      <c r="I1804" s="116"/>
      <c r="L1804" s="170">
        <v>44670</v>
      </c>
      <c r="M1804" s="116">
        <v>208.55</v>
      </c>
      <c r="N1804" s="116">
        <v>239</v>
      </c>
      <c r="O1804" s="116">
        <v>200.25</v>
      </c>
      <c r="P1804" s="116">
        <v>239</v>
      </c>
      <c r="Q1804" s="116">
        <v>208.55</v>
      </c>
      <c r="R1804">
        <v>820769</v>
      </c>
    </row>
    <row r="1805" spans="1:18" x14ac:dyDescent="0.25">
      <c r="A1805" s="170">
        <v>44701</v>
      </c>
      <c r="B1805" s="116">
        <v>204.05</v>
      </c>
      <c r="C1805" s="116">
        <v>201.65</v>
      </c>
      <c r="D1805" s="116">
        <v>190.1</v>
      </c>
      <c r="E1805" s="116">
        <v>190.1</v>
      </c>
      <c r="F1805" s="116">
        <v>201.65</v>
      </c>
      <c r="G1805">
        <v>8012</v>
      </c>
      <c r="H1805" s="116"/>
      <c r="I1805" s="116"/>
      <c r="L1805" s="170">
        <v>44671</v>
      </c>
      <c r="M1805" s="116">
        <v>218.5</v>
      </c>
      <c r="N1805" s="116">
        <v>228.7</v>
      </c>
      <c r="O1805" s="116">
        <v>211</v>
      </c>
      <c r="P1805" s="116">
        <v>214.8</v>
      </c>
      <c r="Q1805" s="116">
        <v>218.5</v>
      </c>
      <c r="R1805">
        <v>564861</v>
      </c>
    </row>
    <row r="1806" spans="1:18" x14ac:dyDescent="0.25">
      <c r="A1806" s="170">
        <v>44704</v>
      </c>
      <c r="B1806" s="116">
        <v>202.95</v>
      </c>
      <c r="C1806" s="116">
        <v>195.95</v>
      </c>
      <c r="D1806" s="116">
        <v>194.6</v>
      </c>
      <c r="E1806" s="116">
        <v>201.3</v>
      </c>
      <c r="F1806" s="116">
        <v>195.95</v>
      </c>
      <c r="G1806">
        <v>5207</v>
      </c>
      <c r="H1806" s="116"/>
      <c r="I1806" s="116"/>
      <c r="L1806" s="170">
        <v>44672</v>
      </c>
      <c r="M1806" s="116">
        <v>220.7</v>
      </c>
      <c r="N1806" s="116">
        <v>226.6</v>
      </c>
      <c r="O1806" s="116">
        <v>212.6</v>
      </c>
      <c r="P1806" s="116">
        <v>225</v>
      </c>
      <c r="Q1806" s="116">
        <v>220.7</v>
      </c>
      <c r="R1806">
        <v>217745</v>
      </c>
    </row>
    <row r="1807" spans="1:18" x14ac:dyDescent="0.25">
      <c r="A1807" s="170">
        <v>44705</v>
      </c>
      <c r="B1807" s="116">
        <v>197.75</v>
      </c>
      <c r="C1807" s="116">
        <v>190.1</v>
      </c>
      <c r="D1807" s="116">
        <v>189.05</v>
      </c>
      <c r="E1807" s="116">
        <v>196.75</v>
      </c>
      <c r="F1807" s="116">
        <v>190.1</v>
      </c>
      <c r="G1807">
        <v>4479</v>
      </c>
      <c r="H1807" s="116"/>
      <c r="I1807" s="116"/>
      <c r="L1807" s="170">
        <v>44673</v>
      </c>
      <c r="M1807" s="116">
        <v>211.7</v>
      </c>
      <c r="N1807" s="116">
        <v>221.15</v>
      </c>
      <c r="O1807" s="116">
        <v>210</v>
      </c>
      <c r="P1807" s="116">
        <v>218.65</v>
      </c>
      <c r="Q1807" s="116">
        <v>211.7</v>
      </c>
      <c r="R1807">
        <v>136690</v>
      </c>
    </row>
    <row r="1808" spans="1:18" x14ac:dyDescent="0.25">
      <c r="A1808" s="170">
        <v>44706</v>
      </c>
      <c r="B1808" s="116">
        <v>192.85</v>
      </c>
      <c r="C1808" s="116">
        <v>180.45</v>
      </c>
      <c r="D1808" s="116">
        <v>178.85</v>
      </c>
      <c r="E1808" s="116">
        <v>192.85</v>
      </c>
      <c r="F1808" s="116">
        <v>180.45</v>
      </c>
      <c r="G1808">
        <v>5281</v>
      </c>
      <c r="H1808" s="116"/>
      <c r="I1808" s="116"/>
      <c r="L1808" s="170">
        <v>44676</v>
      </c>
      <c r="M1808" s="116">
        <v>211.8</v>
      </c>
      <c r="N1808" s="116">
        <v>217.75</v>
      </c>
      <c r="O1808" s="116">
        <v>209.3</v>
      </c>
      <c r="P1808" s="116">
        <v>211.2</v>
      </c>
      <c r="Q1808" s="116">
        <v>211.8</v>
      </c>
      <c r="R1808">
        <v>100855</v>
      </c>
    </row>
    <row r="1809" spans="1:18" x14ac:dyDescent="0.25">
      <c r="A1809" s="170">
        <v>44707</v>
      </c>
      <c r="B1809" s="116">
        <v>190.1</v>
      </c>
      <c r="C1809" s="116">
        <v>188.65</v>
      </c>
      <c r="D1809" s="116">
        <v>172.4</v>
      </c>
      <c r="E1809" s="116">
        <v>182.9</v>
      </c>
      <c r="F1809" s="116">
        <v>188.65</v>
      </c>
      <c r="G1809">
        <v>14670</v>
      </c>
      <c r="H1809" s="116"/>
      <c r="I1809" s="116"/>
      <c r="L1809" s="170">
        <v>44677</v>
      </c>
      <c r="M1809" s="116">
        <v>213</v>
      </c>
      <c r="N1809" s="116">
        <v>217.5</v>
      </c>
      <c r="O1809" s="116">
        <v>206.25</v>
      </c>
      <c r="P1809" s="116">
        <v>213.95</v>
      </c>
      <c r="Q1809" s="116">
        <v>213</v>
      </c>
      <c r="R1809">
        <v>136904</v>
      </c>
    </row>
    <row r="1810" spans="1:18" x14ac:dyDescent="0.25">
      <c r="A1810" s="170">
        <v>44708</v>
      </c>
      <c r="B1810" s="116">
        <v>192.8</v>
      </c>
      <c r="C1810" s="116">
        <v>185.45</v>
      </c>
      <c r="D1810" s="116">
        <v>183.65</v>
      </c>
      <c r="E1810" s="116">
        <v>189.1</v>
      </c>
      <c r="F1810" s="116">
        <v>185.45</v>
      </c>
      <c r="G1810">
        <v>4389</v>
      </c>
      <c r="H1810" s="116"/>
      <c r="I1810" s="116"/>
      <c r="L1810" s="170">
        <v>44678</v>
      </c>
      <c r="M1810" s="116">
        <v>207.25</v>
      </c>
      <c r="N1810" s="116">
        <v>213</v>
      </c>
      <c r="O1810" s="116">
        <v>205.1</v>
      </c>
      <c r="P1810" s="116">
        <v>208.9</v>
      </c>
      <c r="Q1810" s="116">
        <v>207.25</v>
      </c>
      <c r="R1810">
        <v>78556</v>
      </c>
    </row>
    <row r="1811" spans="1:18" x14ac:dyDescent="0.25">
      <c r="A1811" s="170">
        <v>44711</v>
      </c>
      <c r="B1811" s="116">
        <v>190.8</v>
      </c>
      <c r="C1811" s="116">
        <v>186.85</v>
      </c>
      <c r="D1811" s="116">
        <v>185.45</v>
      </c>
      <c r="E1811" s="116">
        <v>185.45</v>
      </c>
      <c r="F1811" s="116">
        <v>186.85</v>
      </c>
      <c r="G1811">
        <v>1930</v>
      </c>
      <c r="H1811" s="116"/>
      <c r="I1811" s="116"/>
      <c r="L1811" s="170">
        <v>44679</v>
      </c>
      <c r="M1811" s="116">
        <v>206.7</v>
      </c>
      <c r="N1811" s="116">
        <v>213.85</v>
      </c>
      <c r="O1811" s="116">
        <v>205.3</v>
      </c>
      <c r="P1811" s="116">
        <v>208.9</v>
      </c>
      <c r="Q1811" s="116">
        <v>206.7</v>
      </c>
      <c r="R1811">
        <v>70227</v>
      </c>
    </row>
    <row r="1812" spans="1:18" x14ac:dyDescent="0.25">
      <c r="A1812" s="170">
        <v>44712</v>
      </c>
      <c r="B1812" s="116">
        <v>192.6</v>
      </c>
      <c r="C1812" s="116">
        <v>184.4</v>
      </c>
      <c r="D1812" s="116">
        <v>181.5</v>
      </c>
      <c r="E1812" s="116">
        <v>186.35</v>
      </c>
      <c r="F1812" s="116">
        <v>184.4</v>
      </c>
      <c r="G1812">
        <v>5146</v>
      </c>
      <c r="H1812" s="116"/>
      <c r="I1812" s="116"/>
      <c r="L1812" s="170">
        <v>44680</v>
      </c>
      <c r="M1812" s="116">
        <v>202.4</v>
      </c>
      <c r="N1812" s="116">
        <v>209.55</v>
      </c>
      <c r="O1812" s="116">
        <v>201</v>
      </c>
      <c r="P1812" s="116">
        <v>206.85</v>
      </c>
      <c r="Q1812" s="116">
        <v>202.4</v>
      </c>
      <c r="R1812">
        <v>85590</v>
      </c>
    </row>
    <row r="1813" spans="1:18" x14ac:dyDescent="0.25">
      <c r="A1813" s="170">
        <v>44713</v>
      </c>
      <c r="B1813" s="116">
        <v>189.65</v>
      </c>
      <c r="C1813" s="116">
        <v>186.7</v>
      </c>
      <c r="D1813" s="116">
        <v>185.95</v>
      </c>
      <c r="E1813" s="116">
        <v>187.6</v>
      </c>
      <c r="F1813" s="116">
        <v>186.7</v>
      </c>
      <c r="G1813">
        <v>5038</v>
      </c>
      <c r="H1813" s="116"/>
      <c r="I1813" s="116"/>
      <c r="L1813" s="170">
        <v>44683</v>
      </c>
      <c r="M1813" s="116">
        <v>209.8</v>
      </c>
      <c r="N1813" s="116">
        <v>210.75</v>
      </c>
      <c r="O1813" s="116">
        <v>202</v>
      </c>
      <c r="P1813" s="116">
        <v>202.9</v>
      </c>
      <c r="Q1813" s="116">
        <v>209.8</v>
      </c>
      <c r="R1813">
        <v>206179</v>
      </c>
    </row>
    <row r="1814" spans="1:18" x14ac:dyDescent="0.25">
      <c r="A1814" s="170">
        <v>44714</v>
      </c>
      <c r="B1814" s="116">
        <v>191.2</v>
      </c>
      <c r="C1814" s="116">
        <v>190.15</v>
      </c>
      <c r="D1814" s="116">
        <v>185.9</v>
      </c>
      <c r="E1814" s="116">
        <v>186.95</v>
      </c>
      <c r="F1814" s="116">
        <v>190.15</v>
      </c>
      <c r="G1814">
        <v>2530</v>
      </c>
      <c r="H1814" s="116"/>
      <c r="I1814" s="116"/>
      <c r="L1814" s="170">
        <v>44685</v>
      </c>
      <c r="M1814" s="116">
        <v>195.8</v>
      </c>
      <c r="N1814" s="116">
        <v>212.55</v>
      </c>
      <c r="O1814" s="116">
        <v>193.1</v>
      </c>
      <c r="P1814" s="116">
        <v>208.95</v>
      </c>
      <c r="Q1814" s="116">
        <v>195.8</v>
      </c>
      <c r="R1814">
        <v>170305</v>
      </c>
    </row>
    <row r="1815" spans="1:18" x14ac:dyDescent="0.25">
      <c r="A1815" s="170">
        <v>44715</v>
      </c>
      <c r="B1815" s="116">
        <v>193.65</v>
      </c>
      <c r="C1815" s="116">
        <v>187.55</v>
      </c>
      <c r="D1815" s="116">
        <v>187.4</v>
      </c>
      <c r="E1815" s="116">
        <v>193.65</v>
      </c>
      <c r="F1815" s="116">
        <v>187.55</v>
      </c>
      <c r="G1815">
        <v>2806</v>
      </c>
      <c r="H1815" s="116"/>
      <c r="I1815" s="116"/>
      <c r="L1815" s="170">
        <v>44686</v>
      </c>
      <c r="M1815" s="116">
        <v>196.3</v>
      </c>
      <c r="N1815" s="116">
        <v>204</v>
      </c>
      <c r="O1815" s="116">
        <v>192.45</v>
      </c>
      <c r="P1815" s="116">
        <v>200.15</v>
      </c>
      <c r="Q1815" s="116">
        <v>196.3</v>
      </c>
      <c r="R1815">
        <v>104949</v>
      </c>
    </row>
    <row r="1816" spans="1:18" x14ac:dyDescent="0.25">
      <c r="A1816" s="170">
        <v>44718</v>
      </c>
      <c r="B1816" s="116">
        <v>188.35</v>
      </c>
      <c r="C1816" s="116">
        <v>187.05</v>
      </c>
      <c r="D1816" s="116">
        <v>185.35</v>
      </c>
      <c r="E1816" s="116">
        <v>187.75</v>
      </c>
      <c r="F1816" s="116">
        <v>187.05</v>
      </c>
      <c r="G1816">
        <v>2064</v>
      </c>
      <c r="H1816" s="116"/>
      <c r="I1816" s="116"/>
      <c r="L1816" s="170">
        <v>44687</v>
      </c>
      <c r="M1816" s="116">
        <v>199.35</v>
      </c>
      <c r="N1816" s="116">
        <v>202</v>
      </c>
      <c r="O1816" s="116">
        <v>188.4</v>
      </c>
      <c r="P1816" s="116">
        <v>194.5</v>
      </c>
      <c r="Q1816" s="116">
        <v>199.35</v>
      </c>
      <c r="R1816">
        <v>148920</v>
      </c>
    </row>
    <row r="1817" spans="1:18" x14ac:dyDescent="0.25">
      <c r="A1817" s="170">
        <v>44719</v>
      </c>
      <c r="B1817" s="116">
        <v>190.85</v>
      </c>
      <c r="C1817" s="116">
        <v>186.25</v>
      </c>
      <c r="D1817" s="116">
        <v>184.85</v>
      </c>
      <c r="E1817" s="116">
        <v>188.1</v>
      </c>
      <c r="F1817" s="116">
        <v>186.25</v>
      </c>
      <c r="G1817">
        <v>1832</v>
      </c>
      <c r="H1817" s="116"/>
      <c r="I1817" s="116"/>
      <c r="L1817" s="170">
        <v>44690</v>
      </c>
      <c r="M1817" s="116">
        <v>190.7</v>
      </c>
      <c r="N1817" s="116">
        <v>206.15</v>
      </c>
      <c r="O1817" s="116">
        <v>189.75</v>
      </c>
      <c r="P1817" s="116">
        <v>204</v>
      </c>
      <c r="Q1817" s="116">
        <v>190.7</v>
      </c>
      <c r="R1817">
        <v>311573</v>
      </c>
    </row>
    <row r="1818" spans="1:18" x14ac:dyDescent="0.25">
      <c r="A1818" s="170">
        <v>44720</v>
      </c>
      <c r="B1818" s="116">
        <v>188</v>
      </c>
      <c r="C1818" s="116">
        <v>180.05</v>
      </c>
      <c r="D1818" s="116">
        <v>177.7</v>
      </c>
      <c r="E1818" s="116">
        <v>187.6</v>
      </c>
      <c r="F1818" s="116">
        <v>180.05</v>
      </c>
      <c r="G1818">
        <v>5300</v>
      </c>
      <c r="H1818" s="116"/>
      <c r="I1818" s="116"/>
      <c r="L1818" s="170">
        <v>44691</v>
      </c>
      <c r="M1818" s="116">
        <v>187.2</v>
      </c>
      <c r="N1818" s="116">
        <v>196.85</v>
      </c>
      <c r="O1818" s="116">
        <v>185.5</v>
      </c>
      <c r="P1818" s="116">
        <v>191.25</v>
      </c>
      <c r="Q1818" s="116">
        <v>187.2</v>
      </c>
      <c r="R1818">
        <v>125365</v>
      </c>
    </row>
    <row r="1819" spans="1:18" x14ac:dyDescent="0.25">
      <c r="A1819" s="170">
        <v>44721</v>
      </c>
      <c r="B1819" s="116">
        <v>183.2</v>
      </c>
      <c r="C1819" s="116">
        <v>181.9</v>
      </c>
      <c r="D1819" s="116">
        <v>179.95</v>
      </c>
      <c r="E1819" s="116">
        <v>180.55</v>
      </c>
      <c r="F1819" s="116">
        <v>181.9</v>
      </c>
      <c r="G1819">
        <v>3676</v>
      </c>
      <c r="H1819" s="116"/>
      <c r="I1819" s="116"/>
      <c r="L1819" s="170">
        <v>44692</v>
      </c>
      <c r="M1819" s="116">
        <v>188.75</v>
      </c>
      <c r="N1819" s="116">
        <v>193.35</v>
      </c>
      <c r="O1819" s="116">
        <v>178.3</v>
      </c>
      <c r="P1819" s="116">
        <v>184</v>
      </c>
      <c r="Q1819" s="116">
        <v>188.75</v>
      </c>
      <c r="R1819">
        <v>210046</v>
      </c>
    </row>
    <row r="1820" spans="1:18" x14ac:dyDescent="0.25">
      <c r="A1820" s="170">
        <v>44722</v>
      </c>
      <c r="B1820" s="116">
        <v>182.2</v>
      </c>
      <c r="C1820" s="116">
        <v>180.7</v>
      </c>
      <c r="D1820" s="116">
        <v>179.55</v>
      </c>
      <c r="E1820" s="116">
        <v>180.05</v>
      </c>
      <c r="F1820" s="116">
        <v>180.7</v>
      </c>
      <c r="G1820">
        <v>4873</v>
      </c>
      <c r="H1820" s="116"/>
      <c r="I1820" s="116"/>
      <c r="L1820" s="170">
        <v>44693</v>
      </c>
      <c r="M1820" s="116">
        <v>179.05</v>
      </c>
      <c r="N1820" s="116">
        <v>188</v>
      </c>
      <c r="O1820" s="116">
        <v>178.1</v>
      </c>
      <c r="P1820" s="116">
        <v>187.65</v>
      </c>
      <c r="Q1820" s="116">
        <v>179.05</v>
      </c>
      <c r="R1820">
        <v>104464</v>
      </c>
    </row>
    <row r="1821" spans="1:18" x14ac:dyDescent="0.25">
      <c r="A1821" s="170">
        <v>44725</v>
      </c>
      <c r="B1821" s="116">
        <v>181.35</v>
      </c>
      <c r="C1821" s="116">
        <v>174.3</v>
      </c>
      <c r="D1821" s="116">
        <v>171.75</v>
      </c>
      <c r="E1821" s="116">
        <v>181.35</v>
      </c>
      <c r="F1821" s="116">
        <v>174.3</v>
      </c>
      <c r="G1821">
        <v>1120</v>
      </c>
      <c r="H1821" s="116"/>
      <c r="I1821" s="116"/>
      <c r="L1821" s="170">
        <v>44694</v>
      </c>
      <c r="M1821" s="116">
        <v>181</v>
      </c>
      <c r="N1821" s="116">
        <v>188</v>
      </c>
      <c r="O1821" s="116">
        <v>178.6</v>
      </c>
      <c r="P1821" s="116">
        <v>186</v>
      </c>
      <c r="Q1821" s="116">
        <v>181</v>
      </c>
      <c r="R1821">
        <v>86789</v>
      </c>
    </row>
    <row r="1822" spans="1:18" x14ac:dyDescent="0.25">
      <c r="A1822" s="170">
        <v>44726</v>
      </c>
      <c r="B1822" s="116">
        <v>176.5</v>
      </c>
      <c r="C1822" s="116">
        <v>173.85</v>
      </c>
      <c r="D1822" s="116">
        <v>169.85</v>
      </c>
      <c r="E1822" s="116">
        <v>175</v>
      </c>
      <c r="F1822" s="116">
        <v>173.85</v>
      </c>
      <c r="G1822">
        <v>3475</v>
      </c>
      <c r="H1822" s="116"/>
      <c r="I1822" s="116"/>
      <c r="L1822" s="170">
        <v>44697</v>
      </c>
      <c r="M1822" s="116">
        <v>195.45</v>
      </c>
      <c r="N1822" s="116">
        <v>199</v>
      </c>
      <c r="O1822" s="116">
        <v>181.6</v>
      </c>
      <c r="P1822" s="116">
        <v>181.6</v>
      </c>
      <c r="Q1822" s="116">
        <v>195.45</v>
      </c>
      <c r="R1822">
        <v>411762</v>
      </c>
    </row>
    <row r="1823" spans="1:18" x14ac:dyDescent="0.25">
      <c r="A1823" s="170">
        <v>44727</v>
      </c>
      <c r="B1823" s="116">
        <v>176.15</v>
      </c>
      <c r="C1823" s="116">
        <v>174.75</v>
      </c>
      <c r="D1823" s="116">
        <v>173.15</v>
      </c>
      <c r="E1823" s="116">
        <v>175</v>
      </c>
      <c r="F1823" s="116">
        <v>174.75</v>
      </c>
      <c r="G1823">
        <v>395</v>
      </c>
      <c r="H1823" s="116"/>
      <c r="I1823" s="116"/>
      <c r="L1823" s="170">
        <v>44698</v>
      </c>
      <c r="M1823" s="116">
        <v>199.3</v>
      </c>
      <c r="N1823" s="116">
        <v>200.5</v>
      </c>
      <c r="O1823" s="116">
        <v>192.55</v>
      </c>
      <c r="P1823" s="116">
        <v>196</v>
      </c>
      <c r="Q1823" s="116">
        <v>199.3</v>
      </c>
      <c r="R1823">
        <v>101865</v>
      </c>
    </row>
    <row r="1824" spans="1:18" x14ac:dyDescent="0.25">
      <c r="A1824" s="170">
        <v>44728</v>
      </c>
      <c r="B1824" s="116">
        <v>177.6</v>
      </c>
      <c r="C1824" s="116">
        <v>166.7</v>
      </c>
      <c r="D1824" s="116">
        <v>165.6</v>
      </c>
      <c r="E1824" s="116">
        <v>174.8</v>
      </c>
      <c r="F1824" s="116">
        <v>166.7</v>
      </c>
      <c r="G1824">
        <v>3535</v>
      </c>
      <c r="H1824" s="116"/>
      <c r="I1824" s="116"/>
      <c r="L1824" s="170">
        <v>44699</v>
      </c>
      <c r="M1824" s="116">
        <v>202.85</v>
      </c>
      <c r="N1824" s="116">
        <v>207.55</v>
      </c>
      <c r="O1824" s="116">
        <v>197.6</v>
      </c>
      <c r="P1824" s="116">
        <v>199.5</v>
      </c>
      <c r="Q1824" s="116">
        <v>202.85</v>
      </c>
      <c r="R1824">
        <v>288731</v>
      </c>
    </row>
    <row r="1825" spans="1:18" x14ac:dyDescent="0.25">
      <c r="A1825" s="170">
        <v>44729</v>
      </c>
      <c r="B1825" s="116">
        <v>172.45</v>
      </c>
      <c r="C1825" s="116">
        <v>169.55</v>
      </c>
      <c r="D1825" s="116">
        <v>164.1</v>
      </c>
      <c r="E1825" s="116">
        <v>165.6</v>
      </c>
      <c r="F1825" s="116">
        <v>169.55</v>
      </c>
      <c r="G1825">
        <v>1419</v>
      </c>
      <c r="H1825" s="116"/>
      <c r="I1825" s="116"/>
      <c r="L1825" s="170">
        <v>44700</v>
      </c>
      <c r="M1825" s="116">
        <v>193.15</v>
      </c>
      <c r="N1825" s="116">
        <v>201.5</v>
      </c>
      <c r="O1825" s="116">
        <v>191.55</v>
      </c>
      <c r="P1825" s="116">
        <v>199.95</v>
      </c>
      <c r="Q1825" s="116">
        <v>193.15</v>
      </c>
      <c r="R1825">
        <v>109206</v>
      </c>
    </row>
    <row r="1826" spans="1:18" x14ac:dyDescent="0.25">
      <c r="A1826" s="170">
        <v>44732</v>
      </c>
      <c r="B1826" s="116">
        <v>172.35</v>
      </c>
      <c r="C1826" s="116">
        <v>161.69999999999999</v>
      </c>
      <c r="D1826" s="116">
        <v>160</v>
      </c>
      <c r="E1826" s="116">
        <v>166.05</v>
      </c>
      <c r="F1826" s="116">
        <v>161.69999999999999</v>
      </c>
      <c r="G1826">
        <v>9001</v>
      </c>
      <c r="H1826" s="116"/>
      <c r="I1826" s="116"/>
      <c r="L1826" s="170">
        <v>44701</v>
      </c>
      <c r="M1826" s="116">
        <v>202.15</v>
      </c>
      <c r="N1826" s="116">
        <v>204.9</v>
      </c>
      <c r="O1826" s="116">
        <v>195.35</v>
      </c>
      <c r="P1826" s="116">
        <v>196.65</v>
      </c>
      <c r="Q1826" s="116">
        <v>202.15</v>
      </c>
      <c r="R1826">
        <v>97676</v>
      </c>
    </row>
    <row r="1827" spans="1:18" x14ac:dyDescent="0.25">
      <c r="A1827" s="170">
        <v>44733</v>
      </c>
      <c r="B1827" s="116">
        <v>173</v>
      </c>
      <c r="C1827" s="116">
        <v>172.7</v>
      </c>
      <c r="D1827" s="116">
        <v>164.8</v>
      </c>
      <c r="E1827" s="116">
        <v>165</v>
      </c>
      <c r="F1827" s="116">
        <v>172.7</v>
      </c>
      <c r="G1827">
        <v>2651</v>
      </c>
      <c r="H1827" s="116"/>
      <c r="I1827" s="116"/>
      <c r="L1827" s="170">
        <v>44704</v>
      </c>
      <c r="M1827" s="116">
        <v>196</v>
      </c>
      <c r="N1827" s="116">
        <v>203</v>
      </c>
      <c r="O1827" s="116">
        <v>194.3</v>
      </c>
      <c r="P1827" s="116">
        <v>202</v>
      </c>
      <c r="Q1827" s="116">
        <v>196</v>
      </c>
      <c r="R1827">
        <v>86906</v>
      </c>
    </row>
    <row r="1828" spans="1:18" x14ac:dyDescent="0.25">
      <c r="A1828" s="170">
        <v>44734</v>
      </c>
      <c r="B1828" s="116">
        <v>172.65</v>
      </c>
      <c r="C1828" s="116">
        <v>171.55</v>
      </c>
      <c r="D1828" s="116">
        <v>166.55</v>
      </c>
      <c r="E1828" s="116">
        <v>172.5</v>
      </c>
      <c r="F1828" s="116">
        <v>171.55</v>
      </c>
      <c r="G1828">
        <v>2017</v>
      </c>
      <c r="H1828" s="116"/>
      <c r="I1828" s="116"/>
      <c r="L1828" s="170">
        <v>44705</v>
      </c>
      <c r="M1828" s="116">
        <v>190.3</v>
      </c>
      <c r="N1828" s="116">
        <v>198.4</v>
      </c>
      <c r="O1828" s="116">
        <v>189.55</v>
      </c>
      <c r="P1828" s="116">
        <v>197</v>
      </c>
      <c r="Q1828" s="116">
        <v>190.3</v>
      </c>
      <c r="R1828">
        <v>70340</v>
      </c>
    </row>
    <row r="1829" spans="1:18" x14ac:dyDescent="0.25">
      <c r="A1829" s="170">
        <v>44735</v>
      </c>
      <c r="B1829" s="116">
        <v>176.9</v>
      </c>
      <c r="C1829" s="116">
        <v>175.25</v>
      </c>
      <c r="D1829" s="116">
        <v>171.9</v>
      </c>
      <c r="E1829" s="116">
        <v>172.5</v>
      </c>
      <c r="F1829" s="116">
        <v>175.25</v>
      </c>
      <c r="G1829">
        <v>387</v>
      </c>
      <c r="H1829" s="116"/>
      <c r="I1829" s="116"/>
      <c r="L1829" s="170">
        <v>44706</v>
      </c>
      <c r="M1829" s="116">
        <v>180.45</v>
      </c>
      <c r="N1829" s="116">
        <v>193.4</v>
      </c>
      <c r="O1829" s="116">
        <v>179.4</v>
      </c>
      <c r="P1829" s="116">
        <v>193.4</v>
      </c>
      <c r="Q1829" s="116">
        <v>180.45</v>
      </c>
      <c r="R1829">
        <v>63274</v>
      </c>
    </row>
    <row r="1830" spans="1:18" x14ac:dyDescent="0.25">
      <c r="A1830" s="170">
        <v>44736</v>
      </c>
      <c r="B1830" s="116">
        <v>183.15</v>
      </c>
      <c r="C1830" s="116">
        <v>181.65</v>
      </c>
      <c r="D1830" s="116">
        <v>174.95</v>
      </c>
      <c r="E1830" s="116">
        <v>175</v>
      </c>
      <c r="F1830" s="116">
        <v>181.65</v>
      </c>
      <c r="G1830">
        <v>995</v>
      </c>
      <c r="H1830" s="116"/>
      <c r="I1830" s="116"/>
      <c r="L1830" s="170">
        <v>44707</v>
      </c>
      <c r="M1830" s="116">
        <v>188.5</v>
      </c>
      <c r="N1830" s="116">
        <v>190</v>
      </c>
      <c r="O1830" s="116">
        <v>176.45</v>
      </c>
      <c r="P1830" s="116">
        <v>184.85</v>
      </c>
      <c r="Q1830" s="116">
        <v>188.5</v>
      </c>
      <c r="R1830">
        <v>101278</v>
      </c>
    </row>
    <row r="1831" spans="1:18" x14ac:dyDescent="0.25">
      <c r="A1831" s="170">
        <v>44739</v>
      </c>
      <c r="B1831" s="116">
        <v>193.55</v>
      </c>
      <c r="C1831" s="116">
        <v>190.8</v>
      </c>
      <c r="D1831" s="116">
        <v>184</v>
      </c>
      <c r="E1831" s="116">
        <v>184.4</v>
      </c>
      <c r="F1831" s="116">
        <v>190.8</v>
      </c>
      <c r="G1831">
        <v>1496</v>
      </c>
      <c r="H1831" s="116"/>
      <c r="I1831" s="116"/>
      <c r="L1831" s="170">
        <v>44708</v>
      </c>
      <c r="M1831" s="116">
        <v>186</v>
      </c>
      <c r="N1831" s="116">
        <v>194.85</v>
      </c>
      <c r="O1831" s="116">
        <v>183.7</v>
      </c>
      <c r="P1831" s="116">
        <v>188.1</v>
      </c>
      <c r="Q1831" s="116">
        <v>186</v>
      </c>
      <c r="R1831">
        <v>53892</v>
      </c>
    </row>
    <row r="1832" spans="1:18" x14ac:dyDescent="0.25">
      <c r="A1832" s="170">
        <v>44740</v>
      </c>
      <c r="B1832" s="116">
        <v>203.65</v>
      </c>
      <c r="C1832" s="116">
        <v>198.15</v>
      </c>
      <c r="D1832" s="116">
        <v>188.7</v>
      </c>
      <c r="E1832" s="116">
        <v>190.05</v>
      </c>
      <c r="F1832" s="116">
        <v>198.15</v>
      </c>
      <c r="G1832">
        <v>11406</v>
      </c>
      <c r="H1832" s="116"/>
      <c r="I1832" s="116"/>
      <c r="L1832" s="170">
        <v>44711</v>
      </c>
      <c r="M1832" s="116">
        <v>187.1</v>
      </c>
      <c r="N1832" s="116">
        <v>191.5</v>
      </c>
      <c r="O1832" s="116">
        <v>186.55</v>
      </c>
      <c r="P1832" s="116">
        <v>188</v>
      </c>
      <c r="Q1832" s="116">
        <v>187.1</v>
      </c>
      <c r="R1832">
        <v>27067</v>
      </c>
    </row>
    <row r="1833" spans="1:18" x14ac:dyDescent="0.25">
      <c r="A1833" s="170">
        <v>44741</v>
      </c>
      <c r="B1833" s="116">
        <v>200.85</v>
      </c>
      <c r="C1833" s="116">
        <v>193.2</v>
      </c>
      <c r="D1833" s="116">
        <v>192.25</v>
      </c>
      <c r="E1833" s="116">
        <v>198.9</v>
      </c>
      <c r="F1833" s="116">
        <v>193.2</v>
      </c>
      <c r="G1833">
        <v>2335</v>
      </c>
      <c r="H1833" s="116"/>
      <c r="I1833" s="116"/>
      <c r="L1833" s="170">
        <v>44712</v>
      </c>
      <c r="M1833" s="116">
        <v>186.55</v>
      </c>
      <c r="N1833" s="116">
        <v>190.35</v>
      </c>
      <c r="O1833" s="116">
        <v>185.05</v>
      </c>
      <c r="P1833" s="116">
        <v>187.15</v>
      </c>
      <c r="Q1833" s="116">
        <v>186.55</v>
      </c>
      <c r="R1833">
        <v>37596</v>
      </c>
    </row>
    <row r="1834" spans="1:18" x14ac:dyDescent="0.25">
      <c r="A1834" s="170">
        <v>44742</v>
      </c>
      <c r="B1834" s="116">
        <v>199</v>
      </c>
      <c r="C1834" s="116">
        <v>187.8</v>
      </c>
      <c r="D1834" s="116">
        <v>185.95</v>
      </c>
      <c r="E1834" s="116">
        <v>199</v>
      </c>
      <c r="F1834" s="116">
        <v>187.8</v>
      </c>
      <c r="G1834">
        <v>4019</v>
      </c>
      <c r="H1834" s="116"/>
      <c r="I1834" s="116"/>
      <c r="L1834" s="170">
        <v>44713</v>
      </c>
      <c r="M1834" s="116">
        <v>187.15</v>
      </c>
      <c r="N1834" s="116">
        <v>189.85</v>
      </c>
      <c r="O1834" s="116">
        <v>186</v>
      </c>
      <c r="P1834" s="116">
        <v>186.05</v>
      </c>
      <c r="Q1834" s="116">
        <v>187.15</v>
      </c>
      <c r="R1834">
        <v>19598</v>
      </c>
    </row>
    <row r="1835" spans="1:18" x14ac:dyDescent="0.25">
      <c r="A1835" s="170">
        <v>44743</v>
      </c>
      <c r="B1835" s="116">
        <v>203.4</v>
      </c>
      <c r="C1835" s="116">
        <v>198.8</v>
      </c>
      <c r="D1835" s="116">
        <v>190</v>
      </c>
      <c r="E1835" s="116">
        <v>190.95</v>
      </c>
      <c r="F1835" s="116">
        <v>198.8</v>
      </c>
      <c r="G1835">
        <v>6569</v>
      </c>
      <c r="H1835" s="116"/>
      <c r="I1835" s="116"/>
      <c r="L1835" s="170">
        <v>44714</v>
      </c>
      <c r="M1835" s="116">
        <v>190.4</v>
      </c>
      <c r="N1835" s="116">
        <v>192</v>
      </c>
      <c r="O1835" s="116">
        <v>185.5</v>
      </c>
      <c r="P1835" s="116">
        <v>185.5</v>
      </c>
      <c r="Q1835" s="116">
        <v>190.4</v>
      </c>
      <c r="R1835">
        <v>30323</v>
      </c>
    </row>
    <row r="1836" spans="1:18" x14ac:dyDescent="0.25">
      <c r="A1836" s="170">
        <v>44746</v>
      </c>
      <c r="B1836" s="116">
        <v>207</v>
      </c>
      <c r="C1836" s="116">
        <v>202.65</v>
      </c>
      <c r="D1836" s="116">
        <v>193.35</v>
      </c>
      <c r="E1836" s="116">
        <v>204</v>
      </c>
      <c r="F1836" s="116">
        <v>202.65</v>
      </c>
      <c r="G1836">
        <v>9597</v>
      </c>
      <c r="H1836" s="116"/>
      <c r="I1836" s="116"/>
      <c r="L1836" s="170">
        <v>44715</v>
      </c>
      <c r="M1836" s="116">
        <v>188.1</v>
      </c>
      <c r="N1836" s="116">
        <v>194.7</v>
      </c>
      <c r="O1836" s="116">
        <v>186.25</v>
      </c>
      <c r="P1836" s="116">
        <v>194.7</v>
      </c>
      <c r="Q1836" s="116">
        <v>188.1</v>
      </c>
      <c r="R1836">
        <v>32186</v>
      </c>
    </row>
    <row r="1837" spans="1:18" x14ac:dyDescent="0.25">
      <c r="A1837" s="170">
        <v>44747</v>
      </c>
      <c r="B1837" s="116">
        <v>203.65</v>
      </c>
      <c r="C1837" s="116">
        <v>194.6</v>
      </c>
      <c r="D1837" s="116">
        <v>193.15</v>
      </c>
      <c r="E1837" s="116">
        <v>201.15</v>
      </c>
      <c r="F1837" s="116">
        <v>194.6</v>
      </c>
      <c r="G1837">
        <v>9288</v>
      </c>
      <c r="H1837" s="116"/>
      <c r="I1837" s="116"/>
      <c r="L1837" s="170">
        <v>44718</v>
      </c>
      <c r="M1837" s="116">
        <v>187.3</v>
      </c>
      <c r="N1837" s="116">
        <v>188.4</v>
      </c>
      <c r="O1837" s="116">
        <v>185.05</v>
      </c>
      <c r="P1837" s="116">
        <v>187.2</v>
      </c>
      <c r="Q1837" s="116">
        <v>187.3</v>
      </c>
      <c r="R1837">
        <v>27462</v>
      </c>
    </row>
    <row r="1838" spans="1:18" x14ac:dyDescent="0.25">
      <c r="A1838" s="170">
        <v>44748</v>
      </c>
      <c r="B1838" s="116">
        <v>205.1</v>
      </c>
      <c r="C1838" s="116">
        <v>195.35</v>
      </c>
      <c r="D1838" s="116">
        <v>186.6</v>
      </c>
      <c r="E1838" s="116">
        <v>205.1</v>
      </c>
      <c r="F1838" s="116">
        <v>195.35</v>
      </c>
      <c r="G1838">
        <v>6859</v>
      </c>
      <c r="H1838" s="116"/>
      <c r="I1838" s="116"/>
      <c r="L1838" s="170">
        <v>44719</v>
      </c>
      <c r="M1838" s="116">
        <v>186.25</v>
      </c>
      <c r="N1838" s="116">
        <v>190.5</v>
      </c>
      <c r="O1838" s="116">
        <v>184.45</v>
      </c>
      <c r="P1838" s="116">
        <v>189.5</v>
      </c>
      <c r="Q1838" s="116">
        <v>186.25</v>
      </c>
      <c r="R1838">
        <v>28417</v>
      </c>
    </row>
    <row r="1839" spans="1:18" x14ac:dyDescent="0.25">
      <c r="A1839" s="170">
        <v>44749</v>
      </c>
      <c r="B1839" s="116">
        <v>201.1</v>
      </c>
      <c r="C1839" s="116">
        <v>195.25</v>
      </c>
      <c r="D1839" s="116">
        <v>193.6</v>
      </c>
      <c r="E1839" s="116">
        <v>196.75</v>
      </c>
      <c r="F1839" s="116">
        <v>195.25</v>
      </c>
      <c r="G1839">
        <v>2064</v>
      </c>
      <c r="H1839" s="116"/>
      <c r="I1839" s="116"/>
      <c r="L1839" s="170">
        <v>44720</v>
      </c>
      <c r="M1839" s="116">
        <v>179.9</v>
      </c>
      <c r="N1839" s="116">
        <v>190</v>
      </c>
      <c r="O1839" s="116">
        <v>179</v>
      </c>
      <c r="P1839" s="116">
        <v>188.95</v>
      </c>
      <c r="Q1839" s="116">
        <v>179.9</v>
      </c>
      <c r="R1839">
        <v>52363</v>
      </c>
    </row>
    <row r="1840" spans="1:18" x14ac:dyDescent="0.25">
      <c r="A1840" s="170">
        <v>44750</v>
      </c>
      <c r="B1840" s="116">
        <v>199.5</v>
      </c>
      <c r="C1840" s="116">
        <v>196</v>
      </c>
      <c r="D1840" s="116">
        <v>194.05</v>
      </c>
      <c r="E1840" s="116">
        <v>197.05</v>
      </c>
      <c r="F1840" s="116">
        <v>196</v>
      </c>
      <c r="G1840">
        <v>2108</v>
      </c>
      <c r="H1840" s="116"/>
      <c r="I1840" s="116"/>
      <c r="L1840" s="170">
        <v>44721</v>
      </c>
      <c r="M1840" s="116">
        <v>181.65</v>
      </c>
      <c r="N1840" s="116">
        <v>184.9</v>
      </c>
      <c r="O1840" s="116">
        <v>175</v>
      </c>
      <c r="P1840" s="116">
        <v>181</v>
      </c>
      <c r="Q1840" s="116">
        <v>181.65</v>
      </c>
      <c r="R1840">
        <v>19440</v>
      </c>
    </row>
    <row r="1841" spans="1:18" x14ac:dyDescent="0.25">
      <c r="A1841" s="170">
        <v>44753</v>
      </c>
      <c r="B1841" s="116">
        <v>197.8</v>
      </c>
      <c r="C1841" s="116">
        <v>196.75</v>
      </c>
      <c r="D1841" s="116">
        <v>195.15</v>
      </c>
      <c r="E1841" s="116">
        <v>196.5</v>
      </c>
      <c r="F1841" s="116">
        <v>196.75</v>
      </c>
      <c r="G1841">
        <v>2033</v>
      </c>
      <c r="H1841" s="116"/>
      <c r="I1841" s="116"/>
      <c r="L1841" s="170">
        <v>44722</v>
      </c>
      <c r="M1841" s="116">
        <v>181.1</v>
      </c>
      <c r="N1841" s="116">
        <v>182.45</v>
      </c>
      <c r="O1841" s="116">
        <v>178</v>
      </c>
      <c r="P1841" s="116">
        <v>178</v>
      </c>
      <c r="Q1841" s="116">
        <v>181.1</v>
      </c>
      <c r="R1841">
        <v>15571</v>
      </c>
    </row>
    <row r="1842" spans="1:18" x14ac:dyDescent="0.25">
      <c r="A1842" s="170">
        <v>44754</v>
      </c>
      <c r="B1842" s="116">
        <v>195.1</v>
      </c>
      <c r="C1842" s="116">
        <v>192</v>
      </c>
      <c r="D1842" s="116">
        <v>191.2</v>
      </c>
      <c r="E1842" s="116">
        <v>193.4</v>
      </c>
      <c r="F1842" s="116">
        <v>192</v>
      </c>
      <c r="G1842">
        <v>1990</v>
      </c>
      <c r="H1842" s="116"/>
      <c r="I1842" s="116"/>
      <c r="L1842" s="170">
        <v>44725</v>
      </c>
      <c r="M1842" s="116">
        <v>173.45</v>
      </c>
      <c r="N1842" s="116">
        <v>180</v>
      </c>
      <c r="O1842" s="116">
        <v>172.1</v>
      </c>
      <c r="P1842" s="116">
        <v>180</v>
      </c>
      <c r="Q1842" s="116">
        <v>173.45</v>
      </c>
      <c r="R1842">
        <v>26362</v>
      </c>
    </row>
    <row r="1843" spans="1:18" x14ac:dyDescent="0.25">
      <c r="A1843" s="170">
        <v>44755</v>
      </c>
      <c r="B1843" s="116">
        <v>200.45</v>
      </c>
      <c r="C1843" s="116">
        <v>194.05</v>
      </c>
      <c r="D1843" s="116">
        <v>193.4</v>
      </c>
      <c r="E1843" s="116">
        <v>195.95</v>
      </c>
      <c r="F1843" s="116">
        <v>194.05</v>
      </c>
      <c r="G1843">
        <v>4868</v>
      </c>
      <c r="H1843" s="116"/>
      <c r="I1843" s="116"/>
      <c r="L1843" s="170">
        <v>44726</v>
      </c>
      <c r="M1843" s="116">
        <v>174.5</v>
      </c>
      <c r="N1843" s="116">
        <v>176.8</v>
      </c>
      <c r="O1843" s="116">
        <v>168.4</v>
      </c>
      <c r="P1843" s="116">
        <v>173.45</v>
      </c>
      <c r="Q1843" s="116">
        <v>174.5</v>
      </c>
      <c r="R1843">
        <v>37573</v>
      </c>
    </row>
    <row r="1844" spans="1:18" x14ac:dyDescent="0.25">
      <c r="A1844" s="170">
        <v>44756</v>
      </c>
      <c r="B1844" s="116">
        <v>196.25</v>
      </c>
      <c r="C1844" s="116">
        <v>194</v>
      </c>
      <c r="D1844" s="116">
        <v>186.6</v>
      </c>
      <c r="E1844" s="116">
        <v>196.25</v>
      </c>
      <c r="F1844" s="116">
        <v>194</v>
      </c>
      <c r="G1844">
        <v>5077</v>
      </c>
      <c r="H1844" s="116"/>
      <c r="I1844" s="116"/>
      <c r="L1844" s="170">
        <v>44727</v>
      </c>
      <c r="M1844" s="116">
        <v>174.65</v>
      </c>
      <c r="N1844" s="116">
        <v>178.6</v>
      </c>
      <c r="O1844" s="116">
        <v>173.1</v>
      </c>
      <c r="P1844" s="116">
        <v>174.55</v>
      </c>
      <c r="Q1844" s="116">
        <v>174.65</v>
      </c>
      <c r="R1844">
        <v>33040</v>
      </c>
    </row>
    <row r="1845" spans="1:18" x14ac:dyDescent="0.25">
      <c r="A1845" s="170">
        <v>44757</v>
      </c>
      <c r="B1845" s="116">
        <v>197.45</v>
      </c>
      <c r="C1845" s="116">
        <v>195.75</v>
      </c>
      <c r="D1845" s="116">
        <v>192.1</v>
      </c>
      <c r="E1845" s="116">
        <v>192.1</v>
      </c>
      <c r="F1845" s="116">
        <v>195.75</v>
      </c>
      <c r="G1845">
        <v>7139</v>
      </c>
      <c r="H1845" s="116"/>
      <c r="I1845" s="116"/>
      <c r="L1845" s="170">
        <v>44728</v>
      </c>
      <c r="M1845" s="116">
        <v>166.9</v>
      </c>
      <c r="N1845" s="116">
        <v>178.65</v>
      </c>
      <c r="O1845" s="116">
        <v>166</v>
      </c>
      <c r="P1845" s="116">
        <v>178.65</v>
      </c>
      <c r="Q1845" s="116">
        <v>166.9</v>
      </c>
      <c r="R1845">
        <v>43508</v>
      </c>
    </row>
    <row r="1846" spans="1:18" x14ac:dyDescent="0.25">
      <c r="A1846" s="170">
        <v>44760</v>
      </c>
      <c r="B1846" s="116">
        <v>206</v>
      </c>
      <c r="C1846" s="116">
        <v>203.2</v>
      </c>
      <c r="D1846" s="116">
        <v>197</v>
      </c>
      <c r="E1846" s="116">
        <v>198.65</v>
      </c>
      <c r="F1846" s="116">
        <v>203.2</v>
      </c>
      <c r="G1846">
        <v>12694</v>
      </c>
      <c r="H1846" s="116"/>
      <c r="I1846" s="116"/>
      <c r="L1846" s="170">
        <v>44729</v>
      </c>
      <c r="M1846" s="116">
        <v>171</v>
      </c>
      <c r="N1846" s="116">
        <v>174.5</v>
      </c>
      <c r="O1846" s="116">
        <v>163.1</v>
      </c>
      <c r="P1846" s="116">
        <v>169.5</v>
      </c>
      <c r="Q1846" s="116">
        <v>171</v>
      </c>
      <c r="R1846">
        <v>40283</v>
      </c>
    </row>
    <row r="1847" spans="1:18" x14ac:dyDescent="0.25">
      <c r="A1847" s="170">
        <v>44761</v>
      </c>
      <c r="B1847" s="116">
        <v>213.55</v>
      </c>
      <c r="C1847" s="116">
        <v>210.3</v>
      </c>
      <c r="D1847" s="116">
        <v>203.75</v>
      </c>
      <c r="E1847" s="116">
        <v>204.4</v>
      </c>
      <c r="F1847" s="116">
        <v>210.3</v>
      </c>
      <c r="G1847">
        <v>6642</v>
      </c>
      <c r="H1847" s="116"/>
      <c r="I1847" s="116"/>
      <c r="L1847" s="170">
        <v>44732</v>
      </c>
      <c r="M1847" s="116">
        <v>162.55000000000001</v>
      </c>
      <c r="N1847" s="116">
        <v>173.2</v>
      </c>
      <c r="O1847" s="116">
        <v>160</v>
      </c>
      <c r="P1847" s="116">
        <v>171</v>
      </c>
      <c r="Q1847" s="116">
        <v>162.55000000000001</v>
      </c>
      <c r="R1847">
        <v>79024</v>
      </c>
    </row>
    <row r="1848" spans="1:18" x14ac:dyDescent="0.25">
      <c r="A1848" s="170">
        <v>44762</v>
      </c>
      <c r="B1848" s="116">
        <v>216</v>
      </c>
      <c r="C1848" s="116">
        <v>209.1</v>
      </c>
      <c r="D1848" s="116">
        <v>208.1</v>
      </c>
      <c r="E1848" s="116">
        <v>212.05</v>
      </c>
      <c r="F1848" s="116">
        <v>209.1</v>
      </c>
      <c r="G1848">
        <v>9573</v>
      </c>
      <c r="H1848" s="116"/>
      <c r="I1848" s="116"/>
      <c r="L1848" s="170">
        <v>44733</v>
      </c>
      <c r="M1848" s="116">
        <v>172.3</v>
      </c>
      <c r="N1848" s="116">
        <v>173</v>
      </c>
      <c r="O1848" s="116">
        <v>161.55000000000001</v>
      </c>
      <c r="P1848" s="116">
        <v>161.55000000000001</v>
      </c>
      <c r="Q1848" s="116">
        <v>172.3</v>
      </c>
      <c r="R1848">
        <v>51060</v>
      </c>
    </row>
    <row r="1849" spans="1:18" x14ac:dyDescent="0.25">
      <c r="A1849" s="170">
        <v>44763</v>
      </c>
      <c r="B1849" s="116">
        <v>216</v>
      </c>
      <c r="C1849" s="116">
        <v>214.45</v>
      </c>
      <c r="D1849" s="116">
        <v>208.05</v>
      </c>
      <c r="E1849" s="116">
        <v>214.75</v>
      </c>
      <c r="F1849" s="116">
        <v>214.45</v>
      </c>
      <c r="G1849">
        <v>18606</v>
      </c>
      <c r="H1849" s="116"/>
      <c r="I1849" s="116"/>
      <c r="L1849" s="170">
        <v>44734</v>
      </c>
      <c r="M1849" s="116">
        <v>171.6</v>
      </c>
      <c r="N1849" s="116">
        <v>174</v>
      </c>
      <c r="O1849" s="116">
        <v>166.6</v>
      </c>
      <c r="P1849" s="116">
        <v>174</v>
      </c>
      <c r="Q1849" s="116">
        <v>171.6</v>
      </c>
      <c r="R1849">
        <v>28344</v>
      </c>
    </row>
    <row r="1850" spans="1:18" x14ac:dyDescent="0.25">
      <c r="A1850" s="170">
        <v>44764</v>
      </c>
      <c r="B1850" s="116">
        <v>219.95</v>
      </c>
      <c r="C1850" s="116">
        <v>216</v>
      </c>
      <c r="D1850" s="116">
        <v>214.25</v>
      </c>
      <c r="E1850" s="116">
        <v>216.85</v>
      </c>
      <c r="F1850" s="116">
        <v>216</v>
      </c>
      <c r="G1850">
        <v>16818</v>
      </c>
      <c r="H1850" s="116"/>
      <c r="I1850" s="116"/>
      <c r="L1850" s="170">
        <v>44735</v>
      </c>
      <c r="M1850" s="116">
        <v>175.3</v>
      </c>
      <c r="N1850" s="116">
        <v>178.7</v>
      </c>
      <c r="O1850" s="116">
        <v>169.65</v>
      </c>
      <c r="P1850" s="116">
        <v>170</v>
      </c>
      <c r="Q1850" s="116">
        <v>175.3</v>
      </c>
      <c r="R1850">
        <v>31572</v>
      </c>
    </row>
    <row r="1851" spans="1:18" x14ac:dyDescent="0.25">
      <c r="A1851" s="170">
        <v>44767</v>
      </c>
      <c r="B1851" s="116">
        <v>225</v>
      </c>
      <c r="C1851" s="116">
        <v>210.3</v>
      </c>
      <c r="D1851" s="116">
        <v>207.9</v>
      </c>
      <c r="E1851" s="116">
        <v>223.5</v>
      </c>
      <c r="F1851" s="116">
        <v>210.3</v>
      </c>
      <c r="G1851">
        <v>31584</v>
      </c>
      <c r="H1851" s="116"/>
      <c r="I1851" s="116"/>
      <c r="L1851" s="170">
        <v>44736</v>
      </c>
      <c r="M1851" s="116">
        <v>182.3</v>
      </c>
      <c r="N1851" s="116">
        <v>183.4</v>
      </c>
      <c r="O1851" s="116">
        <v>175.35</v>
      </c>
      <c r="P1851" s="116">
        <v>178.7</v>
      </c>
      <c r="Q1851" s="116">
        <v>182.3</v>
      </c>
      <c r="R1851">
        <v>42875</v>
      </c>
    </row>
    <row r="1852" spans="1:18" x14ac:dyDescent="0.25">
      <c r="A1852" s="170">
        <v>44768</v>
      </c>
      <c r="B1852" s="116">
        <v>212.7</v>
      </c>
      <c r="C1852" s="116">
        <v>210.65</v>
      </c>
      <c r="D1852" s="116">
        <v>207.1</v>
      </c>
      <c r="E1852" s="116">
        <v>209.75</v>
      </c>
      <c r="F1852" s="116">
        <v>210.65</v>
      </c>
      <c r="G1852">
        <v>9886</v>
      </c>
      <c r="H1852" s="116"/>
      <c r="I1852" s="116"/>
      <c r="L1852" s="170">
        <v>44739</v>
      </c>
      <c r="M1852" s="116">
        <v>191.65</v>
      </c>
      <c r="N1852" s="116">
        <v>194</v>
      </c>
      <c r="O1852" s="116">
        <v>182.5</v>
      </c>
      <c r="P1852" s="116">
        <v>182.5</v>
      </c>
      <c r="Q1852" s="116">
        <v>191.65</v>
      </c>
      <c r="R1852">
        <v>53506</v>
      </c>
    </row>
    <row r="1853" spans="1:18" x14ac:dyDescent="0.25">
      <c r="A1853" s="170">
        <v>44769</v>
      </c>
      <c r="B1853" s="116">
        <v>218.3</v>
      </c>
      <c r="C1853" s="116">
        <v>215.25</v>
      </c>
      <c r="D1853" s="116">
        <v>211</v>
      </c>
      <c r="E1853" s="116">
        <v>212.2</v>
      </c>
      <c r="F1853" s="116">
        <v>215.25</v>
      </c>
      <c r="G1853">
        <v>9344</v>
      </c>
      <c r="H1853" s="116"/>
      <c r="I1853" s="116"/>
      <c r="L1853" s="170">
        <v>44740</v>
      </c>
      <c r="M1853" s="116">
        <v>198.3</v>
      </c>
      <c r="N1853" s="116">
        <v>203.3</v>
      </c>
      <c r="O1853" s="116">
        <v>187.75</v>
      </c>
      <c r="P1853" s="116">
        <v>191.6</v>
      </c>
      <c r="Q1853" s="116">
        <v>198.3</v>
      </c>
      <c r="R1853">
        <v>214558</v>
      </c>
    </row>
    <row r="1854" spans="1:18" x14ac:dyDescent="0.25">
      <c r="A1854" s="170">
        <v>44770</v>
      </c>
      <c r="B1854" s="116">
        <v>218.9</v>
      </c>
      <c r="C1854" s="116">
        <v>212.25</v>
      </c>
      <c r="D1854" s="116">
        <v>210.75</v>
      </c>
      <c r="E1854" s="116">
        <v>216.5</v>
      </c>
      <c r="F1854" s="116">
        <v>212.25</v>
      </c>
      <c r="G1854">
        <v>3719</v>
      </c>
      <c r="H1854" s="116"/>
      <c r="I1854" s="116"/>
      <c r="L1854" s="170">
        <v>44741</v>
      </c>
      <c r="M1854" s="116">
        <v>193.1</v>
      </c>
      <c r="N1854" s="116">
        <v>200.6</v>
      </c>
      <c r="O1854" s="116">
        <v>192</v>
      </c>
      <c r="P1854" s="116">
        <v>194</v>
      </c>
      <c r="Q1854" s="116">
        <v>193.1</v>
      </c>
      <c r="R1854">
        <v>87732</v>
      </c>
    </row>
    <row r="1855" spans="1:18" x14ac:dyDescent="0.25">
      <c r="A1855" s="170">
        <v>44771</v>
      </c>
      <c r="B1855" s="116">
        <v>215.25</v>
      </c>
      <c r="C1855" s="116">
        <v>213.8</v>
      </c>
      <c r="D1855" s="116">
        <v>211.35</v>
      </c>
      <c r="E1855" s="116">
        <v>214.6</v>
      </c>
      <c r="F1855" s="116">
        <v>213.8</v>
      </c>
      <c r="G1855">
        <v>7337</v>
      </c>
      <c r="H1855" s="116"/>
      <c r="I1855" s="116"/>
      <c r="L1855" s="170">
        <v>44742</v>
      </c>
      <c r="M1855" s="116">
        <v>186.55</v>
      </c>
      <c r="N1855" s="116">
        <v>197.15</v>
      </c>
      <c r="O1855" s="116">
        <v>185.7</v>
      </c>
      <c r="P1855" s="116">
        <v>195.45</v>
      </c>
      <c r="Q1855" s="116">
        <v>186.55</v>
      </c>
      <c r="R1855">
        <v>49748</v>
      </c>
    </row>
    <row r="1856" spans="1:18" x14ac:dyDescent="0.25">
      <c r="A1856" s="170">
        <v>44774</v>
      </c>
      <c r="B1856" s="116">
        <v>231.85</v>
      </c>
      <c r="C1856" s="116">
        <v>227.6</v>
      </c>
      <c r="D1856" s="116">
        <v>217.95</v>
      </c>
      <c r="E1856" s="116">
        <v>217.95</v>
      </c>
      <c r="F1856" s="116">
        <v>227.6</v>
      </c>
      <c r="G1856">
        <v>27756</v>
      </c>
      <c r="H1856" s="116"/>
      <c r="I1856" s="116"/>
      <c r="L1856" s="170">
        <v>44743</v>
      </c>
      <c r="M1856" s="116">
        <v>198.1</v>
      </c>
      <c r="N1856" s="116">
        <v>203</v>
      </c>
      <c r="O1856" s="116">
        <v>188</v>
      </c>
      <c r="P1856" s="116">
        <v>188.5</v>
      </c>
      <c r="Q1856" s="116">
        <v>198.1</v>
      </c>
      <c r="R1856">
        <v>232652</v>
      </c>
    </row>
    <row r="1857" spans="1:18" x14ac:dyDescent="0.25">
      <c r="A1857" s="170">
        <v>44775</v>
      </c>
      <c r="B1857" s="116">
        <v>241.45</v>
      </c>
      <c r="C1857" s="116">
        <v>237.5</v>
      </c>
      <c r="D1857" s="116">
        <v>227.1</v>
      </c>
      <c r="E1857" s="116">
        <v>228.55</v>
      </c>
      <c r="F1857" s="116">
        <v>237.5</v>
      </c>
      <c r="G1857">
        <v>25617</v>
      </c>
      <c r="H1857" s="116"/>
      <c r="I1857" s="116"/>
      <c r="L1857" s="170">
        <v>44746</v>
      </c>
      <c r="M1857" s="116">
        <v>202.25</v>
      </c>
      <c r="N1857" s="116">
        <v>207.5</v>
      </c>
      <c r="O1857" s="116">
        <v>197.95</v>
      </c>
      <c r="P1857" s="116">
        <v>199.9</v>
      </c>
      <c r="Q1857" s="116">
        <v>202.25</v>
      </c>
      <c r="R1857">
        <v>135193</v>
      </c>
    </row>
    <row r="1858" spans="1:18" x14ac:dyDescent="0.25">
      <c r="A1858" s="170">
        <v>44776</v>
      </c>
      <c r="B1858" s="116">
        <v>243.75</v>
      </c>
      <c r="C1858" s="116">
        <v>232.15</v>
      </c>
      <c r="D1858" s="116">
        <v>231.3</v>
      </c>
      <c r="E1858" s="116">
        <v>241.95</v>
      </c>
      <c r="F1858" s="116">
        <v>232.15</v>
      </c>
      <c r="G1858">
        <v>9269</v>
      </c>
      <c r="H1858" s="116"/>
      <c r="I1858" s="116"/>
      <c r="L1858" s="170">
        <v>44747</v>
      </c>
      <c r="M1858" s="116">
        <v>194.6</v>
      </c>
      <c r="N1858" s="116">
        <v>203.35</v>
      </c>
      <c r="O1858" s="116">
        <v>193.6</v>
      </c>
      <c r="P1858" s="116">
        <v>203.35</v>
      </c>
      <c r="Q1858" s="116">
        <v>194.6</v>
      </c>
      <c r="R1858">
        <v>73251</v>
      </c>
    </row>
    <row r="1859" spans="1:18" x14ac:dyDescent="0.25">
      <c r="A1859" s="170">
        <v>44777</v>
      </c>
      <c r="B1859" s="116">
        <v>247.5</v>
      </c>
      <c r="C1859" s="116">
        <v>245.1</v>
      </c>
      <c r="D1859" s="116">
        <v>233.35</v>
      </c>
      <c r="E1859" s="116">
        <v>234.35</v>
      </c>
      <c r="F1859" s="116">
        <v>245.1</v>
      </c>
      <c r="G1859">
        <v>37906</v>
      </c>
      <c r="H1859" s="116"/>
      <c r="I1859" s="116"/>
      <c r="L1859" s="170">
        <v>44748</v>
      </c>
      <c r="M1859" s="116">
        <v>195.6</v>
      </c>
      <c r="N1859" s="116">
        <v>198.4</v>
      </c>
      <c r="O1859" s="116">
        <v>192</v>
      </c>
      <c r="P1859" s="116">
        <v>197.65</v>
      </c>
      <c r="Q1859" s="116">
        <v>195.6</v>
      </c>
      <c r="R1859">
        <v>58626</v>
      </c>
    </row>
    <row r="1860" spans="1:18" x14ac:dyDescent="0.25">
      <c r="A1860" s="170">
        <v>44778</v>
      </c>
      <c r="B1860" s="116">
        <v>249.85</v>
      </c>
      <c r="C1860" s="116">
        <v>240.35</v>
      </c>
      <c r="D1860" s="116">
        <v>238.75</v>
      </c>
      <c r="E1860" s="116">
        <v>246.5</v>
      </c>
      <c r="F1860" s="116">
        <v>240.35</v>
      </c>
      <c r="G1860">
        <v>19585</v>
      </c>
      <c r="H1860" s="116"/>
      <c r="I1860" s="116"/>
      <c r="L1860" s="170">
        <v>44749</v>
      </c>
      <c r="M1860" s="116">
        <v>195.55</v>
      </c>
      <c r="N1860" s="116">
        <v>202</v>
      </c>
      <c r="O1860" s="116">
        <v>194</v>
      </c>
      <c r="P1860" s="116">
        <v>197.8</v>
      </c>
      <c r="Q1860" s="116">
        <v>195.55</v>
      </c>
      <c r="R1860">
        <v>63913</v>
      </c>
    </row>
    <row r="1861" spans="1:18" x14ac:dyDescent="0.25">
      <c r="A1861" s="170">
        <v>44781</v>
      </c>
      <c r="B1861" s="116">
        <v>257.2</v>
      </c>
      <c r="C1861" s="116">
        <v>253.9</v>
      </c>
      <c r="D1861" s="116">
        <v>242.55</v>
      </c>
      <c r="E1861" s="116">
        <v>244.4</v>
      </c>
      <c r="F1861" s="116">
        <v>253.9</v>
      </c>
      <c r="G1861">
        <v>20650</v>
      </c>
      <c r="H1861" s="116"/>
      <c r="I1861" s="116"/>
      <c r="L1861" s="170">
        <v>44750</v>
      </c>
      <c r="M1861" s="116">
        <v>195.75</v>
      </c>
      <c r="N1861" s="116">
        <v>199.6</v>
      </c>
      <c r="O1861" s="116">
        <v>194</v>
      </c>
      <c r="P1861" s="116">
        <v>194.25</v>
      </c>
      <c r="Q1861" s="116">
        <v>195.75</v>
      </c>
      <c r="R1861">
        <v>37733</v>
      </c>
    </row>
    <row r="1862" spans="1:18" x14ac:dyDescent="0.25">
      <c r="A1862" s="170">
        <v>44783</v>
      </c>
      <c r="B1862" s="116">
        <v>263</v>
      </c>
      <c r="C1862" s="116">
        <v>256.95</v>
      </c>
      <c r="D1862" s="116">
        <v>252.1</v>
      </c>
      <c r="E1862" s="116">
        <v>257.95</v>
      </c>
      <c r="F1862" s="116">
        <v>256.95</v>
      </c>
      <c r="G1862">
        <v>58838</v>
      </c>
      <c r="H1862" s="116"/>
      <c r="I1862" s="116"/>
      <c r="L1862" s="170">
        <v>44753</v>
      </c>
      <c r="M1862" s="116">
        <v>196.8</v>
      </c>
      <c r="N1862" s="116">
        <v>199.5</v>
      </c>
      <c r="O1862" s="116">
        <v>195</v>
      </c>
      <c r="P1862" s="116">
        <v>196</v>
      </c>
      <c r="Q1862" s="116">
        <v>196.8</v>
      </c>
      <c r="R1862">
        <v>53324</v>
      </c>
    </row>
    <row r="1863" spans="1:18" x14ac:dyDescent="0.25">
      <c r="A1863" s="170">
        <v>44784</v>
      </c>
      <c r="B1863" s="116">
        <v>266.45</v>
      </c>
      <c r="C1863" s="116">
        <v>251.8</v>
      </c>
      <c r="D1863" s="116">
        <v>250.35</v>
      </c>
      <c r="E1863" s="116">
        <v>259</v>
      </c>
      <c r="F1863" s="116">
        <v>251.8</v>
      </c>
      <c r="G1863">
        <v>39568</v>
      </c>
      <c r="H1863" s="116"/>
      <c r="I1863" s="116"/>
      <c r="L1863" s="170">
        <v>44754</v>
      </c>
      <c r="M1863" s="116">
        <v>191.65</v>
      </c>
      <c r="N1863" s="116">
        <v>195.4</v>
      </c>
      <c r="O1863" s="116">
        <v>190.9</v>
      </c>
      <c r="P1863" s="116">
        <v>193.9</v>
      </c>
      <c r="Q1863" s="116">
        <v>191.65</v>
      </c>
      <c r="R1863">
        <v>41313</v>
      </c>
    </row>
    <row r="1864" spans="1:18" x14ac:dyDescent="0.25">
      <c r="A1864" s="170">
        <v>44785</v>
      </c>
      <c r="B1864" s="116">
        <v>258.10000000000002</v>
      </c>
      <c r="C1864" s="116">
        <v>245</v>
      </c>
      <c r="D1864" s="116">
        <v>242.15</v>
      </c>
      <c r="E1864" s="116">
        <v>258.10000000000002</v>
      </c>
      <c r="F1864" s="116">
        <v>245</v>
      </c>
      <c r="G1864">
        <v>22055</v>
      </c>
      <c r="H1864" s="116"/>
      <c r="I1864" s="116"/>
      <c r="L1864" s="170">
        <v>44755</v>
      </c>
      <c r="M1864" s="116">
        <v>193.85</v>
      </c>
      <c r="N1864" s="116">
        <v>201</v>
      </c>
      <c r="O1864" s="116">
        <v>193</v>
      </c>
      <c r="P1864" s="116">
        <v>194.2</v>
      </c>
      <c r="Q1864" s="116">
        <v>193.85</v>
      </c>
      <c r="R1864">
        <v>97000</v>
      </c>
    </row>
    <row r="1865" spans="1:18" x14ac:dyDescent="0.25">
      <c r="A1865" s="170">
        <v>44789</v>
      </c>
      <c r="B1865" s="116">
        <v>262.25</v>
      </c>
      <c r="C1865" s="116">
        <v>259.7</v>
      </c>
      <c r="D1865" s="116">
        <v>246.8</v>
      </c>
      <c r="E1865" s="116">
        <v>253.6</v>
      </c>
      <c r="F1865" s="116">
        <v>259.7</v>
      </c>
      <c r="G1865">
        <v>22353</v>
      </c>
      <c r="H1865" s="116"/>
      <c r="I1865" s="116"/>
      <c r="L1865" s="170">
        <v>44756</v>
      </c>
      <c r="M1865" s="116">
        <v>193.4</v>
      </c>
      <c r="N1865" s="116">
        <v>196.75</v>
      </c>
      <c r="O1865" s="116">
        <v>188.15</v>
      </c>
      <c r="P1865" s="116">
        <v>196</v>
      </c>
      <c r="Q1865" s="116">
        <v>193.4</v>
      </c>
      <c r="R1865">
        <v>43362</v>
      </c>
    </row>
    <row r="1866" spans="1:18" x14ac:dyDescent="0.25">
      <c r="A1866" s="170">
        <v>44790</v>
      </c>
      <c r="B1866" s="116">
        <v>262.55</v>
      </c>
      <c r="C1866" s="116">
        <v>254.1</v>
      </c>
      <c r="D1866" s="116">
        <v>251.9</v>
      </c>
      <c r="E1866" s="116">
        <v>257.85000000000002</v>
      </c>
      <c r="F1866" s="116">
        <v>254.1</v>
      </c>
      <c r="G1866">
        <v>17485</v>
      </c>
      <c r="H1866" s="116"/>
      <c r="I1866" s="116"/>
      <c r="L1866" s="170">
        <v>44757</v>
      </c>
      <c r="M1866" s="116">
        <v>195.5</v>
      </c>
      <c r="N1866" s="116">
        <v>197.8</v>
      </c>
      <c r="O1866" s="116">
        <v>192.05</v>
      </c>
      <c r="P1866" s="116">
        <v>193</v>
      </c>
      <c r="Q1866" s="116">
        <v>195.5</v>
      </c>
      <c r="R1866">
        <v>68005</v>
      </c>
    </row>
    <row r="1867" spans="1:18" x14ac:dyDescent="0.25">
      <c r="A1867" s="170">
        <v>44791</v>
      </c>
      <c r="B1867" s="116">
        <v>260.7</v>
      </c>
      <c r="C1867" s="116">
        <v>255.45</v>
      </c>
      <c r="D1867" s="116">
        <v>253.95</v>
      </c>
      <c r="E1867" s="116">
        <v>260.7</v>
      </c>
      <c r="F1867" s="116">
        <v>255.45</v>
      </c>
      <c r="G1867">
        <v>21306</v>
      </c>
      <c r="H1867" s="116"/>
      <c r="I1867" s="116"/>
      <c r="L1867" s="170">
        <v>44760</v>
      </c>
      <c r="M1867" s="116">
        <v>203.4</v>
      </c>
      <c r="N1867" s="116">
        <v>206.5</v>
      </c>
      <c r="O1867" s="116">
        <v>196.5</v>
      </c>
      <c r="P1867" s="116">
        <v>196.5</v>
      </c>
      <c r="Q1867" s="116">
        <v>203.4</v>
      </c>
      <c r="R1867">
        <v>144837</v>
      </c>
    </row>
    <row r="1868" spans="1:18" x14ac:dyDescent="0.25">
      <c r="A1868" s="170">
        <v>44792</v>
      </c>
      <c r="B1868" s="116">
        <v>257.95</v>
      </c>
      <c r="C1868" s="116">
        <v>248.7</v>
      </c>
      <c r="D1868" s="116">
        <v>247</v>
      </c>
      <c r="E1868" s="116">
        <v>255</v>
      </c>
      <c r="F1868" s="116">
        <v>248.7</v>
      </c>
      <c r="G1868">
        <v>29083</v>
      </c>
      <c r="H1868" s="116"/>
      <c r="I1868" s="116"/>
      <c r="L1868" s="170">
        <v>44761</v>
      </c>
      <c r="M1868" s="116">
        <v>209.85</v>
      </c>
      <c r="N1868" s="116">
        <v>214</v>
      </c>
      <c r="O1868" s="116">
        <v>203.25</v>
      </c>
      <c r="P1868" s="116">
        <v>203.4</v>
      </c>
      <c r="Q1868" s="116">
        <v>209.85</v>
      </c>
      <c r="R1868">
        <v>298591</v>
      </c>
    </row>
    <row r="1869" spans="1:18" x14ac:dyDescent="0.25">
      <c r="A1869" s="170">
        <v>44795</v>
      </c>
      <c r="B1869" s="116">
        <v>278.8</v>
      </c>
      <c r="C1869" s="116">
        <v>267.5</v>
      </c>
      <c r="D1869" s="116">
        <v>244.8</v>
      </c>
      <c r="E1869" s="116">
        <v>258.55</v>
      </c>
      <c r="F1869" s="116">
        <v>267.5</v>
      </c>
      <c r="G1869">
        <v>66603</v>
      </c>
      <c r="H1869" s="116"/>
      <c r="I1869" s="116"/>
      <c r="L1869" s="170">
        <v>44762</v>
      </c>
      <c r="M1869" s="116">
        <v>208.75</v>
      </c>
      <c r="N1869" s="116">
        <v>216.75</v>
      </c>
      <c r="O1869" s="116">
        <v>208</v>
      </c>
      <c r="P1869" s="116">
        <v>212.9</v>
      </c>
      <c r="Q1869" s="116">
        <v>208.75</v>
      </c>
      <c r="R1869">
        <v>150723</v>
      </c>
    </row>
    <row r="1870" spans="1:18" x14ac:dyDescent="0.25">
      <c r="A1870" s="170">
        <v>44796</v>
      </c>
      <c r="B1870" s="116">
        <v>284.35000000000002</v>
      </c>
      <c r="C1870" s="116">
        <v>280.60000000000002</v>
      </c>
      <c r="D1870" s="116">
        <v>267.5</v>
      </c>
      <c r="E1870" s="116">
        <v>267.89999999999998</v>
      </c>
      <c r="F1870" s="116">
        <v>280.60000000000002</v>
      </c>
      <c r="G1870">
        <v>75079</v>
      </c>
      <c r="H1870" s="116"/>
      <c r="I1870" s="116"/>
      <c r="L1870" s="170">
        <v>44763</v>
      </c>
      <c r="M1870" s="116">
        <v>214.95</v>
      </c>
      <c r="N1870" s="116">
        <v>216.35</v>
      </c>
      <c r="O1870" s="116">
        <v>208.5</v>
      </c>
      <c r="P1870" s="116">
        <v>211.05</v>
      </c>
      <c r="Q1870" s="116">
        <v>214.95</v>
      </c>
      <c r="R1870">
        <v>202834</v>
      </c>
    </row>
    <row r="1871" spans="1:18" x14ac:dyDescent="0.25">
      <c r="A1871" s="170">
        <v>44797</v>
      </c>
      <c r="B1871" s="116">
        <v>294.2</v>
      </c>
      <c r="C1871" s="116">
        <v>287.60000000000002</v>
      </c>
      <c r="D1871" s="116">
        <v>281.8</v>
      </c>
      <c r="E1871" s="116">
        <v>283</v>
      </c>
      <c r="F1871" s="116">
        <v>287.60000000000002</v>
      </c>
      <c r="G1871">
        <v>41209</v>
      </c>
      <c r="H1871" s="116"/>
      <c r="I1871" s="116"/>
      <c r="L1871" s="170">
        <v>44764</v>
      </c>
      <c r="M1871" s="116">
        <v>215.4</v>
      </c>
      <c r="N1871" s="116">
        <v>219.8</v>
      </c>
      <c r="O1871" s="116">
        <v>214.5</v>
      </c>
      <c r="P1871" s="116">
        <v>216.4</v>
      </c>
      <c r="Q1871" s="116">
        <v>215.4</v>
      </c>
      <c r="R1871">
        <v>158154</v>
      </c>
    </row>
    <row r="1872" spans="1:18" x14ac:dyDescent="0.25">
      <c r="A1872" s="170">
        <v>44798</v>
      </c>
      <c r="B1872" s="116">
        <v>290.5</v>
      </c>
      <c r="C1872" s="116">
        <v>277.64999999999998</v>
      </c>
      <c r="D1872" s="116">
        <v>275.60000000000002</v>
      </c>
      <c r="E1872" s="116">
        <v>288.35000000000002</v>
      </c>
      <c r="F1872" s="116">
        <v>277.64999999999998</v>
      </c>
      <c r="G1872">
        <v>27087</v>
      </c>
      <c r="H1872" s="116"/>
      <c r="I1872" s="116"/>
      <c r="L1872" s="170">
        <v>44767</v>
      </c>
      <c r="M1872" s="116">
        <v>210.1</v>
      </c>
      <c r="N1872" s="116">
        <v>225</v>
      </c>
      <c r="O1872" s="116">
        <v>208</v>
      </c>
      <c r="P1872" s="116">
        <v>225</v>
      </c>
      <c r="Q1872" s="116">
        <v>210.1</v>
      </c>
      <c r="R1872">
        <v>457855</v>
      </c>
    </row>
    <row r="1873" spans="1:18" x14ac:dyDescent="0.25">
      <c r="A1873" s="170">
        <v>44799</v>
      </c>
      <c r="B1873" s="116">
        <v>284.75</v>
      </c>
      <c r="C1873" s="116">
        <v>279.60000000000002</v>
      </c>
      <c r="D1873" s="116">
        <v>274.55</v>
      </c>
      <c r="E1873" s="116">
        <v>280</v>
      </c>
      <c r="F1873" s="116">
        <v>279.60000000000002</v>
      </c>
      <c r="G1873">
        <v>25361</v>
      </c>
      <c r="H1873" s="116"/>
      <c r="I1873" s="116"/>
      <c r="L1873" s="170">
        <v>44768</v>
      </c>
      <c r="M1873" s="116">
        <v>210.85</v>
      </c>
      <c r="N1873" s="116">
        <v>212.9</v>
      </c>
      <c r="O1873" s="116">
        <v>207.05</v>
      </c>
      <c r="P1873" s="116">
        <v>210.2</v>
      </c>
      <c r="Q1873" s="116">
        <v>210.85</v>
      </c>
      <c r="R1873">
        <v>105807</v>
      </c>
    </row>
    <row r="1874" spans="1:18" x14ac:dyDescent="0.25">
      <c r="A1874" s="170">
        <v>44802</v>
      </c>
      <c r="B1874" s="116">
        <v>298</v>
      </c>
      <c r="C1874" s="116">
        <v>294.89999999999998</v>
      </c>
      <c r="D1874" s="116">
        <v>268.45</v>
      </c>
      <c r="E1874" s="116">
        <v>275</v>
      </c>
      <c r="F1874" s="116">
        <v>294.89999999999998</v>
      </c>
      <c r="G1874">
        <v>33188</v>
      </c>
      <c r="H1874" s="116"/>
      <c r="I1874" s="116"/>
      <c r="L1874" s="170">
        <v>44769</v>
      </c>
      <c r="M1874" s="116">
        <v>215.45</v>
      </c>
      <c r="N1874" s="116">
        <v>218.45</v>
      </c>
      <c r="O1874" s="116">
        <v>210.9</v>
      </c>
      <c r="P1874" s="116">
        <v>210.9</v>
      </c>
      <c r="Q1874" s="116">
        <v>215.45</v>
      </c>
      <c r="R1874">
        <v>211652</v>
      </c>
    </row>
    <row r="1875" spans="1:18" x14ac:dyDescent="0.25">
      <c r="A1875" s="170">
        <v>44803</v>
      </c>
      <c r="B1875" s="116">
        <v>299.7</v>
      </c>
      <c r="C1875" s="116">
        <v>288.8</v>
      </c>
      <c r="D1875" s="116">
        <v>285.45</v>
      </c>
      <c r="E1875" s="116">
        <v>297</v>
      </c>
      <c r="F1875" s="116">
        <v>288.8</v>
      </c>
      <c r="G1875">
        <v>53224</v>
      </c>
      <c r="H1875" s="116"/>
      <c r="I1875" s="116"/>
      <c r="L1875" s="170">
        <v>44770</v>
      </c>
      <c r="M1875" s="116">
        <v>211.85</v>
      </c>
      <c r="N1875" s="116">
        <v>219.4</v>
      </c>
      <c r="O1875" s="116">
        <v>211</v>
      </c>
      <c r="P1875" s="116">
        <v>215.65</v>
      </c>
      <c r="Q1875" s="116">
        <v>211.85</v>
      </c>
      <c r="R1875">
        <v>119310</v>
      </c>
    </row>
    <row r="1876" spans="1:18" x14ac:dyDescent="0.25">
      <c r="A1876" s="170">
        <v>44805</v>
      </c>
      <c r="B1876" s="116">
        <v>294.2</v>
      </c>
      <c r="C1876" s="116">
        <v>289.25</v>
      </c>
      <c r="D1876" s="116">
        <v>283.10000000000002</v>
      </c>
      <c r="E1876" s="116">
        <v>288.8</v>
      </c>
      <c r="F1876" s="116">
        <v>289.25</v>
      </c>
      <c r="G1876">
        <v>17321</v>
      </c>
      <c r="H1876" s="116"/>
      <c r="I1876" s="116"/>
      <c r="L1876" s="170">
        <v>44771</v>
      </c>
      <c r="M1876" s="116">
        <v>214.1</v>
      </c>
      <c r="N1876" s="116">
        <v>215.7</v>
      </c>
      <c r="O1876" s="116">
        <v>211.3</v>
      </c>
      <c r="P1876" s="116">
        <v>212.1</v>
      </c>
      <c r="Q1876" s="116">
        <v>214.1</v>
      </c>
      <c r="R1876">
        <v>103807</v>
      </c>
    </row>
    <row r="1877" spans="1:18" x14ac:dyDescent="0.25">
      <c r="A1877" s="170">
        <v>44806</v>
      </c>
      <c r="B1877" s="116">
        <v>304.85000000000002</v>
      </c>
      <c r="C1877" s="116">
        <v>301.45</v>
      </c>
      <c r="D1877" s="116">
        <v>292.3</v>
      </c>
      <c r="E1877" s="116">
        <v>294.10000000000002</v>
      </c>
      <c r="F1877" s="116">
        <v>301.45</v>
      </c>
      <c r="G1877">
        <v>59414</v>
      </c>
      <c r="H1877" s="116"/>
      <c r="I1877" s="116"/>
      <c r="L1877" s="170">
        <v>44774</v>
      </c>
      <c r="M1877" s="116">
        <v>227.9</v>
      </c>
      <c r="N1877" s="116">
        <v>232</v>
      </c>
      <c r="O1877" s="116">
        <v>214.5</v>
      </c>
      <c r="P1877" s="116">
        <v>214.5</v>
      </c>
      <c r="Q1877" s="116">
        <v>227.9</v>
      </c>
      <c r="R1877">
        <v>571918</v>
      </c>
    </row>
    <row r="1878" spans="1:18" x14ac:dyDescent="0.25">
      <c r="A1878" s="170">
        <v>44809</v>
      </c>
      <c r="B1878" s="116">
        <v>307.89999999999998</v>
      </c>
      <c r="C1878" s="116">
        <v>292.64999999999998</v>
      </c>
      <c r="D1878" s="116">
        <v>291.14999999999998</v>
      </c>
      <c r="E1878" s="116">
        <v>307.89999999999998</v>
      </c>
      <c r="F1878" s="116">
        <v>292.64999999999998</v>
      </c>
      <c r="G1878">
        <v>23097</v>
      </c>
      <c r="H1878" s="116"/>
      <c r="I1878" s="116"/>
      <c r="L1878" s="170">
        <v>44775</v>
      </c>
      <c r="M1878" s="116">
        <v>238.2</v>
      </c>
      <c r="N1878" s="116">
        <v>241.5</v>
      </c>
      <c r="O1878" s="116">
        <v>227.25</v>
      </c>
      <c r="P1878" s="116">
        <v>228.85</v>
      </c>
      <c r="Q1878" s="116">
        <v>238.2</v>
      </c>
      <c r="R1878">
        <v>445402</v>
      </c>
    </row>
    <row r="1879" spans="1:18" x14ac:dyDescent="0.25">
      <c r="A1879" s="170">
        <v>44810</v>
      </c>
      <c r="B1879" s="116">
        <v>296.14999999999998</v>
      </c>
      <c r="C1879" s="116">
        <v>285</v>
      </c>
      <c r="D1879" s="116">
        <v>282.2</v>
      </c>
      <c r="E1879" s="116">
        <v>294</v>
      </c>
      <c r="F1879" s="116">
        <v>285</v>
      </c>
      <c r="G1879">
        <v>18569</v>
      </c>
      <c r="H1879" s="116"/>
      <c r="I1879" s="116"/>
      <c r="L1879" s="170">
        <v>44776</v>
      </c>
      <c r="M1879" s="116">
        <v>232.35</v>
      </c>
      <c r="N1879" s="116">
        <v>244.2</v>
      </c>
      <c r="O1879" s="116">
        <v>231.15</v>
      </c>
      <c r="P1879" s="116">
        <v>239.7</v>
      </c>
      <c r="Q1879" s="116">
        <v>232.35</v>
      </c>
      <c r="R1879">
        <v>181196</v>
      </c>
    </row>
    <row r="1880" spans="1:18" x14ac:dyDescent="0.25">
      <c r="A1880" s="170">
        <v>44811</v>
      </c>
      <c r="B1880" s="116">
        <v>296</v>
      </c>
      <c r="C1880" s="116">
        <v>293.75</v>
      </c>
      <c r="D1880" s="116">
        <v>282.89999999999998</v>
      </c>
      <c r="E1880" s="116">
        <v>283.89999999999998</v>
      </c>
      <c r="F1880" s="116">
        <v>293.75</v>
      </c>
      <c r="G1880">
        <v>17499</v>
      </c>
      <c r="H1880" s="116"/>
      <c r="I1880" s="116"/>
      <c r="L1880" s="170">
        <v>44777</v>
      </c>
      <c r="M1880" s="116">
        <v>245.4</v>
      </c>
      <c r="N1880" s="116">
        <v>247.5</v>
      </c>
      <c r="O1880" s="116">
        <v>233</v>
      </c>
      <c r="P1880" s="116">
        <v>234</v>
      </c>
      <c r="Q1880" s="116">
        <v>245.4</v>
      </c>
      <c r="R1880">
        <v>462895</v>
      </c>
    </row>
    <row r="1881" spans="1:18" x14ac:dyDescent="0.25">
      <c r="A1881" s="170">
        <v>44812</v>
      </c>
      <c r="B1881" s="116">
        <v>302</v>
      </c>
      <c r="C1881" s="116">
        <v>299.05</v>
      </c>
      <c r="D1881" s="116">
        <v>291.2</v>
      </c>
      <c r="E1881" s="116">
        <v>291.2</v>
      </c>
      <c r="F1881" s="116">
        <v>299.05</v>
      </c>
      <c r="G1881">
        <v>41685</v>
      </c>
      <c r="H1881" s="116"/>
      <c r="I1881" s="116"/>
      <c r="L1881" s="170">
        <v>44778</v>
      </c>
      <c r="M1881" s="116">
        <v>240.75</v>
      </c>
      <c r="N1881" s="116">
        <v>249.8</v>
      </c>
      <c r="O1881" s="116">
        <v>237.85</v>
      </c>
      <c r="P1881" s="116">
        <v>248</v>
      </c>
      <c r="Q1881" s="116">
        <v>240.75</v>
      </c>
      <c r="R1881">
        <v>244609</v>
      </c>
    </row>
    <row r="1882" spans="1:18" x14ac:dyDescent="0.25">
      <c r="A1882" s="170">
        <v>44813</v>
      </c>
      <c r="B1882" s="116">
        <v>302.5</v>
      </c>
      <c r="C1882" s="116">
        <v>288.95</v>
      </c>
      <c r="D1882" s="116">
        <v>283.39999999999998</v>
      </c>
      <c r="E1882" s="116">
        <v>301.7</v>
      </c>
      <c r="F1882" s="116">
        <v>288.95</v>
      </c>
      <c r="G1882">
        <v>32957</v>
      </c>
      <c r="H1882" s="116"/>
      <c r="I1882" s="116"/>
      <c r="L1882" s="170">
        <v>44781</v>
      </c>
      <c r="M1882" s="116">
        <v>253.7</v>
      </c>
      <c r="N1882" s="116">
        <v>257</v>
      </c>
      <c r="O1882" s="116">
        <v>240.75</v>
      </c>
      <c r="P1882" s="116">
        <v>240.75</v>
      </c>
      <c r="Q1882" s="116">
        <v>253.7</v>
      </c>
      <c r="R1882">
        <v>284807</v>
      </c>
    </row>
    <row r="1883" spans="1:18" x14ac:dyDescent="0.25">
      <c r="A1883" s="170">
        <v>44816</v>
      </c>
      <c r="B1883" s="116">
        <v>295.2</v>
      </c>
      <c r="C1883" s="116">
        <v>281.89999999999998</v>
      </c>
      <c r="D1883" s="116">
        <v>281.25</v>
      </c>
      <c r="E1883" s="116">
        <v>294.10000000000002</v>
      </c>
      <c r="F1883" s="116">
        <v>281.89999999999998</v>
      </c>
      <c r="G1883">
        <v>21104</v>
      </c>
      <c r="H1883" s="116"/>
      <c r="I1883" s="116"/>
      <c r="L1883" s="170">
        <v>44783</v>
      </c>
      <c r="M1883" s="116">
        <v>254.75</v>
      </c>
      <c r="N1883" s="116">
        <v>264.2</v>
      </c>
      <c r="O1883" s="116">
        <v>252</v>
      </c>
      <c r="P1883" s="116">
        <v>256.7</v>
      </c>
      <c r="Q1883" s="116">
        <v>254.75</v>
      </c>
      <c r="R1883">
        <v>446592</v>
      </c>
    </row>
    <row r="1884" spans="1:18" x14ac:dyDescent="0.25">
      <c r="A1884" s="170">
        <v>44817</v>
      </c>
      <c r="B1884" s="116">
        <v>291.8</v>
      </c>
      <c r="C1884" s="116">
        <v>287.39999999999998</v>
      </c>
      <c r="D1884" s="116">
        <v>282.89999999999998</v>
      </c>
      <c r="E1884" s="116">
        <v>289.8</v>
      </c>
      <c r="F1884" s="116">
        <v>287.39999999999998</v>
      </c>
      <c r="G1884">
        <v>28596</v>
      </c>
      <c r="H1884" s="116"/>
      <c r="I1884" s="116"/>
      <c r="L1884" s="170">
        <v>44784</v>
      </c>
      <c r="M1884" s="116">
        <v>251.7</v>
      </c>
      <c r="N1884" s="116">
        <v>266.39999999999998</v>
      </c>
      <c r="O1884" s="116">
        <v>250</v>
      </c>
      <c r="P1884" s="116">
        <v>259.7</v>
      </c>
      <c r="Q1884" s="116">
        <v>251.7</v>
      </c>
      <c r="R1884">
        <v>230072</v>
      </c>
    </row>
    <row r="1885" spans="1:18" x14ac:dyDescent="0.25">
      <c r="A1885" s="170">
        <v>44818</v>
      </c>
      <c r="B1885" s="116">
        <v>292.5</v>
      </c>
      <c r="C1885" s="116">
        <v>290.05</v>
      </c>
      <c r="D1885" s="116">
        <v>279.5</v>
      </c>
      <c r="E1885" s="116">
        <v>279.5</v>
      </c>
      <c r="F1885" s="116">
        <v>290.05</v>
      </c>
      <c r="G1885">
        <v>29559</v>
      </c>
      <c r="H1885" s="116"/>
      <c r="I1885" s="116"/>
      <c r="L1885" s="170">
        <v>44785</v>
      </c>
      <c r="M1885" s="116">
        <v>245.15</v>
      </c>
      <c r="N1885" s="116">
        <v>255</v>
      </c>
      <c r="O1885" s="116">
        <v>241.7</v>
      </c>
      <c r="P1885" s="116">
        <v>253.2</v>
      </c>
      <c r="Q1885" s="116">
        <v>245.15</v>
      </c>
      <c r="R1885">
        <v>120982</v>
      </c>
    </row>
    <row r="1886" spans="1:18" x14ac:dyDescent="0.25">
      <c r="A1886" s="170">
        <v>44819</v>
      </c>
      <c r="B1886" s="116">
        <v>296.35000000000002</v>
      </c>
      <c r="C1886" s="116">
        <v>285.7</v>
      </c>
      <c r="D1886" s="116">
        <v>283.2</v>
      </c>
      <c r="E1886" s="116">
        <v>292.14999999999998</v>
      </c>
      <c r="F1886" s="116">
        <v>285.7</v>
      </c>
      <c r="G1886">
        <v>30975</v>
      </c>
      <c r="H1886" s="116"/>
      <c r="I1886" s="116"/>
      <c r="L1886" s="170">
        <v>44789</v>
      </c>
      <c r="M1886" s="116">
        <v>259.75</v>
      </c>
      <c r="N1886" s="116">
        <v>262</v>
      </c>
      <c r="O1886" s="116">
        <v>246</v>
      </c>
      <c r="P1886" s="116">
        <v>246</v>
      </c>
      <c r="Q1886" s="116">
        <v>259.75</v>
      </c>
      <c r="R1886">
        <v>239166</v>
      </c>
    </row>
    <row r="1887" spans="1:18" x14ac:dyDescent="0.25">
      <c r="A1887" s="170">
        <v>44820</v>
      </c>
      <c r="B1887" s="116">
        <v>288.35000000000002</v>
      </c>
      <c r="C1887" s="116">
        <v>283.39999999999998</v>
      </c>
      <c r="D1887" s="116">
        <v>275.8</v>
      </c>
      <c r="E1887" s="116">
        <v>281.35000000000002</v>
      </c>
      <c r="F1887" s="116">
        <v>283.39999999999998</v>
      </c>
      <c r="G1887">
        <v>18335</v>
      </c>
      <c r="H1887" s="116"/>
      <c r="I1887" s="116"/>
      <c r="L1887" s="170">
        <v>44790</v>
      </c>
      <c r="M1887" s="116">
        <v>254.4</v>
      </c>
      <c r="N1887" s="116">
        <v>263.05</v>
      </c>
      <c r="O1887" s="116">
        <v>252.05</v>
      </c>
      <c r="P1887" s="116">
        <v>260.39999999999998</v>
      </c>
      <c r="Q1887" s="116">
        <v>254.4</v>
      </c>
      <c r="R1887">
        <v>148391</v>
      </c>
    </row>
    <row r="1888" spans="1:18" x14ac:dyDescent="0.25">
      <c r="A1888" s="170">
        <v>44823</v>
      </c>
      <c r="B1888" s="116">
        <v>295</v>
      </c>
      <c r="C1888" s="116">
        <v>286.64999999999998</v>
      </c>
      <c r="D1888" s="116">
        <v>276.8</v>
      </c>
      <c r="E1888" s="116">
        <v>285.3</v>
      </c>
      <c r="F1888" s="116">
        <v>286.64999999999998</v>
      </c>
      <c r="G1888">
        <v>21700</v>
      </c>
      <c r="H1888" s="116"/>
      <c r="I1888" s="116"/>
      <c r="L1888" s="170">
        <v>44791</v>
      </c>
      <c r="M1888" s="116">
        <v>255.3</v>
      </c>
      <c r="N1888" s="116">
        <v>259</v>
      </c>
      <c r="O1888" s="116">
        <v>252.6</v>
      </c>
      <c r="P1888" s="116">
        <v>258</v>
      </c>
      <c r="Q1888" s="116">
        <v>255.3</v>
      </c>
      <c r="R1888">
        <v>131945</v>
      </c>
    </row>
    <row r="1889" spans="1:18" x14ac:dyDescent="0.25">
      <c r="A1889" s="170">
        <v>44824</v>
      </c>
      <c r="B1889" s="116">
        <v>315</v>
      </c>
      <c r="C1889" s="116">
        <v>302.5</v>
      </c>
      <c r="D1889" s="116">
        <v>288.7</v>
      </c>
      <c r="E1889" s="116">
        <v>290.55</v>
      </c>
      <c r="F1889" s="116">
        <v>302.5</v>
      </c>
      <c r="G1889">
        <v>110457</v>
      </c>
      <c r="H1889" s="116"/>
      <c r="I1889" s="116"/>
      <c r="L1889" s="170">
        <v>44792</v>
      </c>
      <c r="M1889" s="116">
        <v>249.2</v>
      </c>
      <c r="N1889" s="116">
        <v>257.95</v>
      </c>
      <c r="O1889" s="116">
        <v>246.8</v>
      </c>
      <c r="P1889" s="116">
        <v>255</v>
      </c>
      <c r="Q1889" s="116">
        <v>249.2</v>
      </c>
      <c r="R1889">
        <v>161154</v>
      </c>
    </row>
    <row r="1890" spans="1:18" x14ac:dyDescent="0.25">
      <c r="A1890" s="170">
        <v>44825</v>
      </c>
      <c r="B1890" s="116">
        <v>303.75</v>
      </c>
      <c r="C1890" s="116">
        <v>288.7</v>
      </c>
      <c r="D1890" s="116">
        <v>287</v>
      </c>
      <c r="E1890" s="116">
        <v>303</v>
      </c>
      <c r="F1890" s="116">
        <v>288.7</v>
      </c>
      <c r="G1890">
        <v>29173</v>
      </c>
      <c r="H1890" s="116"/>
      <c r="I1890" s="116"/>
      <c r="L1890" s="170">
        <v>44795</v>
      </c>
      <c r="M1890" s="116">
        <v>267.25</v>
      </c>
      <c r="N1890" s="116">
        <v>278.35000000000002</v>
      </c>
      <c r="O1890" s="116">
        <v>244.95</v>
      </c>
      <c r="P1890" s="116">
        <v>249.2</v>
      </c>
      <c r="Q1890" s="116">
        <v>267.25</v>
      </c>
      <c r="R1890">
        <v>1085477</v>
      </c>
    </row>
    <row r="1891" spans="1:18" x14ac:dyDescent="0.25">
      <c r="A1891" s="170">
        <v>44826</v>
      </c>
      <c r="B1891" s="116">
        <v>291.7</v>
      </c>
      <c r="C1891" s="116">
        <v>282.8</v>
      </c>
      <c r="D1891" s="116">
        <v>278.45</v>
      </c>
      <c r="E1891" s="116">
        <v>281</v>
      </c>
      <c r="F1891" s="116">
        <v>282.8</v>
      </c>
      <c r="G1891">
        <v>35577</v>
      </c>
      <c r="H1891" s="116"/>
      <c r="I1891" s="116"/>
      <c r="L1891" s="170">
        <v>44796</v>
      </c>
      <c r="M1891" s="116">
        <v>281</v>
      </c>
      <c r="N1891" s="116">
        <v>284.39999999999998</v>
      </c>
      <c r="O1891" s="116">
        <v>267.45</v>
      </c>
      <c r="P1891" s="116">
        <v>268.85000000000002</v>
      </c>
      <c r="Q1891" s="116">
        <v>281</v>
      </c>
      <c r="R1891">
        <v>752836</v>
      </c>
    </row>
    <row r="1892" spans="1:18" x14ac:dyDescent="0.25">
      <c r="A1892" s="170">
        <v>44827</v>
      </c>
      <c r="B1892" s="116">
        <v>287.75</v>
      </c>
      <c r="C1892" s="116">
        <v>281.95</v>
      </c>
      <c r="D1892" s="116">
        <v>278.7</v>
      </c>
      <c r="E1892" s="116">
        <v>278.7</v>
      </c>
      <c r="F1892" s="116">
        <v>281.95</v>
      </c>
      <c r="G1892">
        <v>13642</v>
      </c>
      <c r="H1892" s="116"/>
      <c r="I1892" s="116"/>
      <c r="L1892" s="170">
        <v>44797</v>
      </c>
      <c r="M1892" s="116">
        <v>288.25</v>
      </c>
      <c r="N1892" s="116">
        <v>294</v>
      </c>
      <c r="O1892" s="116">
        <v>281.10000000000002</v>
      </c>
      <c r="P1892" s="116">
        <v>281.10000000000002</v>
      </c>
      <c r="Q1892" s="116">
        <v>288.25</v>
      </c>
      <c r="R1892">
        <v>597408</v>
      </c>
    </row>
    <row r="1893" spans="1:18" x14ac:dyDescent="0.25">
      <c r="A1893" s="170">
        <v>44830</v>
      </c>
      <c r="B1893" s="116">
        <v>281.95</v>
      </c>
      <c r="C1893" s="116">
        <v>263.39999999999998</v>
      </c>
      <c r="D1893" s="116">
        <v>260.10000000000002</v>
      </c>
      <c r="E1893" s="116">
        <v>281.95</v>
      </c>
      <c r="F1893" s="116">
        <v>263.39999999999998</v>
      </c>
      <c r="G1893">
        <v>28126</v>
      </c>
      <c r="H1893" s="116"/>
      <c r="I1893" s="116"/>
      <c r="L1893" s="170">
        <v>44798</v>
      </c>
      <c r="M1893" s="116">
        <v>277.05</v>
      </c>
      <c r="N1893" s="116">
        <v>290.95</v>
      </c>
      <c r="O1893" s="116">
        <v>275.35000000000002</v>
      </c>
      <c r="P1893" s="116">
        <v>288.25</v>
      </c>
      <c r="Q1893" s="116">
        <v>277.05</v>
      </c>
      <c r="R1893">
        <v>324046</v>
      </c>
    </row>
    <row r="1894" spans="1:18" x14ac:dyDescent="0.25">
      <c r="A1894" s="170">
        <v>44831</v>
      </c>
      <c r="B1894" s="116">
        <v>270.10000000000002</v>
      </c>
      <c r="C1894" s="116">
        <v>265</v>
      </c>
      <c r="D1894" s="116">
        <v>257.55</v>
      </c>
      <c r="E1894" s="116">
        <v>257.55</v>
      </c>
      <c r="F1894" s="116">
        <v>265</v>
      </c>
      <c r="G1894">
        <v>23963</v>
      </c>
      <c r="H1894" s="116"/>
      <c r="I1894" s="116"/>
      <c r="L1894" s="170">
        <v>44799</v>
      </c>
      <c r="M1894" s="116">
        <v>280.2</v>
      </c>
      <c r="N1894" s="116">
        <v>284.7</v>
      </c>
      <c r="O1894" s="116">
        <v>274.64999999999998</v>
      </c>
      <c r="P1894" s="116">
        <v>283</v>
      </c>
      <c r="Q1894" s="116">
        <v>280.2</v>
      </c>
      <c r="R1894">
        <v>204033</v>
      </c>
    </row>
    <row r="1895" spans="1:18" x14ac:dyDescent="0.25">
      <c r="A1895" s="170">
        <v>44832</v>
      </c>
      <c r="B1895" s="116">
        <v>274.55</v>
      </c>
      <c r="C1895" s="116">
        <v>262.8</v>
      </c>
      <c r="D1895" s="116">
        <v>259.75</v>
      </c>
      <c r="E1895" s="116">
        <v>262.75</v>
      </c>
      <c r="F1895" s="116">
        <v>262.8</v>
      </c>
      <c r="G1895">
        <v>20550</v>
      </c>
      <c r="H1895" s="116"/>
      <c r="I1895" s="116"/>
      <c r="L1895" s="170">
        <v>44802</v>
      </c>
      <c r="M1895" s="116">
        <v>294.45</v>
      </c>
      <c r="N1895" s="116">
        <v>297.89999999999998</v>
      </c>
      <c r="O1895" s="116">
        <v>267.95</v>
      </c>
      <c r="P1895" s="116">
        <v>271.25</v>
      </c>
      <c r="Q1895" s="116">
        <v>294.45</v>
      </c>
      <c r="R1895">
        <v>596687</v>
      </c>
    </row>
    <row r="1896" spans="1:18" x14ac:dyDescent="0.25">
      <c r="A1896" s="170">
        <v>44833</v>
      </c>
      <c r="B1896" s="116">
        <v>270.3</v>
      </c>
      <c r="C1896" s="116">
        <v>265.05</v>
      </c>
      <c r="D1896" s="116">
        <v>262.39999999999998</v>
      </c>
      <c r="E1896" s="116">
        <v>267</v>
      </c>
      <c r="F1896" s="116">
        <v>265.05</v>
      </c>
      <c r="G1896">
        <v>5605</v>
      </c>
      <c r="H1896" s="116"/>
      <c r="I1896" s="116"/>
      <c r="L1896" s="170">
        <v>44803</v>
      </c>
      <c r="M1896" s="116">
        <v>288.85000000000002</v>
      </c>
      <c r="N1896" s="116">
        <v>300</v>
      </c>
      <c r="O1896" s="116">
        <v>285.95</v>
      </c>
      <c r="P1896" s="116">
        <v>296.39999999999998</v>
      </c>
      <c r="Q1896" s="116">
        <v>288.85000000000002</v>
      </c>
      <c r="R1896">
        <v>287065</v>
      </c>
    </row>
    <row r="1897" spans="1:18" x14ac:dyDescent="0.25">
      <c r="A1897" s="170">
        <v>44834</v>
      </c>
      <c r="B1897" s="116">
        <v>275.8</v>
      </c>
      <c r="C1897" s="116">
        <v>273.2</v>
      </c>
      <c r="D1897" s="116">
        <v>263.64999999999998</v>
      </c>
      <c r="E1897" s="116">
        <v>266.10000000000002</v>
      </c>
      <c r="F1897" s="116">
        <v>273.2</v>
      </c>
      <c r="G1897">
        <v>9887</v>
      </c>
      <c r="H1897" s="116"/>
      <c r="I1897" s="116"/>
      <c r="L1897" s="170">
        <v>44805</v>
      </c>
      <c r="M1897" s="116">
        <v>288.8</v>
      </c>
      <c r="N1897" s="116">
        <v>294.5</v>
      </c>
      <c r="O1897" s="116">
        <v>285</v>
      </c>
      <c r="P1897" s="116">
        <v>288.85000000000002</v>
      </c>
      <c r="Q1897" s="116">
        <v>288.8</v>
      </c>
      <c r="R1897">
        <v>166281</v>
      </c>
    </row>
    <row r="1898" spans="1:18" x14ac:dyDescent="0.25">
      <c r="A1898" s="170">
        <v>44837</v>
      </c>
      <c r="B1898" s="116">
        <v>277.8</v>
      </c>
      <c r="C1898" s="116">
        <v>268.7</v>
      </c>
      <c r="D1898" s="116">
        <v>267.95</v>
      </c>
      <c r="E1898" s="116">
        <v>274.10000000000002</v>
      </c>
      <c r="F1898" s="116">
        <v>268.7</v>
      </c>
      <c r="G1898">
        <v>12700</v>
      </c>
      <c r="H1898" s="116"/>
      <c r="I1898" s="116"/>
      <c r="L1898" s="170">
        <v>44806</v>
      </c>
      <c r="M1898" s="116">
        <v>301.64999999999998</v>
      </c>
      <c r="N1898" s="116">
        <v>304.89999999999998</v>
      </c>
      <c r="O1898" s="116">
        <v>290.7</v>
      </c>
      <c r="P1898" s="116">
        <v>290.7</v>
      </c>
      <c r="Q1898" s="116">
        <v>301.64999999999998</v>
      </c>
      <c r="R1898">
        <v>422611</v>
      </c>
    </row>
    <row r="1899" spans="1:18" x14ac:dyDescent="0.25">
      <c r="A1899" s="170">
        <v>44838</v>
      </c>
      <c r="B1899" s="116">
        <v>281.75</v>
      </c>
      <c r="C1899" s="116">
        <v>279.10000000000002</v>
      </c>
      <c r="D1899" s="116">
        <v>277.25</v>
      </c>
      <c r="E1899" s="116">
        <v>279.45</v>
      </c>
      <c r="F1899" s="116">
        <v>279.10000000000002</v>
      </c>
      <c r="G1899">
        <v>17856</v>
      </c>
      <c r="H1899" s="116"/>
      <c r="I1899" s="116"/>
      <c r="L1899" s="170">
        <v>44809</v>
      </c>
      <c r="M1899" s="116">
        <v>292.7</v>
      </c>
      <c r="N1899" s="116">
        <v>303.8</v>
      </c>
      <c r="O1899" s="116">
        <v>291.35000000000002</v>
      </c>
      <c r="P1899" s="116">
        <v>303</v>
      </c>
      <c r="Q1899" s="116">
        <v>292.7</v>
      </c>
      <c r="R1899">
        <v>204867</v>
      </c>
    </row>
    <row r="1900" spans="1:18" x14ac:dyDescent="0.25">
      <c r="A1900" s="170">
        <v>44840</v>
      </c>
      <c r="B1900" s="116">
        <v>285.3</v>
      </c>
      <c r="C1900" s="116">
        <v>283.55</v>
      </c>
      <c r="D1900" s="116">
        <v>279.05</v>
      </c>
      <c r="E1900" s="116">
        <v>279.05</v>
      </c>
      <c r="F1900" s="116">
        <v>283.55</v>
      </c>
      <c r="G1900">
        <v>20273</v>
      </c>
      <c r="H1900" s="116"/>
      <c r="I1900" s="116"/>
      <c r="L1900" s="170">
        <v>44810</v>
      </c>
      <c r="M1900" s="116">
        <v>284.8</v>
      </c>
      <c r="N1900" s="116">
        <v>296.7</v>
      </c>
      <c r="O1900" s="116">
        <v>282</v>
      </c>
      <c r="P1900" s="116">
        <v>295</v>
      </c>
      <c r="Q1900" s="116">
        <v>284.8</v>
      </c>
      <c r="R1900">
        <v>145689</v>
      </c>
    </row>
    <row r="1901" spans="1:18" x14ac:dyDescent="0.25">
      <c r="A1901" s="170">
        <v>44841</v>
      </c>
      <c r="B1901" s="116">
        <v>290</v>
      </c>
      <c r="C1901" s="116">
        <v>288.2</v>
      </c>
      <c r="D1901" s="116">
        <v>282.7</v>
      </c>
      <c r="E1901" s="116">
        <v>283.5</v>
      </c>
      <c r="F1901" s="116">
        <v>288.2</v>
      </c>
      <c r="G1901">
        <v>6553</v>
      </c>
      <c r="H1901" s="116"/>
      <c r="I1901" s="116"/>
      <c r="L1901" s="170">
        <v>44811</v>
      </c>
      <c r="M1901" s="116">
        <v>293.3</v>
      </c>
      <c r="N1901" s="116">
        <v>296.2</v>
      </c>
      <c r="O1901" s="116">
        <v>281.39999999999998</v>
      </c>
      <c r="P1901" s="116">
        <v>285.89999999999998</v>
      </c>
      <c r="Q1901" s="116">
        <v>293.3</v>
      </c>
      <c r="R1901">
        <v>178226</v>
      </c>
    </row>
    <row r="1902" spans="1:18" x14ac:dyDescent="0.25">
      <c r="A1902" s="170">
        <v>44844</v>
      </c>
      <c r="B1902" s="116">
        <v>292.60000000000002</v>
      </c>
      <c r="C1902" s="116">
        <v>288.3</v>
      </c>
      <c r="D1902" s="116">
        <v>281.95</v>
      </c>
      <c r="E1902" s="116">
        <v>282.45</v>
      </c>
      <c r="F1902" s="116">
        <v>288.3</v>
      </c>
      <c r="G1902">
        <v>29183</v>
      </c>
      <c r="H1902" s="116"/>
      <c r="I1902" s="116"/>
      <c r="L1902" s="170">
        <v>44812</v>
      </c>
      <c r="M1902" s="116">
        <v>299.2</v>
      </c>
      <c r="N1902" s="116">
        <v>302.14999999999998</v>
      </c>
      <c r="O1902" s="116">
        <v>291.10000000000002</v>
      </c>
      <c r="P1902" s="116">
        <v>295.7</v>
      </c>
      <c r="Q1902" s="116">
        <v>299.2</v>
      </c>
      <c r="R1902">
        <v>198729</v>
      </c>
    </row>
    <row r="1903" spans="1:18" x14ac:dyDescent="0.25">
      <c r="A1903" s="170">
        <v>44845</v>
      </c>
      <c r="B1903" s="116">
        <v>294</v>
      </c>
      <c r="C1903" s="116">
        <v>285.60000000000002</v>
      </c>
      <c r="D1903" s="116">
        <v>282.10000000000002</v>
      </c>
      <c r="E1903" s="116">
        <v>291</v>
      </c>
      <c r="F1903" s="116">
        <v>285.60000000000002</v>
      </c>
      <c r="G1903">
        <v>9887</v>
      </c>
      <c r="H1903" s="116"/>
      <c r="I1903" s="116"/>
      <c r="L1903" s="170">
        <v>44813</v>
      </c>
      <c r="M1903" s="116">
        <v>290.55</v>
      </c>
      <c r="N1903" s="116">
        <v>302.64999999999998</v>
      </c>
      <c r="O1903" s="116">
        <v>287</v>
      </c>
      <c r="P1903" s="116">
        <v>300.05</v>
      </c>
      <c r="Q1903" s="116">
        <v>290.55</v>
      </c>
      <c r="R1903">
        <v>187171</v>
      </c>
    </row>
    <row r="1904" spans="1:18" x14ac:dyDescent="0.25">
      <c r="A1904" s="170">
        <v>44846</v>
      </c>
      <c r="B1904" s="116">
        <v>288.95</v>
      </c>
      <c r="C1904" s="116">
        <v>277.45</v>
      </c>
      <c r="D1904" s="116">
        <v>268.7</v>
      </c>
      <c r="E1904" s="116">
        <v>286.75</v>
      </c>
      <c r="F1904" s="116">
        <v>277.45</v>
      </c>
      <c r="G1904">
        <v>9549</v>
      </c>
      <c r="H1904" s="116"/>
      <c r="I1904" s="116"/>
      <c r="L1904" s="170">
        <v>44816</v>
      </c>
      <c r="M1904" s="116">
        <v>281.89999999999998</v>
      </c>
      <c r="N1904" s="116">
        <v>295.75</v>
      </c>
      <c r="O1904" s="116">
        <v>281.5</v>
      </c>
      <c r="P1904" s="116">
        <v>292.89999999999998</v>
      </c>
      <c r="Q1904" s="116">
        <v>281.89999999999998</v>
      </c>
      <c r="R1904">
        <v>176384</v>
      </c>
    </row>
    <row r="1905" spans="1:18" x14ac:dyDescent="0.25">
      <c r="A1905" s="170">
        <v>44847</v>
      </c>
      <c r="B1905" s="116">
        <v>283.5</v>
      </c>
      <c r="C1905" s="116">
        <v>279.8</v>
      </c>
      <c r="D1905" s="116">
        <v>275.89999999999998</v>
      </c>
      <c r="E1905" s="116">
        <v>277</v>
      </c>
      <c r="F1905" s="116">
        <v>279.8</v>
      </c>
      <c r="G1905">
        <v>17167</v>
      </c>
      <c r="H1905" s="116"/>
      <c r="I1905" s="116"/>
      <c r="L1905" s="170">
        <v>44817</v>
      </c>
      <c r="M1905" s="116">
        <v>287.55</v>
      </c>
      <c r="N1905" s="116">
        <v>292</v>
      </c>
      <c r="O1905" s="116">
        <v>283.10000000000002</v>
      </c>
      <c r="P1905" s="116">
        <v>284.7</v>
      </c>
      <c r="Q1905" s="116">
        <v>287.55</v>
      </c>
      <c r="R1905">
        <v>195089</v>
      </c>
    </row>
    <row r="1906" spans="1:18" x14ac:dyDescent="0.25">
      <c r="A1906" s="170">
        <v>44848</v>
      </c>
      <c r="B1906" s="116">
        <v>289.14999999999998</v>
      </c>
      <c r="C1906" s="116">
        <v>283.45</v>
      </c>
      <c r="D1906" s="116">
        <v>283</v>
      </c>
      <c r="E1906" s="116">
        <v>286.10000000000002</v>
      </c>
      <c r="F1906" s="116">
        <v>283.45</v>
      </c>
      <c r="G1906">
        <v>8326</v>
      </c>
      <c r="H1906" s="116"/>
      <c r="I1906" s="116"/>
      <c r="L1906" s="170">
        <v>44818</v>
      </c>
      <c r="M1906" s="116">
        <v>289.95</v>
      </c>
      <c r="N1906" s="116">
        <v>292.5</v>
      </c>
      <c r="O1906" s="116">
        <v>280.10000000000002</v>
      </c>
      <c r="P1906" s="116">
        <v>284</v>
      </c>
      <c r="Q1906" s="116">
        <v>289.95</v>
      </c>
      <c r="R1906">
        <v>173261</v>
      </c>
    </row>
    <row r="1907" spans="1:18" x14ac:dyDescent="0.25">
      <c r="A1907" s="170">
        <v>44851</v>
      </c>
      <c r="B1907" s="116">
        <v>287.14999999999998</v>
      </c>
      <c r="C1907" s="116">
        <v>282.60000000000002</v>
      </c>
      <c r="D1907" s="116">
        <v>278.5</v>
      </c>
      <c r="E1907" s="116">
        <v>286.55</v>
      </c>
      <c r="F1907" s="116">
        <v>282.60000000000002</v>
      </c>
      <c r="G1907">
        <v>10380</v>
      </c>
      <c r="H1907" s="116"/>
      <c r="I1907" s="116"/>
      <c r="L1907" s="170">
        <v>44819</v>
      </c>
      <c r="M1907" s="116">
        <v>287.05</v>
      </c>
      <c r="N1907" s="116">
        <v>296.3</v>
      </c>
      <c r="O1907" s="116">
        <v>285.2</v>
      </c>
      <c r="P1907" s="116">
        <v>292.25</v>
      </c>
      <c r="Q1907" s="116">
        <v>287.05</v>
      </c>
      <c r="R1907">
        <v>118645</v>
      </c>
    </row>
    <row r="1908" spans="1:18" x14ac:dyDescent="0.25">
      <c r="A1908" s="170">
        <v>44852</v>
      </c>
      <c r="B1908" s="116">
        <v>293.8</v>
      </c>
      <c r="C1908" s="116">
        <v>285.45</v>
      </c>
      <c r="D1908" s="116">
        <v>284.10000000000002</v>
      </c>
      <c r="E1908" s="116">
        <v>284.8</v>
      </c>
      <c r="F1908" s="116">
        <v>285.45</v>
      </c>
      <c r="G1908">
        <v>14482</v>
      </c>
      <c r="H1908" s="116"/>
      <c r="I1908" s="116"/>
      <c r="L1908" s="170">
        <v>44820</v>
      </c>
      <c r="M1908" s="116">
        <v>281.7</v>
      </c>
      <c r="N1908" s="116">
        <v>288.55</v>
      </c>
      <c r="O1908" s="116">
        <v>275.45</v>
      </c>
      <c r="P1908" s="116">
        <v>288.14999999999998</v>
      </c>
      <c r="Q1908" s="116">
        <v>281.7</v>
      </c>
      <c r="R1908">
        <v>153172</v>
      </c>
    </row>
    <row r="1909" spans="1:18" x14ac:dyDescent="0.25">
      <c r="A1909" s="170">
        <v>44853</v>
      </c>
      <c r="B1909" s="116">
        <v>298</v>
      </c>
      <c r="C1909" s="116">
        <v>294.14999999999998</v>
      </c>
      <c r="D1909" s="116">
        <v>287.14999999999998</v>
      </c>
      <c r="E1909" s="116">
        <v>288.35000000000002</v>
      </c>
      <c r="F1909" s="116">
        <v>294.14999999999998</v>
      </c>
      <c r="G1909">
        <v>11855</v>
      </c>
      <c r="H1909" s="116"/>
      <c r="I1909" s="116"/>
      <c r="L1909" s="170">
        <v>44823</v>
      </c>
      <c r="M1909" s="116">
        <v>286.45</v>
      </c>
      <c r="N1909" s="116">
        <v>294</v>
      </c>
      <c r="O1909" s="116">
        <v>276.39999999999998</v>
      </c>
      <c r="P1909" s="116">
        <v>285</v>
      </c>
      <c r="Q1909" s="116">
        <v>286.45</v>
      </c>
      <c r="R1909">
        <v>119947</v>
      </c>
    </row>
    <row r="1910" spans="1:18" x14ac:dyDescent="0.25">
      <c r="A1910" s="170">
        <v>44854</v>
      </c>
      <c r="B1910" s="116">
        <v>298.64999999999998</v>
      </c>
      <c r="C1910" s="116">
        <v>290.25</v>
      </c>
      <c r="D1910" s="116">
        <v>276.8</v>
      </c>
      <c r="E1910" s="116">
        <v>298.64999999999998</v>
      </c>
      <c r="F1910" s="116">
        <v>290.25</v>
      </c>
      <c r="G1910">
        <v>6873</v>
      </c>
      <c r="H1910" s="116"/>
      <c r="I1910" s="116"/>
      <c r="L1910" s="170">
        <v>44824</v>
      </c>
      <c r="M1910" s="116">
        <v>302.2</v>
      </c>
      <c r="N1910" s="116">
        <v>315.3</v>
      </c>
      <c r="O1910" s="116">
        <v>288.64999999999998</v>
      </c>
      <c r="P1910" s="116">
        <v>289.05</v>
      </c>
      <c r="Q1910" s="116">
        <v>302.2</v>
      </c>
      <c r="R1910">
        <v>843030</v>
      </c>
    </row>
    <row r="1911" spans="1:18" x14ac:dyDescent="0.25">
      <c r="A1911" s="170">
        <v>44855</v>
      </c>
      <c r="B1911" s="116">
        <v>292.89999999999998</v>
      </c>
      <c r="C1911" s="116">
        <v>286.55</v>
      </c>
      <c r="D1911" s="116">
        <v>282.7</v>
      </c>
      <c r="E1911" s="116">
        <v>284.8</v>
      </c>
      <c r="F1911" s="116">
        <v>286.55</v>
      </c>
      <c r="G1911">
        <v>2388</v>
      </c>
      <c r="H1911" s="116"/>
      <c r="I1911" s="116"/>
      <c r="L1911" s="170">
        <v>44825</v>
      </c>
      <c r="M1911" s="116">
        <v>288.10000000000002</v>
      </c>
      <c r="N1911" s="116">
        <v>303.75</v>
      </c>
      <c r="O1911" s="116">
        <v>287</v>
      </c>
      <c r="P1911" s="116">
        <v>302.2</v>
      </c>
      <c r="Q1911" s="116">
        <v>288.10000000000002</v>
      </c>
      <c r="R1911">
        <v>191807</v>
      </c>
    </row>
    <row r="1912" spans="1:18" x14ac:dyDescent="0.25">
      <c r="A1912" s="170">
        <v>44858</v>
      </c>
      <c r="B1912" s="116">
        <v>291</v>
      </c>
      <c r="C1912" s="116">
        <v>289.45</v>
      </c>
      <c r="D1912" s="116">
        <v>282.8</v>
      </c>
      <c r="E1912" s="116">
        <v>286</v>
      </c>
      <c r="F1912" s="116">
        <v>289.45</v>
      </c>
      <c r="G1912">
        <v>3184</v>
      </c>
      <c r="H1912" s="116"/>
      <c r="I1912" s="116"/>
      <c r="L1912" s="170">
        <v>44826</v>
      </c>
      <c r="M1912" s="116">
        <v>283.55</v>
      </c>
      <c r="N1912" s="116">
        <v>292</v>
      </c>
      <c r="O1912" s="116">
        <v>278.45</v>
      </c>
      <c r="P1912" s="116">
        <v>288</v>
      </c>
      <c r="Q1912" s="116">
        <v>283.55</v>
      </c>
      <c r="R1912">
        <v>263950</v>
      </c>
    </row>
    <row r="1913" spans="1:18" x14ac:dyDescent="0.25">
      <c r="A1913" s="170">
        <v>44859</v>
      </c>
      <c r="B1913" s="116">
        <v>313.39999999999998</v>
      </c>
      <c r="C1913" s="116">
        <v>311.14999999999998</v>
      </c>
      <c r="D1913" s="116">
        <v>289.35000000000002</v>
      </c>
      <c r="E1913" s="116">
        <v>292.7</v>
      </c>
      <c r="F1913" s="116">
        <v>311.14999999999998</v>
      </c>
      <c r="G1913">
        <v>16869</v>
      </c>
      <c r="H1913" s="116"/>
      <c r="I1913" s="116"/>
      <c r="L1913" s="170">
        <v>44827</v>
      </c>
      <c r="M1913" s="116">
        <v>281.8</v>
      </c>
      <c r="N1913" s="116">
        <v>288.39999999999998</v>
      </c>
      <c r="O1913" s="116">
        <v>278.85000000000002</v>
      </c>
      <c r="P1913" s="116">
        <v>284.85000000000002</v>
      </c>
      <c r="Q1913" s="116">
        <v>281.8</v>
      </c>
      <c r="R1913">
        <v>118975</v>
      </c>
    </row>
    <row r="1914" spans="1:18" x14ac:dyDescent="0.25">
      <c r="A1914" s="170">
        <v>44861</v>
      </c>
      <c r="B1914" s="116">
        <v>333.95</v>
      </c>
      <c r="C1914" s="116">
        <v>324.89999999999998</v>
      </c>
      <c r="D1914" s="116">
        <v>318.25</v>
      </c>
      <c r="E1914" s="116">
        <v>318.25</v>
      </c>
      <c r="F1914" s="116">
        <v>324.89999999999998</v>
      </c>
      <c r="G1914">
        <v>53381</v>
      </c>
      <c r="H1914" s="116"/>
      <c r="I1914" s="116"/>
      <c r="L1914" s="170">
        <v>44830</v>
      </c>
      <c r="M1914" s="116">
        <v>263.95</v>
      </c>
      <c r="N1914" s="116">
        <v>280</v>
      </c>
      <c r="O1914" s="116">
        <v>261.64999999999998</v>
      </c>
      <c r="P1914" s="116">
        <v>280</v>
      </c>
      <c r="Q1914" s="116">
        <v>263.95</v>
      </c>
      <c r="R1914">
        <v>144349</v>
      </c>
    </row>
    <row r="1915" spans="1:18" x14ac:dyDescent="0.25">
      <c r="A1915" s="170">
        <v>44862</v>
      </c>
      <c r="B1915" s="116">
        <v>328.2</v>
      </c>
      <c r="C1915" s="116">
        <v>322.75</v>
      </c>
      <c r="D1915" s="116">
        <v>315.45</v>
      </c>
      <c r="E1915" s="116">
        <v>328.2</v>
      </c>
      <c r="F1915" s="116">
        <v>322.75</v>
      </c>
      <c r="G1915">
        <v>15331</v>
      </c>
      <c r="H1915" s="116"/>
      <c r="I1915" s="116"/>
      <c r="L1915" s="170">
        <v>44831</v>
      </c>
      <c r="M1915" s="116">
        <v>265.60000000000002</v>
      </c>
      <c r="N1915" s="116">
        <v>270.60000000000002</v>
      </c>
      <c r="O1915" s="116">
        <v>257.5</v>
      </c>
      <c r="P1915" s="116">
        <v>264.89999999999998</v>
      </c>
      <c r="Q1915" s="116">
        <v>265.60000000000002</v>
      </c>
      <c r="R1915">
        <v>171413</v>
      </c>
    </row>
    <row r="1916" spans="1:18" x14ac:dyDescent="0.25">
      <c r="A1916" s="170">
        <v>44865</v>
      </c>
      <c r="B1916" s="116">
        <v>349</v>
      </c>
      <c r="C1916" s="116">
        <v>329.35</v>
      </c>
      <c r="D1916" s="116">
        <v>327</v>
      </c>
      <c r="E1916" s="116">
        <v>347</v>
      </c>
      <c r="F1916" s="116">
        <v>329.35</v>
      </c>
      <c r="G1916">
        <v>86503</v>
      </c>
      <c r="H1916" s="116"/>
      <c r="I1916" s="116"/>
      <c r="L1916" s="170">
        <v>44832</v>
      </c>
      <c r="M1916" s="116">
        <v>263.35000000000002</v>
      </c>
      <c r="N1916" s="116">
        <v>272.5</v>
      </c>
      <c r="O1916" s="116">
        <v>259.55</v>
      </c>
      <c r="P1916" s="116">
        <v>260</v>
      </c>
      <c r="Q1916" s="116">
        <v>263.35000000000002</v>
      </c>
      <c r="R1916">
        <v>104603</v>
      </c>
    </row>
    <row r="1917" spans="1:18" x14ac:dyDescent="0.25">
      <c r="A1917" s="170">
        <v>44866</v>
      </c>
      <c r="B1917" s="116">
        <v>333</v>
      </c>
      <c r="C1917" s="116">
        <v>327.5</v>
      </c>
      <c r="D1917" s="116">
        <v>324.10000000000002</v>
      </c>
      <c r="E1917" s="116">
        <v>328.85</v>
      </c>
      <c r="F1917" s="116">
        <v>327.5</v>
      </c>
      <c r="G1917">
        <v>7834</v>
      </c>
      <c r="H1917" s="116"/>
      <c r="I1917" s="116"/>
      <c r="L1917" s="170">
        <v>44833</v>
      </c>
      <c r="M1917" s="116">
        <v>266.25</v>
      </c>
      <c r="N1917" s="116">
        <v>270.64999999999998</v>
      </c>
      <c r="O1917" s="116">
        <v>262.05</v>
      </c>
      <c r="P1917" s="116">
        <v>267.35000000000002</v>
      </c>
      <c r="Q1917" s="116">
        <v>266.25</v>
      </c>
      <c r="R1917">
        <v>52849</v>
      </c>
    </row>
    <row r="1918" spans="1:18" x14ac:dyDescent="0.25">
      <c r="A1918" s="170">
        <v>44867</v>
      </c>
      <c r="B1918" s="116">
        <v>329.25</v>
      </c>
      <c r="C1918" s="116">
        <v>311.5</v>
      </c>
      <c r="D1918" s="116">
        <v>307.39999999999998</v>
      </c>
      <c r="E1918" s="116">
        <v>328.3</v>
      </c>
      <c r="F1918" s="116">
        <v>311.5</v>
      </c>
      <c r="G1918">
        <v>13983</v>
      </c>
      <c r="H1918" s="116"/>
      <c r="I1918" s="116"/>
      <c r="L1918" s="170">
        <v>44834</v>
      </c>
      <c r="M1918" s="116">
        <v>273.64999999999998</v>
      </c>
      <c r="N1918" s="116">
        <v>276</v>
      </c>
      <c r="O1918" s="116">
        <v>263.3</v>
      </c>
      <c r="P1918" s="116">
        <v>267.2</v>
      </c>
      <c r="Q1918" s="116">
        <v>273.64999999999998</v>
      </c>
      <c r="R1918">
        <v>65337</v>
      </c>
    </row>
    <row r="1919" spans="1:18" x14ac:dyDescent="0.25">
      <c r="A1919" s="170">
        <v>44868</v>
      </c>
      <c r="B1919" s="116">
        <v>317.45</v>
      </c>
      <c r="C1919" s="116">
        <v>306.7</v>
      </c>
      <c r="D1919" s="116">
        <v>305.5</v>
      </c>
      <c r="E1919" s="116">
        <v>312.39999999999998</v>
      </c>
      <c r="F1919" s="116">
        <v>306.7</v>
      </c>
      <c r="G1919">
        <v>10110</v>
      </c>
      <c r="H1919" s="116"/>
      <c r="I1919" s="116"/>
      <c r="L1919" s="170">
        <v>44837</v>
      </c>
      <c r="M1919" s="116">
        <v>269.95</v>
      </c>
      <c r="N1919" s="116">
        <v>278</v>
      </c>
      <c r="O1919" s="116">
        <v>267.25</v>
      </c>
      <c r="P1919" s="116">
        <v>276.10000000000002</v>
      </c>
      <c r="Q1919" s="116">
        <v>269.95</v>
      </c>
      <c r="R1919">
        <v>62737</v>
      </c>
    </row>
    <row r="1920" spans="1:18" x14ac:dyDescent="0.25">
      <c r="A1920" s="170">
        <v>44869</v>
      </c>
      <c r="B1920" s="116">
        <v>317.45</v>
      </c>
      <c r="C1920" s="116">
        <v>313.75</v>
      </c>
      <c r="D1920" s="116">
        <v>308.95</v>
      </c>
      <c r="E1920" s="116">
        <v>308.95</v>
      </c>
      <c r="F1920" s="116">
        <v>313.75</v>
      </c>
      <c r="G1920">
        <v>13042</v>
      </c>
      <c r="H1920" s="116"/>
      <c r="I1920" s="116"/>
      <c r="L1920" s="170">
        <v>44838</v>
      </c>
      <c r="M1920" s="116">
        <v>278.95</v>
      </c>
      <c r="N1920" s="116">
        <v>283.89999999999998</v>
      </c>
      <c r="O1920" s="116">
        <v>275.8</v>
      </c>
      <c r="P1920" s="116">
        <v>275.8</v>
      </c>
      <c r="Q1920" s="116">
        <v>278.95</v>
      </c>
      <c r="R1920">
        <v>97367</v>
      </c>
    </row>
    <row r="1921" spans="1:18" x14ac:dyDescent="0.25">
      <c r="A1921" s="170">
        <v>44872</v>
      </c>
      <c r="B1921" s="116">
        <v>321.95</v>
      </c>
      <c r="C1921" s="116">
        <v>318.85000000000002</v>
      </c>
      <c r="D1921" s="116">
        <v>314.05</v>
      </c>
      <c r="E1921" s="116">
        <v>315.3</v>
      </c>
      <c r="F1921" s="116">
        <v>318.85000000000002</v>
      </c>
      <c r="G1921">
        <v>5830</v>
      </c>
      <c r="H1921" s="116"/>
      <c r="I1921" s="116"/>
      <c r="L1921" s="170">
        <v>44840</v>
      </c>
      <c r="M1921" s="116">
        <v>283.95</v>
      </c>
      <c r="N1921" s="116">
        <v>285</v>
      </c>
      <c r="O1921" s="116">
        <v>280.05</v>
      </c>
      <c r="P1921" s="116">
        <v>282.39999999999998</v>
      </c>
      <c r="Q1921" s="116">
        <v>283.95</v>
      </c>
      <c r="R1921">
        <v>57449</v>
      </c>
    </row>
    <row r="1922" spans="1:18" x14ac:dyDescent="0.25">
      <c r="A1922" s="170">
        <v>44874</v>
      </c>
      <c r="B1922" s="116">
        <v>325</v>
      </c>
      <c r="C1922" s="116">
        <v>321.2</v>
      </c>
      <c r="D1922" s="116">
        <v>318.7</v>
      </c>
      <c r="E1922" s="116">
        <v>319.39999999999998</v>
      </c>
      <c r="F1922" s="116">
        <v>321.2</v>
      </c>
      <c r="G1922">
        <v>11293</v>
      </c>
      <c r="H1922" s="116"/>
      <c r="I1922" s="116"/>
      <c r="L1922" s="170">
        <v>44841</v>
      </c>
      <c r="M1922" s="116">
        <v>287.14999999999998</v>
      </c>
      <c r="N1922" s="116">
        <v>290</v>
      </c>
      <c r="O1922" s="116">
        <v>281.25</v>
      </c>
      <c r="P1922" s="116">
        <v>286</v>
      </c>
      <c r="Q1922" s="116">
        <v>287.14999999999998</v>
      </c>
      <c r="R1922">
        <v>78448</v>
      </c>
    </row>
    <row r="1923" spans="1:18" x14ac:dyDescent="0.25">
      <c r="A1923" s="170">
        <v>44875</v>
      </c>
      <c r="B1923" s="116">
        <v>322.39999999999998</v>
      </c>
      <c r="C1923" s="116">
        <v>310.3</v>
      </c>
      <c r="D1923" s="116">
        <v>305.60000000000002</v>
      </c>
      <c r="E1923" s="116">
        <v>319.60000000000002</v>
      </c>
      <c r="F1923" s="116">
        <v>310.3</v>
      </c>
      <c r="G1923">
        <v>6589</v>
      </c>
      <c r="H1923" s="116"/>
      <c r="I1923" s="116"/>
      <c r="L1923" s="170">
        <v>44844</v>
      </c>
      <c r="M1923" s="116">
        <v>288.75</v>
      </c>
      <c r="N1923" s="116">
        <v>292.8</v>
      </c>
      <c r="O1923" s="116">
        <v>281.05</v>
      </c>
      <c r="P1923" s="116">
        <v>286.39999999999998</v>
      </c>
      <c r="Q1923" s="116">
        <v>288.75</v>
      </c>
      <c r="R1923">
        <v>73141</v>
      </c>
    </row>
    <row r="1924" spans="1:18" x14ac:dyDescent="0.25">
      <c r="A1924" s="170">
        <v>44876</v>
      </c>
      <c r="B1924" s="116">
        <v>315.35000000000002</v>
      </c>
      <c r="C1924" s="116">
        <v>308.45</v>
      </c>
      <c r="D1924" s="116">
        <v>305.5</v>
      </c>
      <c r="E1924" s="116">
        <v>310.35000000000002</v>
      </c>
      <c r="F1924" s="116">
        <v>308.45</v>
      </c>
      <c r="G1924">
        <v>2549</v>
      </c>
      <c r="H1924" s="116"/>
      <c r="I1924" s="116"/>
      <c r="L1924" s="170">
        <v>44845</v>
      </c>
      <c r="M1924" s="116">
        <v>285.2</v>
      </c>
      <c r="N1924" s="116">
        <v>294.10000000000002</v>
      </c>
      <c r="O1924" s="116">
        <v>281.95</v>
      </c>
      <c r="P1924" s="116">
        <v>289.85000000000002</v>
      </c>
      <c r="Q1924" s="116">
        <v>285.2</v>
      </c>
      <c r="R1924">
        <v>73198</v>
      </c>
    </row>
    <row r="1925" spans="1:18" x14ac:dyDescent="0.25">
      <c r="A1925" s="170">
        <v>44879</v>
      </c>
      <c r="B1925" s="116">
        <v>314</v>
      </c>
      <c r="C1925" s="116">
        <v>311.14999999999998</v>
      </c>
      <c r="D1925" s="116">
        <v>304.7</v>
      </c>
      <c r="E1925" s="116">
        <v>307.3</v>
      </c>
      <c r="F1925" s="116">
        <v>311.14999999999998</v>
      </c>
      <c r="G1925">
        <v>16294</v>
      </c>
      <c r="H1925" s="116"/>
      <c r="I1925" s="116"/>
      <c r="L1925" s="170">
        <v>44846</v>
      </c>
      <c r="M1925" s="116">
        <v>277.64999999999998</v>
      </c>
      <c r="N1925" s="116">
        <v>289.35000000000002</v>
      </c>
      <c r="O1925" s="116">
        <v>268.25</v>
      </c>
      <c r="P1925" s="116">
        <v>287</v>
      </c>
      <c r="Q1925" s="116">
        <v>277.64999999999998</v>
      </c>
      <c r="R1925">
        <v>121827</v>
      </c>
    </row>
    <row r="1926" spans="1:18" x14ac:dyDescent="0.25">
      <c r="A1926" s="170">
        <v>44880</v>
      </c>
      <c r="B1926" s="116">
        <v>315.7</v>
      </c>
      <c r="C1926" s="116">
        <v>310.35000000000002</v>
      </c>
      <c r="D1926" s="116">
        <v>306.35000000000002</v>
      </c>
      <c r="E1926" s="116">
        <v>306.35000000000002</v>
      </c>
      <c r="F1926" s="116">
        <v>310.35000000000002</v>
      </c>
      <c r="G1926">
        <v>14596</v>
      </c>
      <c r="H1926" s="116"/>
      <c r="I1926" s="116"/>
      <c r="L1926" s="170">
        <v>44847</v>
      </c>
      <c r="M1926" s="116">
        <v>280.64999999999998</v>
      </c>
      <c r="N1926" s="116">
        <v>284</v>
      </c>
      <c r="O1926" s="116">
        <v>275.3</v>
      </c>
      <c r="P1926" s="116">
        <v>276</v>
      </c>
      <c r="Q1926" s="116">
        <v>280.64999999999998</v>
      </c>
      <c r="R1926">
        <v>80182</v>
      </c>
    </row>
    <row r="1927" spans="1:18" x14ac:dyDescent="0.25">
      <c r="A1927" s="170">
        <v>44881</v>
      </c>
      <c r="B1927" s="116">
        <v>313</v>
      </c>
      <c r="C1927" s="116">
        <v>306.85000000000002</v>
      </c>
      <c r="D1927" s="116">
        <v>305</v>
      </c>
      <c r="E1927" s="116">
        <v>305</v>
      </c>
      <c r="F1927" s="116">
        <v>306.85000000000002</v>
      </c>
      <c r="G1927">
        <v>3314</v>
      </c>
      <c r="H1927" s="116"/>
      <c r="I1927" s="116"/>
      <c r="L1927" s="170">
        <v>44848</v>
      </c>
      <c r="M1927" s="116">
        <v>283.8</v>
      </c>
      <c r="N1927" s="116">
        <v>289.7</v>
      </c>
      <c r="O1927" s="116">
        <v>282</v>
      </c>
      <c r="P1927" s="116">
        <v>287</v>
      </c>
      <c r="Q1927" s="116">
        <v>283.8</v>
      </c>
      <c r="R1927">
        <v>65670</v>
      </c>
    </row>
    <row r="1928" spans="1:18" x14ac:dyDescent="0.25">
      <c r="A1928" s="170">
        <v>44882</v>
      </c>
      <c r="B1928" s="116">
        <v>307.5</v>
      </c>
      <c r="C1928" s="116">
        <v>286.89999999999998</v>
      </c>
      <c r="D1928" s="116">
        <v>282.05</v>
      </c>
      <c r="E1928" s="116">
        <v>306.64999999999998</v>
      </c>
      <c r="F1928" s="116">
        <v>286.89999999999998</v>
      </c>
      <c r="G1928">
        <v>34858</v>
      </c>
      <c r="H1928" s="116"/>
      <c r="I1928" s="116"/>
      <c r="L1928" s="170">
        <v>44851</v>
      </c>
      <c r="M1928" s="116">
        <v>282.10000000000002</v>
      </c>
      <c r="N1928" s="116">
        <v>287.95</v>
      </c>
      <c r="O1928" s="116">
        <v>278.60000000000002</v>
      </c>
      <c r="P1928" s="116">
        <v>285.2</v>
      </c>
      <c r="Q1928" s="116">
        <v>282.10000000000002</v>
      </c>
      <c r="R1928">
        <v>63992</v>
      </c>
    </row>
    <row r="1929" spans="1:18" x14ac:dyDescent="0.25">
      <c r="A1929" s="170">
        <v>44883</v>
      </c>
      <c r="B1929" s="116">
        <v>291.7</v>
      </c>
      <c r="C1929" s="116">
        <v>290.85000000000002</v>
      </c>
      <c r="D1929" s="116">
        <v>283.89999999999998</v>
      </c>
      <c r="E1929" s="116">
        <v>286.25</v>
      </c>
      <c r="F1929" s="116">
        <v>290.85000000000002</v>
      </c>
      <c r="G1929">
        <v>4378</v>
      </c>
      <c r="H1929" s="116"/>
      <c r="I1929" s="116"/>
      <c r="L1929" s="170">
        <v>44852</v>
      </c>
      <c r="M1929" s="116">
        <v>285.75</v>
      </c>
      <c r="N1929" s="116">
        <v>293.75</v>
      </c>
      <c r="O1929" s="116">
        <v>284.55</v>
      </c>
      <c r="P1929" s="116">
        <v>286.35000000000002</v>
      </c>
      <c r="Q1929" s="116">
        <v>285.75</v>
      </c>
      <c r="R1929">
        <v>89973</v>
      </c>
    </row>
    <row r="1930" spans="1:18" x14ac:dyDescent="0.25">
      <c r="A1930" s="170">
        <v>44886</v>
      </c>
      <c r="B1930" s="116">
        <v>309</v>
      </c>
      <c r="C1930" s="116">
        <v>279.45</v>
      </c>
      <c r="D1930" s="116">
        <v>277</v>
      </c>
      <c r="E1930" s="116">
        <v>309</v>
      </c>
      <c r="F1930" s="116">
        <v>279.45</v>
      </c>
      <c r="G1930">
        <v>22696</v>
      </c>
      <c r="H1930" s="116"/>
      <c r="I1930" s="116"/>
      <c r="L1930" s="170">
        <v>44853</v>
      </c>
      <c r="M1930" s="116">
        <v>293.55</v>
      </c>
      <c r="N1930" s="116">
        <v>298</v>
      </c>
      <c r="O1930" s="116">
        <v>286.2</v>
      </c>
      <c r="P1930" s="116">
        <v>293.8</v>
      </c>
      <c r="Q1930" s="116">
        <v>293.55</v>
      </c>
      <c r="R1930">
        <v>159028</v>
      </c>
    </row>
    <row r="1931" spans="1:18" x14ac:dyDescent="0.25">
      <c r="A1931" s="170">
        <v>44887</v>
      </c>
      <c r="B1931" s="116">
        <v>293.55</v>
      </c>
      <c r="C1931" s="116">
        <v>286.7</v>
      </c>
      <c r="D1931" s="116">
        <v>278.14999999999998</v>
      </c>
      <c r="E1931" s="116">
        <v>278.14999999999998</v>
      </c>
      <c r="F1931" s="116">
        <v>286.7</v>
      </c>
      <c r="G1931">
        <v>6594</v>
      </c>
      <c r="H1931" s="116"/>
      <c r="I1931" s="116"/>
      <c r="L1931" s="170">
        <v>44854</v>
      </c>
      <c r="M1931" s="116">
        <v>290.60000000000002</v>
      </c>
      <c r="N1931" s="116">
        <v>295</v>
      </c>
      <c r="O1931" s="116">
        <v>285.05</v>
      </c>
      <c r="P1931" s="116">
        <v>295</v>
      </c>
      <c r="Q1931" s="116">
        <v>290.60000000000002</v>
      </c>
      <c r="R1931">
        <v>41905</v>
      </c>
    </row>
    <row r="1932" spans="1:18" x14ac:dyDescent="0.25">
      <c r="A1932" s="170">
        <v>44888</v>
      </c>
      <c r="B1932" s="116">
        <v>296</v>
      </c>
      <c r="C1932" s="116">
        <v>295.05</v>
      </c>
      <c r="D1932" s="116">
        <v>287.7</v>
      </c>
      <c r="E1932" s="116">
        <v>294.5</v>
      </c>
      <c r="F1932" s="116">
        <v>295.05</v>
      </c>
      <c r="G1932">
        <v>9886</v>
      </c>
      <c r="H1932" s="116"/>
      <c r="I1932" s="116"/>
      <c r="L1932" s="170">
        <v>44855</v>
      </c>
      <c r="M1932" s="116">
        <v>285.14999999999998</v>
      </c>
      <c r="N1932" s="116">
        <v>293</v>
      </c>
      <c r="O1932" s="116">
        <v>282.25</v>
      </c>
      <c r="P1932" s="116">
        <v>289</v>
      </c>
      <c r="Q1932" s="116">
        <v>285.14999999999998</v>
      </c>
      <c r="R1932">
        <v>46293</v>
      </c>
    </row>
    <row r="1933" spans="1:18" x14ac:dyDescent="0.25">
      <c r="A1933" s="170">
        <v>44889</v>
      </c>
      <c r="B1933" s="116">
        <v>308.5</v>
      </c>
      <c r="C1933" s="116">
        <v>296.25</v>
      </c>
      <c r="D1933" s="116">
        <v>292</v>
      </c>
      <c r="E1933" s="116">
        <v>298.10000000000002</v>
      </c>
      <c r="F1933" s="116">
        <v>296.25</v>
      </c>
      <c r="G1933">
        <v>26874</v>
      </c>
      <c r="H1933" s="116"/>
      <c r="I1933" s="116"/>
      <c r="L1933" s="170">
        <v>44858</v>
      </c>
      <c r="M1933" s="116">
        <v>290.25</v>
      </c>
      <c r="N1933" s="116">
        <v>294</v>
      </c>
      <c r="O1933" s="116">
        <v>284.95</v>
      </c>
      <c r="P1933" s="116">
        <v>287.7</v>
      </c>
      <c r="Q1933" s="116">
        <v>290.25</v>
      </c>
      <c r="R1933">
        <v>15561</v>
      </c>
    </row>
    <row r="1934" spans="1:18" x14ac:dyDescent="0.25">
      <c r="A1934" s="170">
        <v>44890</v>
      </c>
      <c r="B1934" s="116">
        <v>298.64999999999998</v>
      </c>
      <c r="C1934" s="116">
        <v>294.89999999999998</v>
      </c>
      <c r="D1934" s="116">
        <v>292.8</v>
      </c>
      <c r="E1934" s="116">
        <v>297</v>
      </c>
      <c r="F1934" s="116">
        <v>294.89999999999998</v>
      </c>
      <c r="G1934">
        <v>10509</v>
      </c>
      <c r="H1934" s="116"/>
      <c r="I1934" s="116"/>
      <c r="L1934" s="170">
        <v>44859</v>
      </c>
      <c r="M1934" s="116">
        <v>310.7</v>
      </c>
      <c r="N1934" s="116">
        <v>313</v>
      </c>
      <c r="O1934" s="116">
        <v>289.45</v>
      </c>
      <c r="P1934" s="116">
        <v>294.3</v>
      </c>
      <c r="Q1934" s="116">
        <v>310.7</v>
      </c>
      <c r="R1934">
        <v>492400</v>
      </c>
    </row>
    <row r="1935" spans="1:18" x14ac:dyDescent="0.25">
      <c r="A1935" s="170">
        <v>44893</v>
      </c>
      <c r="B1935" s="116">
        <v>296</v>
      </c>
      <c r="C1935" s="116">
        <v>288.5</v>
      </c>
      <c r="D1935" s="116">
        <v>287</v>
      </c>
      <c r="E1935" s="116">
        <v>290</v>
      </c>
      <c r="F1935" s="116">
        <v>288.5</v>
      </c>
      <c r="G1935">
        <v>16961</v>
      </c>
      <c r="H1935" s="116"/>
      <c r="I1935" s="116"/>
      <c r="L1935" s="170">
        <v>44861</v>
      </c>
      <c r="M1935" s="116">
        <v>325.64999999999998</v>
      </c>
      <c r="N1935" s="116">
        <v>339.9</v>
      </c>
      <c r="O1935" s="116">
        <v>319.10000000000002</v>
      </c>
      <c r="P1935" s="116">
        <v>319.5</v>
      </c>
      <c r="Q1935" s="116">
        <v>325.64999999999998</v>
      </c>
      <c r="R1935">
        <v>698764</v>
      </c>
    </row>
    <row r="1936" spans="1:18" x14ac:dyDescent="0.25">
      <c r="A1936" s="170">
        <v>44894</v>
      </c>
      <c r="B1936" s="116">
        <v>289.55</v>
      </c>
      <c r="C1936" s="116">
        <v>286</v>
      </c>
      <c r="D1936" s="116">
        <v>284.8</v>
      </c>
      <c r="E1936" s="116">
        <v>289.14999999999998</v>
      </c>
      <c r="F1936" s="116">
        <v>286</v>
      </c>
      <c r="G1936">
        <v>8140</v>
      </c>
      <c r="H1936" s="116"/>
      <c r="I1936" s="116"/>
      <c r="L1936" s="170">
        <v>44862</v>
      </c>
      <c r="M1936" s="116">
        <v>322.75</v>
      </c>
      <c r="N1936" s="116">
        <v>327.2</v>
      </c>
      <c r="O1936" s="116">
        <v>315.39999999999998</v>
      </c>
      <c r="P1936" s="116">
        <v>325.75</v>
      </c>
      <c r="Q1936" s="116">
        <v>322.75</v>
      </c>
      <c r="R1936">
        <v>196386</v>
      </c>
    </row>
    <row r="1937" spans="1:18" x14ac:dyDescent="0.25">
      <c r="A1937" s="170">
        <v>44895</v>
      </c>
      <c r="B1937" s="116">
        <v>289</v>
      </c>
      <c r="C1937" s="116">
        <v>287.25</v>
      </c>
      <c r="D1937" s="116">
        <v>285.5</v>
      </c>
      <c r="E1937" s="116">
        <v>289</v>
      </c>
      <c r="F1937" s="116">
        <v>287.25</v>
      </c>
      <c r="G1937">
        <v>7278</v>
      </c>
      <c r="H1937" s="116"/>
      <c r="I1937" s="116"/>
      <c r="L1937" s="170">
        <v>44865</v>
      </c>
      <c r="M1937" s="116">
        <v>329.45</v>
      </c>
      <c r="N1937" s="116">
        <v>347.9</v>
      </c>
      <c r="O1937" s="116">
        <v>327.55</v>
      </c>
      <c r="P1937" s="116">
        <v>347</v>
      </c>
      <c r="Q1937" s="116">
        <v>329.45</v>
      </c>
      <c r="R1937">
        <v>967120</v>
      </c>
    </row>
    <row r="1938" spans="1:18" x14ac:dyDescent="0.25">
      <c r="A1938" s="170">
        <v>44896</v>
      </c>
      <c r="B1938" s="116">
        <v>297</v>
      </c>
      <c r="C1938" s="116">
        <v>291.2</v>
      </c>
      <c r="D1938" s="116">
        <v>288.64999999999998</v>
      </c>
      <c r="E1938" s="116">
        <v>291.5</v>
      </c>
      <c r="F1938" s="116">
        <v>291.2</v>
      </c>
      <c r="G1938">
        <v>14325</v>
      </c>
      <c r="H1938" s="116"/>
      <c r="I1938" s="116"/>
      <c r="L1938" s="170">
        <v>44866</v>
      </c>
      <c r="M1938" s="116">
        <v>328.7</v>
      </c>
      <c r="N1938" s="116">
        <v>334.45</v>
      </c>
      <c r="O1938" s="116">
        <v>323.10000000000002</v>
      </c>
      <c r="P1938" s="116">
        <v>331.9</v>
      </c>
      <c r="Q1938" s="116">
        <v>328.7</v>
      </c>
      <c r="R1938">
        <v>166057</v>
      </c>
    </row>
    <row r="1939" spans="1:18" x14ac:dyDescent="0.25">
      <c r="A1939" s="170">
        <v>44897</v>
      </c>
      <c r="B1939" s="116">
        <v>290.85000000000002</v>
      </c>
      <c r="C1939" s="116">
        <v>287.35000000000002</v>
      </c>
      <c r="D1939" s="116">
        <v>286.89999999999998</v>
      </c>
      <c r="E1939" s="116">
        <v>290.64999999999998</v>
      </c>
      <c r="F1939" s="116">
        <v>287.35000000000002</v>
      </c>
      <c r="G1939">
        <v>8302</v>
      </c>
      <c r="H1939" s="116"/>
      <c r="I1939" s="116"/>
      <c r="L1939" s="170">
        <v>44867</v>
      </c>
      <c r="M1939" s="116">
        <v>311.60000000000002</v>
      </c>
      <c r="N1939" s="116">
        <v>330</v>
      </c>
      <c r="O1939" s="116">
        <v>303.3</v>
      </c>
      <c r="P1939" s="116">
        <v>326</v>
      </c>
      <c r="Q1939" s="116">
        <v>311.60000000000002</v>
      </c>
      <c r="R1939">
        <v>206465</v>
      </c>
    </row>
    <row r="1940" spans="1:18" x14ac:dyDescent="0.25">
      <c r="A1940" s="170">
        <v>44900</v>
      </c>
      <c r="B1940" s="116">
        <v>289.60000000000002</v>
      </c>
      <c r="C1940" s="116">
        <v>288.89999999999998</v>
      </c>
      <c r="D1940" s="116">
        <v>286.89999999999998</v>
      </c>
      <c r="E1940" s="116">
        <v>289.60000000000002</v>
      </c>
      <c r="F1940" s="116">
        <v>288.89999999999998</v>
      </c>
      <c r="G1940">
        <v>3013</v>
      </c>
      <c r="H1940" s="116"/>
      <c r="I1940" s="116"/>
      <c r="L1940" s="170">
        <v>44868</v>
      </c>
      <c r="M1940" s="116">
        <v>306.55</v>
      </c>
      <c r="N1940" s="116">
        <v>317.89999999999998</v>
      </c>
      <c r="O1940" s="116">
        <v>304.75</v>
      </c>
      <c r="P1940" s="116">
        <v>315</v>
      </c>
      <c r="Q1940" s="116">
        <v>306.55</v>
      </c>
      <c r="R1940">
        <v>138488</v>
      </c>
    </row>
    <row r="1941" spans="1:18" x14ac:dyDescent="0.25">
      <c r="A1941" s="170">
        <v>44901</v>
      </c>
      <c r="B1941" s="116">
        <v>294.85000000000002</v>
      </c>
      <c r="C1941" s="116">
        <v>290.75</v>
      </c>
      <c r="D1941" s="116">
        <v>286.8</v>
      </c>
      <c r="E1941" s="116">
        <v>287.95</v>
      </c>
      <c r="F1941" s="116">
        <v>290.75</v>
      </c>
      <c r="G1941">
        <v>9964</v>
      </c>
      <c r="H1941" s="116"/>
      <c r="I1941" s="116"/>
      <c r="L1941" s="170">
        <v>44869</v>
      </c>
      <c r="M1941" s="116">
        <v>314.05</v>
      </c>
      <c r="N1941" s="116">
        <v>317.7</v>
      </c>
      <c r="O1941" s="116">
        <v>308</v>
      </c>
      <c r="P1941" s="116">
        <v>308</v>
      </c>
      <c r="Q1941" s="116">
        <v>314.05</v>
      </c>
      <c r="R1941">
        <v>119864</v>
      </c>
    </row>
    <row r="1942" spans="1:18" x14ac:dyDescent="0.25">
      <c r="A1942" s="170">
        <v>44902</v>
      </c>
      <c r="B1942" s="116">
        <v>292.7</v>
      </c>
      <c r="C1942" s="116">
        <v>286.8</v>
      </c>
      <c r="D1942" s="116">
        <v>284.8</v>
      </c>
      <c r="E1942" s="116">
        <v>288</v>
      </c>
      <c r="F1942" s="116">
        <v>286.8</v>
      </c>
      <c r="G1942">
        <v>8854</v>
      </c>
      <c r="H1942" s="116"/>
      <c r="I1942" s="116"/>
      <c r="L1942" s="170">
        <v>44872</v>
      </c>
      <c r="M1942" s="116">
        <v>319.7</v>
      </c>
      <c r="N1942" s="116">
        <v>324.89999999999998</v>
      </c>
      <c r="O1942" s="116">
        <v>314.10000000000002</v>
      </c>
      <c r="P1942" s="116">
        <v>318</v>
      </c>
      <c r="Q1942" s="116">
        <v>319.7</v>
      </c>
      <c r="R1942">
        <v>113053</v>
      </c>
    </row>
    <row r="1943" spans="1:18" x14ac:dyDescent="0.25">
      <c r="A1943" s="170">
        <v>44903</v>
      </c>
      <c r="B1943" s="116">
        <v>291.55</v>
      </c>
      <c r="C1943" s="116">
        <v>286</v>
      </c>
      <c r="D1943" s="116">
        <v>283.5</v>
      </c>
      <c r="E1943" s="116">
        <v>289.2</v>
      </c>
      <c r="F1943" s="116">
        <v>286</v>
      </c>
      <c r="G1943">
        <v>7078</v>
      </c>
      <c r="H1943" s="116"/>
      <c r="I1943" s="116"/>
      <c r="L1943" s="170">
        <v>44874</v>
      </c>
      <c r="M1943" s="116">
        <v>321.45</v>
      </c>
      <c r="N1943" s="116">
        <v>325</v>
      </c>
      <c r="O1943" s="116">
        <v>318.45</v>
      </c>
      <c r="P1943" s="116">
        <v>320.39999999999998</v>
      </c>
      <c r="Q1943" s="116">
        <v>321.45</v>
      </c>
      <c r="R1943">
        <v>105355</v>
      </c>
    </row>
    <row r="1944" spans="1:18" x14ac:dyDescent="0.25">
      <c r="A1944" s="170">
        <v>44904</v>
      </c>
      <c r="B1944" s="116">
        <v>291.7</v>
      </c>
      <c r="C1944" s="116">
        <v>283.39999999999998</v>
      </c>
      <c r="D1944" s="116">
        <v>281.14999999999998</v>
      </c>
      <c r="E1944" s="116">
        <v>288</v>
      </c>
      <c r="F1944" s="116">
        <v>283.39999999999998</v>
      </c>
      <c r="G1944">
        <v>13219</v>
      </c>
      <c r="H1944" s="116"/>
      <c r="I1944" s="116"/>
      <c r="L1944" s="170">
        <v>44875</v>
      </c>
      <c r="M1944" s="116">
        <v>310.55</v>
      </c>
      <c r="N1944" s="116">
        <v>322.95</v>
      </c>
      <c r="O1944" s="116">
        <v>305.3</v>
      </c>
      <c r="P1944" s="116">
        <v>321.45</v>
      </c>
      <c r="Q1944" s="116">
        <v>310.55</v>
      </c>
      <c r="R1944">
        <v>112591</v>
      </c>
    </row>
    <row r="1945" spans="1:18" x14ac:dyDescent="0.25">
      <c r="A1945" s="170">
        <v>44907</v>
      </c>
      <c r="B1945" s="116">
        <v>293.89999999999998</v>
      </c>
      <c r="C1945" s="116">
        <v>292.89999999999998</v>
      </c>
      <c r="D1945" s="116">
        <v>279.95</v>
      </c>
      <c r="E1945" s="116">
        <v>284</v>
      </c>
      <c r="F1945" s="116">
        <v>292.89999999999998</v>
      </c>
      <c r="G1945">
        <v>9509</v>
      </c>
      <c r="H1945" s="116"/>
      <c r="I1945" s="116"/>
      <c r="L1945" s="170">
        <v>44876</v>
      </c>
      <c r="M1945" s="116">
        <v>307.64999999999998</v>
      </c>
      <c r="N1945" s="116">
        <v>315.8</v>
      </c>
      <c r="O1945" s="116">
        <v>305.5</v>
      </c>
      <c r="P1945" s="116">
        <v>311.8</v>
      </c>
      <c r="Q1945" s="116">
        <v>307.64999999999998</v>
      </c>
      <c r="R1945">
        <v>55842</v>
      </c>
    </row>
    <row r="1946" spans="1:18" x14ac:dyDescent="0.25">
      <c r="A1946" s="170">
        <v>44908</v>
      </c>
      <c r="B1946" s="116">
        <v>295.5</v>
      </c>
      <c r="C1946" s="116">
        <v>289.35000000000002</v>
      </c>
      <c r="D1946" s="116">
        <v>288.2</v>
      </c>
      <c r="E1946" s="116">
        <v>292.95</v>
      </c>
      <c r="F1946" s="116">
        <v>289.35000000000002</v>
      </c>
      <c r="G1946">
        <v>11461</v>
      </c>
      <c r="H1946" s="116"/>
      <c r="I1946" s="116"/>
      <c r="L1946" s="170">
        <v>44879</v>
      </c>
      <c r="M1946" s="116">
        <v>311.05</v>
      </c>
      <c r="N1946" s="116">
        <v>314.10000000000002</v>
      </c>
      <c r="O1946" s="116">
        <v>303.8</v>
      </c>
      <c r="P1946" s="116">
        <v>307.64999999999998</v>
      </c>
      <c r="Q1946" s="116">
        <v>311.05</v>
      </c>
      <c r="R1946">
        <v>108424</v>
      </c>
    </row>
    <row r="1947" spans="1:18" x14ac:dyDescent="0.25">
      <c r="A1947" s="170">
        <v>44909</v>
      </c>
      <c r="B1947" s="116">
        <v>292.75</v>
      </c>
      <c r="C1947" s="116">
        <v>292.05</v>
      </c>
      <c r="D1947" s="116">
        <v>290.3</v>
      </c>
      <c r="E1947" s="116">
        <v>292.5</v>
      </c>
      <c r="F1947" s="116">
        <v>292.05</v>
      </c>
      <c r="G1947">
        <v>2239</v>
      </c>
      <c r="H1947" s="116"/>
      <c r="I1947" s="116"/>
      <c r="L1947" s="170">
        <v>44880</v>
      </c>
      <c r="M1947" s="116">
        <v>310.64999999999998</v>
      </c>
      <c r="N1947" s="116">
        <v>316.05</v>
      </c>
      <c r="O1947" s="116">
        <v>307.85000000000002</v>
      </c>
      <c r="P1947" s="116">
        <v>311.05</v>
      </c>
      <c r="Q1947" s="116">
        <v>310.64999999999998</v>
      </c>
      <c r="R1947">
        <v>55278</v>
      </c>
    </row>
    <row r="1948" spans="1:18" x14ac:dyDescent="0.25">
      <c r="A1948" s="170">
        <v>44910</v>
      </c>
      <c r="B1948" s="116">
        <v>292.64999999999998</v>
      </c>
      <c r="C1948" s="116">
        <v>288.2</v>
      </c>
      <c r="D1948" s="116">
        <v>288</v>
      </c>
      <c r="E1948" s="116">
        <v>291.55</v>
      </c>
      <c r="F1948" s="116">
        <v>288.2</v>
      </c>
      <c r="G1948">
        <v>10515</v>
      </c>
      <c r="H1948" s="116"/>
      <c r="I1948" s="116"/>
      <c r="L1948" s="170">
        <v>44881</v>
      </c>
      <c r="M1948" s="116">
        <v>306.60000000000002</v>
      </c>
      <c r="N1948" s="116">
        <v>313.95</v>
      </c>
      <c r="O1948" s="116">
        <v>305.10000000000002</v>
      </c>
      <c r="P1948" s="116">
        <v>311.60000000000002</v>
      </c>
      <c r="Q1948" s="116">
        <v>306.60000000000002</v>
      </c>
      <c r="R1948">
        <v>53550</v>
      </c>
    </row>
    <row r="1949" spans="1:18" x14ac:dyDescent="0.25">
      <c r="A1949" s="170">
        <v>44911</v>
      </c>
      <c r="B1949" s="116">
        <v>291.05</v>
      </c>
      <c r="C1949" s="116">
        <v>286.2</v>
      </c>
      <c r="D1949" s="116">
        <v>280.05</v>
      </c>
      <c r="E1949" s="116">
        <v>280.05</v>
      </c>
      <c r="F1949" s="116">
        <v>286.2</v>
      </c>
      <c r="G1949">
        <v>7273</v>
      </c>
      <c r="H1949" s="116"/>
      <c r="I1949" s="116"/>
      <c r="L1949" s="170">
        <v>44882</v>
      </c>
      <c r="M1949" s="116">
        <v>287</v>
      </c>
      <c r="N1949" s="116">
        <v>308</v>
      </c>
      <c r="O1949" s="116">
        <v>280</v>
      </c>
      <c r="P1949" s="116">
        <v>306.7</v>
      </c>
      <c r="Q1949" s="116">
        <v>287</v>
      </c>
      <c r="R1949">
        <v>290682</v>
      </c>
    </row>
    <row r="1950" spans="1:18" x14ac:dyDescent="0.25">
      <c r="A1950" s="170">
        <v>44914</v>
      </c>
      <c r="B1950" s="116">
        <v>305.05</v>
      </c>
      <c r="C1950" s="116">
        <v>296.3</v>
      </c>
      <c r="D1950" s="116">
        <v>280.85000000000002</v>
      </c>
      <c r="E1950" s="116">
        <v>280.85000000000002</v>
      </c>
      <c r="F1950" s="116">
        <v>296.3</v>
      </c>
      <c r="G1950">
        <v>17819</v>
      </c>
      <c r="H1950" s="116"/>
      <c r="I1950" s="116"/>
      <c r="L1950" s="170">
        <v>44883</v>
      </c>
      <c r="M1950" s="116">
        <v>289.89999999999998</v>
      </c>
      <c r="N1950" s="116">
        <v>292.2</v>
      </c>
      <c r="O1950" s="116">
        <v>280.10000000000002</v>
      </c>
      <c r="P1950" s="116">
        <v>286.5</v>
      </c>
      <c r="Q1950" s="116">
        <v>289.89999999999998</v>
      </c>
      <c r="R1950">
        <v>111706</v>
      </c>
    </row>
    <row r="1951" spans="1:18" x14ac:dyDescent="0.25">
      <c r="A1951" s="170">
        <v>44915</v>
      </c>
      <c r="B1951" s="116">
        <v>306.7</v>
      </c>
      <c r="C1951" s="116">
        <v>293.55</v>
      </c>
      <c r="D1951" s="116">
        <v>292.35000000000002</v>
      </c>
      <c r="E1951" s="116">
        <v>298</v>
      </c>
      <c r="F1951" s="116">
        <v>293.55</v>
      </c>
      <c r="G1951">
        <v>20277</v>
      </c>
      <c r="H1951" s="116"/>
      <c r="I1951" s="116"/>
      <c r="L1951" s="170">
        <v>44886</v>
      </c>
      <c r="M1951" s="116">
        <v>279.75</v>
      </c>
      <c r="N1951" s="116">
        <v>294.2</v>
      </c>
      <c r="O1951" s="116">
        <v>276.75</v>
      </c>
      <c r="P1951" s="116">
        <v>291.05</v>
      </c>
      <c r="Q1951" s="116">
        <v>279.75</v>
      </c>
      <c r="R1951">
        <v>234977</v>
      </c>
    </row>
    <row r="1952" spans="1:18" x14ac:dyDescent="0.25">
      <c r="A1952" s="170">
        <v>44916</v>
      </c>
      <c r="B1952" s="116">
        <v>300.95</v>
      </c>
      <c r="C1952" s="116">
        <v>283.39999999999998</v>
      </c>
      <c r="D1952" s="116">
        <v>278.10000000000002</v>
      </c>
      <c r="E1952" s="116">
        <v>295.55</v>
      </c>
      <c r="F1952" s="116">
        <v>283.39999999999998</v>
      </c>
      <c r="G1952">
        <v>17093</v>
      </c>
      <c r="H1952" s="116"/>
      <c r="I1952" s="116"/>
      <c r="L1952" s="170">
        <v>44887</v>
      </c>
      <c r="M1952" s="116">
        <v>286.75</v>
      </c>
      <c r="N1952" s="116">
        <v>299.89999999999998</v>
      </c>
      <c r="O1952" s="116">
        <v>280</v>
      </c>
      <c r="P1952" s="116">
        <v>280</v>
      </c>
      <c r="Q1952" s="116">
        <v>286.75</v>
      </c>
      <c r="R1952">
        <v>115647</v>
      </c>
    </row>
    <row r="1953" spans="1:18" x14ac:dyDescent="0.25">
      <c r="A1953" s="170">
        <v>44917</v>
      </c>
      <c r="B1953" s="116">
        <v>286.45</v>
      </c>
      <c r="C1953" s="116">
        <v>273</v>
      </c>
      <c r="D1953" s="116">
        <v>269.95</v>
      </c>
      <c r="E1953" s="116">
        <v>285.75</v>
      </c>
      <c r="F1953" s="116">
        <v>273</v>
      </c>
      <c r="G1953">
        <v>18022</v>
      </c>
      <c r="H1953" s="116"/>
      <c r="I1953" s="116"/>
      <c r="L1953" s="170">
        <v>44888</v>
      </c>
      <c r="M1953" s="116">
        <v>294.8</v>
      </c>
      <c r="N1953" s="116">
        <v>296</v>
      </c>
      <c r="O1953" s="116">
        <v>286.64999999999998</v>
      </c>
      <c r="P1953" s="116">
        <v>286.64999999999998</v>
      </c>
      <c r="Q1953" s="116">
        <v>294.8</v>
      </c>
      <c r="R1953">
        <v>104390</v>
      </c>
    </row>
    <row r="1954" spans="1:18" x14ac:dyDescent="0.25">
      <c r="A1954" s="170">
        <v>44918</v>
      </c>
      <c r="B1954" s="116">
        <v>271.35000000000002</v>
      </c>
      <c r="C1954" s="116">
        <v>245.55</v>
      </c>
      <c r="D1954" s="116">
        <v>240.55</v>
      </c>
      <c r="E1954" s="116">
        <v>271.35000000000002</v>
      </c>
      <c r="F1954" s="116">
        <v>245.55</v>
      </c>
      <c r="G1954">
        <v>19948</v>
      </c>
      <c r="H1954" s="116"/>
      <c r="I1954" s="116"/>
      <c r="L1954" s="170">
        <v>44889</v>
      </c>
      <c r="M1954" s="116">
        <v>296</v>
      </c>
      <c r="N1954" s="116">
        <v>308.5</v>
      </c>
      <c r="O1954" s="116">
        <v>291.14999999999998</v>
      </c>
      <c r="P1954" s="116">
        <v>298</v>
      </c>
      <c r="Q1954" s="116">
        <v>296</v>
      </c>
      <c r="R1954">
        <v>513514</v>
      </c>
    </row>
    <row r="1955" spans="1:18" x14ac:dyDescent="0.25">
      <c r="A1955" s="170">
        <v>44921</v>
      </c>
      <c r="B1955" s="116">
        <v>266.5</v>
      </c>
      <c r="C1955" s="116">
        <v>262.89999999999998</v>
      </c>
      <c r="D1955" s="116">
        <v>242.7</v>
      </c>
      <c r="E1955" s="116">
        <v>251.05</v>
      </c>
      <c r="F1955" s="116">
        <v>262.89999999999998</v>
      </c>
      <c r="G1955">
        <v>10897</v>
      </c>
      <c r="H1955" s="116"/>
      <c r="I1955" s="116"/>
      <c r="L1955" s="170">
        <v>44890</v>
      </c>
      <c r="M1955" s="116">
        <v>295.55</v>
      </c>
      <c r="N1955" s="116">
        <v>299.89999999999998</v>
      </c>
      <c r="O1955" s="116">
        <v>293.10000000000002</v>
      </c>
      <c r="P1955" s="116">
        <v>296</v>
      </c>
      <c r="Q1955" s="116">
        <v>295.55</v>
      </c>
      <c r="R1955">
        <v>53125</v>
      </c>
    </row>
    <row r="1956" spans="1:18" x14ac:dyDescent="0.25">
      <c r="A1956" s="170">
        <v>44922</v>
      </c>
      <c r="B1956" s="116">
        <v>274.8</v>
      </c>
      <c r="C1956" s="116">
        <v>269.60000000000002</v>
      </c>
      <c r="D1956" s="116">
        <v>263.89999999999998</v>
      </c>
      <c r="E1956" s="116">
        <v>263.89999999999998</v>
      </c>
      <c r="F1956" s="116">
        <v>269.60000000000002</v>
      </c>
      <c r="G1956">
        <v>2947</v>
      </c>
      <c r="H1956" s="116"/>
      <c r="I1956" s="116"/>
      <c r="L1956" s="170">
        <v>44893</v>
      </c>
      <c r="M1956" s="116">
        <v>288.05</v>
      </c>
      <c r="N1956" s="116">
        <v>297.89999999999998</v>
      </c>
      <c r="O1956" s="116">
        <v>286.10000000000002</v>
      </c>
      <c r="P1956" s="116">
        <v>297.89999999999998</v>
      </c>
      <c r="Q1956" s="116">
        <v>288.05</v>
      </c>
      <c r="R1956">
        <v>96303</v>
      </c>
    </row>
    <row r="1957" spans="1:18" x14ac:dyDescent="0.25">
      <c r="A1957" s="170">
        <v>44923</v>
      </c>
      <c r="B1957" s="116">
        <v>276.7</v>
      </c>
      <c r="C1957" s="116">
        <v>272.5</v>
      </c>
      <c r="D1957" s="116">
        <v>266</v>
      </c>
      <c r="E1957" s="116">
        <v>270.2</v>
      </c>
      <c r="F1957" s="116">
        <v>272.5</v>
      </c>
      <c r="G1957">
        <v>2895</v>
      </c>
      <c r="H1957" s="116"/>
      <c r="I1957" s="116"/>
      <c r="L1957" s="170">
        <v>44894</v>
      </c>
      <c r="M1957" s="116">
        <v>285.60000000000002</v>
      </c>
      <c r="N1957" s="116">
        <v>289.95</v>
      </c>
      <c r="O1957" s="116">
        <v>285</v>
      </c>
      <c r="P1957" s="116">
        <v>289.95</v>
      </c>
      <c r="Q1957" s="116">
        <v>285.60000000000002</v>
      </c>
      <c r="R1957">
        <v>49069</v>
      </c>
    </row>
    <row r="1958" spans="1:18" x14ac:dyDescent="0.25">
      <c r="A1958" s="170">
        <v>44924</v>
      </c>
      <c r="B1958" s="116">
        <v>280.14999999999998</v>
      </c>
      <c r="C1958" s="116">
        <v>279.05</v>
      </c>
      <c r="D1958" s="116">
        <v>270.89999999999998</v>
      </c>
      <c r="E1958" s="116">
        <v>271.85000000000002</v>
      </c>
      <c r="F1958" s="116">
        <v>279.05</v>
      </c>
      <c r="G1958">
        <v>8788</v>
      </c>
      <c r="H1958" s="116"/>
      <c r="I1958" s="116"/>
      <c r="L1958" s="170">
        <v>44895</v>
      </c>
      <c r="M1958" s="116">
        <v>287.10000000000002</v>
      </c>
      <c r="N1958" s="116">
        <v>288.75</v>
      </c>
      <c r="O1958" s="116">
        <v>285.60000000000002</v>
      </c>
      <c r="P1958" s="116">
        <v>288.39999999999998</v>
      </c>
      <c r="Q1958" s="116">
        <v>287.10000000000002</v>
      </c>
      <c r="R1958">
        <v>42431</v>
      </c>
    </row>
    <row r="1959" spans="1:18" x14ac:dyDescent="0.25">
      <c r="A1959" s="170">
        <v>44925</v>
      </c>
      <c r="B1959" s="116">
        <v>286.14999999999998</v>
      </c>
      <c r="C1959" s="116">
        <v>279.3</v>
      </c>
      <c r="D1959" s="116">
        <v>278.64999999999998</v>
      </c>
      <c r="E1959" s="116">
        <v>281.75</v>
      </c>
      <c r="F1959" s="116">
        <v>279.3</v>
      </c>
      <c r="G1959">
        <v>7627</v>
      </c>
      <c r="H1959" s="116"/>
      <c r="I1959" s="116"/>
      <c r="L1959" s="170">
        <v>44896</v>
      </c>
      <c r="M1959" s="116">
        <v>290.75</v>
      </c>
      <c r="N1959" s="116">
        <v>297.39999999999998</v>
      </c>
      <c r="O1959" s="116">
        <v>288.10000000000002</v>
      </c>
      <c r="P1959" s="116">
        <v>289.85000000000002</v>
      </c>
      <c r="Q1959" s="116">
        <v>290.75</v>
      </c>
      <c r="R1959">
        <v>86995</v>
      </c>
    </row>
    <row r="1960" spans="1:18" x14ac:dyDescent="0.25">
      <c r="A1960" s="170">
        <v>44928</v>
      </c>
      <c r="B1960" s="116">
        <v>297</v>
      </c>
      <c r="C1960" s="116">
        <v>283.10000000000002</v>
      </c>
      <c r="D1960" s="116">
        <v>280.05</v>
      </c>
      <c r="E1960" s="116">
        <v>297</v>
      </c>
      <c r="F1960" s="116">
        <v>283.10000000000002</v>
      </c>
      <c r="G1960">
        <v>2388</v>
      </c>
      <c r="H1960" s="116"/>
      <c r="I1960" s="116"/>
      <c r="L1960" s="170">
        <v>44897</v>
      </c>
      <c r="M1960" s="116">
        <v>287.39999999999998</v>
      </c>
      <c r="N1960" s="116">
        <v>293.64999999999998</v>
      </c>
      <c r="O1960" s="116">
        <v>286.60000000000002</v>
      </c>
      <c r="P1960" s="116">
        <v>293.64999999999998</v>
      </c>
      <c r="Q1960" s="116">
        <v>287.39999999999998</v>
      </c>
      <c r="R1960">
        <v>53336</v>
      </c>
    </row>
    <row r="1961" spans="1:18" x14ac:dyDescent="0.25">
      <c r="A1961" s="170">
        <v>44929</v>
      </c>
      <c r="B1961" s="116">
        <v>290</v>
      </c>
      <c r="C1961" s="116">
        <v>283.2</v>
      </c>
      <c r="D1961" s="116">
        <v>281.5</v>
      </c>
      <c r="E1961" s="116">
        <v>290</v>
      </c>
      <c r="F1961" s="116">
        <v>283.2</v>
      </c>
      <c r="G1961">
        <v>2199</v>
      </c>
      <c r="H1961" s="116"/>
      <c r="I1961" s="116"/>
      <c r="L1961" s="170">
        <v>44900</v>
      </c>
      <c r="M1961" s="116">
        <v>289</v>
      </c>
      <c r="N1961" s="116">
        <v>290.3</v>
      </c>
      <c r="O1961" s="116">
        <v>286.89999999999998</v>
      </c>
      <c r="P1961" s="116">
        <v>290.3</v>
      </c>
      <c r="Q1961" s="116">
        <v>289</v>
      </c>
      <c r="R1961">
        <v>40345</v>
      </c>
    </row>
    <row r="1962" spans="1:18" x14ac:dyDescent="0.25">
      <c r="A1962" s="170">
        <v>44930</v>
      </c>
      <c r="B1962" s="116">
        <v>284.45</v>
      </c>
      <c r="C1962" s="116">
        <v>284.45</v>
      </c>
      <c r="D1962" s="116">
        <v>279.10000000000002</v>
      </c>
      <c r="E1962" s="116">
        <v>282.7</v>
      </c>
      <c r="F1962" s="116">
        <v>284.45</v>
      </c>
      <c r="G1962">
        <v>582</v>
      </c>
      <c r="H1962" s="116"/>
      <c r="I1962" s="116"/>
      <c r="L1962" s="170">
        <v>44901</v>
      </c>
      <c r="M1962" s="116">
        <v>290.64999999999998</v>
      </c>
      <c r="N1962" s="116">
        <v>295.05</v>
      </c>
      <c r="O1962" s="116">
        <v>286.10000000000002</v>
      </c>
      <c r="P1962" s="116">
        <v>286.10000000000002</v>
      </c>
      <c r="Q1962" s="116">
        <v>290.64999999999998</v>
      </c>
      <c r="R1962">
        <v>76694</v>
      </c>
    </row>
    <row r="1963" spans="1:18" x14ac:dyDescent="0.25">
      <c r="A1963" s="170">
        <v>44931</v>
      </c>
      <c r="B1963" s="116">
        <v>286.05</v>
      </c>
      <c r="C1963" s="116">
        <v>278.95</v>
      </c>
      <c r="D1963" s="116">
        <v>278.60000000000002</v>
      </c>
      <c r="E1963" s="116">
        <v>280.05</v>
      </c>
      <c r="F1963" s="116">
        <v>278.95</v>
      </c>
      <c r="G1963">
        <v>2091</v>
      </c>
      <c r="H1963" s="116"/>
      <c r="I1963" s="116"/>
      <c r="L1963" s="170">
        <v>44902</v>
      </c>
      <c r="M1963" s="116">
        <v>286.39999999999998</v>
      </c>
      <c r="N1963" s="116">
        <v>292.75</v>
      </c>
      <c r="O1963" s="116">
        <v>284.89999999999998</v>
      </c>
      <c r="P1963" s="116">
        <v>291</v>
      </c>
      <c r="Q1963" s="116">
        <v>286.39999999999998</v>
      </c>
      <c r="R1963">
        <v>36302</v>
      </c>
    </row>
    <row r="1964" spans="1:18" x14ac:dyDescent="0.25">
      <c r="A1964" s="170">
        <v>44932</v>
      </c>
      <c r="B1964" s="116">
        <v>286.75</v>
      </c>
      <c r="C1964" s="116">
        <v>284.75</v>
      </c>
      <c r="D1964" s="116">
        <v>278.89999999999998</v>
      </c>
      <c r="E1964" s="116">
        <v>278.89999999999998</v>
      </c>
      <c r="F1964" s="116">
        <v>284.75</v>
      </c>
      <c r="G1964">
        <v>3281</v>
      </c>
      <c r="H1964" s="116"/>
      <c r="I1964" s="116"/>
      <c r="L1964" s="170">
        <v>44903</v>
      </c>
      <c r="M1964" s="116">
        <v>286.2</v>
      </c>
      <c r="N1964" s="116">
        <v>291.8</v>
      </c>
      <c r="O1964" s="116">
        <v>283.5</v>
      </c>
      <c r="P1964" s="116">
        <v>290.7</v>
      </c>
      <c r="Q1964" s="116">
        <v>286.2</v>
      </c>
      <c r="R1964">
        <v>63277</v>
      </c>
    </row>
    <row r="1965" spans="1:18" x14ac:dyDescent="0.25">
      <c r="A1965" s="170">
        <v>44935</v>
      </c>
      <c r="B1965" s="116">
        <v>287.35000000000002</v>
      </c>
      <c r="C1965" s="116">
        <v>278.39999999999998</v>
      </c>
      <c r="D1965" s="116">
        <v>278.2</v>
      </c>
      <c r="E1965" s="116">
        <v>285.10000000000002</v>
      </c>
      <c r="F1965" s="116">
        <v>278.39999999999998</v>
      </c>
      <c r="G1965">
        <v>3943</v>
      </c>
      <c r="H1965" s="116"/>
      <c r="I1965" s="116"/>
      <c r="L1965" s="170">
        <v>44904</v>
      </c>
      <c r="M1965" s="116">
        <v>282.85000000000002</v>
      </c>
      <c r="N1965" s="116">
        <v>291.64999999999998</v>
      </c>
      <c r="O1965" s="116">
        <v>281</v>
      </c>
      <c r="P1965" s="116">
        <v>287</v>
      </c>
      <c r="Q1965" s="116">
        <v>282.85000000000002</v>
      </c>
      <c r="R1965">
        <v>71049</v>
      </c>
    </row>
    <row r="1966" spans="1:18" x14ac:dyDescent="0.25">
      <c r="A1966" s="170">
        <v>44936</v>
      </c>
      <c r="B1966" s="116">
        <v>280</v>
      </c>
      <c r="C1966" s="116">
        <v>276.3</v>
      </c>
      <c r="D1966" s="116">
        <v>274.39999999999998</v>
      </c>
      <c r="E1966" s="116">
        <v>280</v>
      </c>
      <c r="F1966" s="116">
        <v>276.3</v>
      </c>
      <c r="G1966">
        <v>1588</v>
      </c>
      <c r="H1966" s="116"/>
      <c r="I1966" s="116"/>
      <c r="L1966" s="170">
        <v>44907</v>
      </c>
      <c r="M1966" s="116">
        <v>292.85000000000002</v>
      </c>
      <c r="N1966" s="116">
        <v>293.89999999999998</v>
      </c>
      <c r="O1966" s="116">
        <v>278.39999999999998</v>
      </c>
      <c r="P1966" s="116">
        <v>283</v>
      </c>
      <c r="Q1966" s="116">
        <v>292.85000000000002</v>
      </c>
      <c r="R1966">
        <v>128959</v>
      </c>
    </row>
    <row r="1967" spans="1:18" x14ac:dyDescent="0.25">
      <c r="A1967" s="170">
        <v>44937</v>
      </c>
      <c r="B1967" s="116">
        <v>278.95</v>
      </c>
      <c r="C1967" s="116">
        <v>276.89999999999998</v>
      </c>
      <c r="D1967" s="116">
        <v>275</v>
      </c>
      <c r="E1967" s="116">
        <v>277.2</v>
      </c>
      <c r="F1967" s="116">
        <v>276.89999999999998</v>
      </c>
      <c r="G1967">
        <v>2478</v>
      </c>
      <c r="H1967" s="116"/>
      <c r="I1967" s="116"/>
      <c r="L1967" s="170">
        <v>44908</v>
      </c>
      <c r="M1967" s="116">
        <v>289.7</v>
      </c>
      <c r="N1967" s="116">
        <v>295.89999999999998</v>
      </c>
      <c r="O1967" s="116">
        <v>288.14999999999998</v>
      </c>
      <c r="P1967" s="116">
        <v>292</v>
      </c>
      <c r="Q1967" s="116">
        <v>289.7</v>
      </c>
      <c r="R1967">
        <v>66847</v>
      </c>
    </row>
    <row r="1968" spans="1:18" x14ac:dyDescent="0.25">
      <c r="A1968" s="170">
        <v>44938</v>
      </c>
      <c r="B1968" s="116">
        <v>279.3</v>
      </c>
      <c r="C1968" s="116">
        <v>273.2</v>
      </c>
      <c r="D1968" s="116">
        <v>271.2</v>
      </c>
      <c r="E1968" s="116">
        <v>275.5</v>
      </c>
      <c r="F1968" s="116">
        <v>273.2</v>
      </c>
      <c r="G1968">
        <v>2396</v>
      </c>
      <c r="H1968" s="116"/>
      <c r="I1968" s="116"/>
      <c r="L1968" s="170">
        <v>44909</v>
      </c>
      <c r="M1968" s="116">
        <v>291.60000000000002</v>
      </c>
      <c r="N1968" s="116">
        <v>294</v>
      </c>
      <c r="O1968" s="116">
        <v>289.75</v>
      </c>
      <c r="P1968" s="116">
        <v>289.75</v>
      </c>
      <c r="Q1968" s="116">
        <v>291.60000000000002</v>
      </c>
      <c r="R1968">
        <v>21430</v>
      </c>
    </row>
    <row r="1969" spans="1:18" x14ac:dyDescent="0.25">
      <c r="A1969" s="170">
        <v>44939</v>
      </c>
      <c r="B1969" s="116">
        <v>277</v>
      </c>
      <c r="C1969" s="116">
        <v>274.5</v>
      </c>
      <c r="D1969" s="116">
        <v>272.35000000000002</v>
      </c>
      <c r="E1969" s="116">
        <v>275.8</v>
      </c>
      <c r="F1969" s="116">
        <v>274.5</v>
      </c>
      <c r="G1969">
        <v>965</v>
      </c>
      <c r="H1969" s="116"/>
      <c r="I1969" s="116"/>
      <c r="L1969" s="170">
        <v>44910</v>
      </c>
      <c r="M1969" s="116">
        <v>288.8</v>
      </c>
      <c r="N1969" s="116">
        <v>293</v>
      </c>
      <c r="O1969" s="116">
        <v>285.35000000000002</v>
      </c>
      <c r="P1969" s="116">
        <v>290</v>
      </c>
      <c r="Q1969" s="116">
        <v>288.8</v>
      </c>
      <c r="R1969">
        <v>25886</v>
      </c>
    </row>
    <row r="1970" spans="1:18" x14ac:dyDescent="0.25">
      <c r="A1970" s="170">
        <v>44942</v>
      </c>
      <c r="B1970" s="116">
        <v>279.14999999999998</v>
      </c>
      <c r="C1970" s="116">
        <v>269.05</v>
      </c>
      <c r="D1970" s="116">
        <v>264.25</v>
      </c>
      <c r="E1970" s="116">
        <v>275</v>
      </c>
      <c r="F1970" s="116">
        <v>269.05</v>
      </c>
      <c r="G1970">
        <v>4352</v>
      </c>
      <c r="H1970" s="116"/>
      <c r="I1970" s="116"/>
      <c r="L1970" s="170">
        <v>44911</v>
      </c>
      <c r="M1970" s="116">
        <v>286.55</v>
      </c>
      <c r="N1970" s="116">
        <v>292</v>
      </c>
      <c r="O1970" s="116">
        <v>281.8</v>
      </c>
      <c r="P1970" s="116">
        <v>288</v>
      </c>
      <c r="Q1970" s="116">
        <v>286.55</v>
      </c>
      <c r="R1970">
        <v>55516</v>
      </c>
    </row>
    <row r="1971" spans="1:18" x14ac:dyDescent="0.25">
      <c r="A1971" s="170">
        <v>44943</v>
      </c>
      <c r="B1971" s="116">
        <v>273.14999999999998</v>
      </c>
      <c r="C1971" s="116">
        <v>270.05</v>
      </c>
      <c r="D1971" s="116">
        <v>270</v>
      </c>
      <c r="E1971" s="116">
        <v>271.89999999999998</v>
      </c>
      <c r="F1971" s="116">
        <v>270.05</v>
      </c>
      <c r="G1971">
        <v>869</v>
      </c>
      <c r="H1971" s="116"/>
      <c r="I1971" s="116"/>
      <c r="L1971" s="170">
        <v>44914</v>
      </c>
      <c r="M1971" s="116">
        <v>296.8</v>
      </c>
      <c r="N1971" s="116">
        <v>305.60000000000002</v>
      </c>
      <c r="O1971" s="116">
        <v>284</v>
      </c>
      <c r="P1971" s="116">
        <v>284</v>
      </c>
      <c r="Q1971" s="116">
        <v>296.8</v>
      </c>
      <c r="R1971">
        <v>185586</v>
      </c>
    </row>
    <row r="1972" spans="1:18" x14ac:dyDescent="0.25">
      <c r="A1972" s="170">
        <v>44944</v>
      </c>
      <c r="B1972" s="116">
        <v>274.45</v>
      </c>
      <c r="C1972" s="116">
        <v>273.89999999999998</v>
      </c>
      <c r="D1972" s="116">
        <v>270</v>
      </c>
      <c r="E1972" s="116">
        <v>273.39999999999998</v>
      </c>
      <c r="F1972" s="116">
        <v>273.89999999999998</v>
      </c>
      <c r="G1972">
        <v>690</v>
      </c>
      <c r="H1972" s="116"/>
      <c r="I1972" s="116"/>
      <c r="L1972" s="170">
        <v>44915</v>
      </c>
      <c r="M1972" s="116">
        <v>293.25</v>
      </c>
      <c r="N1972" s="116">
        <v>307</v>
      </c>
      <c r="O1972" s="116">
        <v>292</v>
      </c>
      <c r="P1972" s="116">
        <v>301</v>
      </c>
      <c r="Q1972" s="116">
        <v>293.25</v>
      </c>
      <c r="R1972">
        <v>469366</v>
      </c>
    </row>
    <row r="1973" spans="1:18" x14ac:dyDescent="0.25">
      <c r="A1973" s="170">
        <v>44945</v>
      </c>
      <c r="B1973" s="116">
        <v>274.35000000000002</v>
      </c>
      <c r="C1973" s="116">
        <v>272.85000000000002</v>
      </c>
      <c r="D1973" s="116">
        <v>266</v>
      </c>
      <c r="E1973" s="116">
        <v>271.55</v>
      </c>
      <c r="F1973" s="116">
        <v>272.85000000000002</v>
      </c>
      <c r="G1973">
        <v>1415</v>
      </c>
      <c r="H1973" s="116"/>
      <c r="I1973" s="116"/>
      <c r="L1973" s="170">
        <v>44916</v>
      </c>
      <c r="M1973" s="116">
        <v>283.39999999999998</v>
      </c>
      <c r="N1973" s="116">
        <v>301.5</v>
      </c>
      <c r="O1973" s="116">
        <v>278.64999999999998</v>
      </c>
      <c r="P1973" s="116">
        <v>295.55</v>
      </c>
      <c r="Q1973" s="116">
        <v>283.39999999999998</v>
      </c>
      <c r="R1973">
        <v>164730</v>
      </c>
    </row>
    <row r="1974" spans="1:18" x14ac:dyDescent="0.25">
      <c r="A1974" s="170">
        <v>44946</v>
      </c>
      <c r="B1974" s="116">
        <v>290.64999999999998</v>
      </c>
      <c r="C1974" s="116">
        <v>288.05</v>
      </c>
      <c r="D1974" s="116">
        <v>273.2</v>
      </c>
      <c r="E1974" s="116">
        <v>275.3</v>
      </c>
      <c r="F1974" s="116">
        <v>288.05</v>
      </c>
      <c r="G1974">
        <v>6857</v>
      </c>
      <c r="H1974" s="116"/>
      <c r="I1974" s="116"/>
      <c r="L1974" s="170">
        <v>44917</v>
      </c>
      <c r="M1974" s="116">
        <v>272.7</v>
      </c>
      <c r="N1974" s="116">
        <v>287.05</v>
      </c>
      <c r="O1974" s="116">
        <v>270.05</v>
      </c>
      <c r="P1974" s="116">
        <v>284</v>
      </c>
      <c r="Q1974" s="116">
        <v>272.7</v>
      </c>
      <c r="R1974">
        <v>75640</v>
      </c>
    </row>
    <row r="1975" spans="1:18" x14ac:dyDescent="0.25">
      <c r="A1975" s="170">
        <v>44949</v>
      </c>
      <c r="B1975" s="116">
        <v>292.55</v>
      </c>
      <c r="C1975" s="116">
        <v>284.60000000000002</v>
      </c>
      <c r="D1975" s="116">
        <v>283.35000000000002</v>
      </c>
      <c r="E1975" s="116">
        <v>288</v>
      </c>
      <c r="F1975" s="116">
        <v>284.60000000000002</v>
      </c>
      <c r="G1975">
        <v>2198</v>
      </c>
      <c r="H1975" s="116"/>
      <c r="I1975" s="116"/>
      <c r="L1975" s="170">
        <v>44918</v>
      </c>
      <c r="M1975" s="116">
        <v>245.75</v>
      </c>
      <c r="N1975" s="116">
        <v>271.85000000000002</v>
      </c>
      <c r="O1975" s="116">
        <v>241</v>
      </c>
      <c r="P1975" s="116">
        <v>271</v>
      </c>
      <c r="Q1975" s="116">
        <v>245.75</v>
      </c>
      <c r="R1975">
        <v>120606</v>
      </c>
    </row>
    <row r="1976" spans="1:18" x14ac:dyDescent="0.25">
      <c r="A1976" s="170">
        <v>44950</v>
      </c>
      <c r="B1976" s="116">
        <v>285.60000000000002</v>
      </c>
      <c r="C1976" s="116">
        <v>281.8</v>
      </c>
      <c r="D1976" s="116">
        <v>278.8</v>
      </c>
      <c r="E1976" s="116">
        <v>285</v>
      </c>
      <c r="F1976" s="116">
        <v>281.8</v>
      </c>
      <c r="G1976">
        <v>1136</v>
      </c>
      <c r="H1976" s="116"/>
      <c r="I1976" s="116"/>
      <c r="L1976" s="170">
        <v>44921</v>
      </c>
      <c r="M1976" s="116">
        <v>263.14999999999998</v>
      </c>
      <c r="N1976" s="116">
        <v>266.60000000000002</v>
      </c>
      <c r="O1976" s="116">
        <v>244.8</v>
      </c>
      <c r="P1976" s="116">
        <v>245.1</v>
      </c>
      <c r="Q1976" s="116">
        <v>263.14999999999998</v>
      </c>
      <c r="R1976">
        <v>96369</v>
      </c>
    </row>
    <row r="1977" spans="1:18" x14ac:dyDescent="0.25">
      <c r="A1977" s="170">
        <v>44951</v>
      </c>
      <c r="B1977" s="116">
        <v>281.05</v>
      </c>
      <c r="C1977" s="116">
        <v>271.55</v>
      </c>
      <c r="D1977" s="116">
        <v>267.89999999999998</v>
      </c>
      <c r="E1977" s="116">
        <v>274.35000000000002</v>
      </c>
      <c r="F1977" s="116">
        <v>271.55</v>
      </c>
      <c r="G1977">
        <v>4059</v>
      </c>
      <c r="H1977" s="116"/>
      <c r="I1977" s="116"/>
      <c r="L1977" s="170">
        <v>44922</v>
      </c>
      <c r="M1977" s="116">
        <v>269.7</v>
      </c>
      <c r="N1977" s="116">
        <v>279.14999999999998</v>
      </c>
      <c r="O1977" s="116">
        <v>264.05</v>
      </c>
      <c r="P1977" s="116">
        <v>268</v>
      </c>
      <c r="Q1977" s="116">
        <v>269.7</v>
      </c>
      <c r="R1977">
        <v>78642</v>
      </c>
    </row>
    <row r="1978" spans="1:18" x14ac:dyDescent="0.25">
      <c r="A1978" s="170">
        <v>44953</v>
      </c>
      <c r="B1978" s="116">
        <v>274.7</v>
      </c>
      <c r="C1978" s="116">
        <v>267.95</v>
      </c>
      <c r="D1978" s="116">
        <v>262.25</v>
      </c>
      <c r="E1978" s="116">
        <v>273.60000000000002</v>
      </c>
      <c r="F1978" s="116">
        <v>267.95</v>
      </c>
      <c r="G1978">
        <v>5284</v>
      </c>
      <c r="H1978" s="116"/>
      <c r="I1978" s="116"/>
      <c r="L1978" s="170">
        <v>44923</v>
      </c>
      <c r="M1978" s="116">
        <v>272.95</v>
      </c>
      <c r="N1978" s="116">
        <v>277.8</v>
      </c>
      <c r="O1978" s="116">
        <v>265.5</v>
      </c>
      <c r="P1978" s="116">
        <v>269.7</v>
      </c>
      <c r="Q1978" s="116">
        <v>272.95</v>
      </c>
      <c r="R1978">
        <v>68838</v>
      </c>
    </row>
    <row r="1979" spans="1:18" x14ac:dyDescent="0.25">
      <c r="A1979" s="170">
        <v>44956</v>
      </c>
      <c r="B1979" s="116">
        <v>294.75</v>
      </c>
      <c r="C1979" s="116">
        <v>288.3</v>
      </c>
      <c r="D1979" s="116">
        <v>278</v>
      </c>
      <c r="E1979" s="116">
        <v>290.14999999999998</v>
      </c>
      <c r="F1979" s="116">
        <v>288.3</v>
      </c>
      <c r="G1979">
        <v>9666</v>
      </c>
      <c r="H1979" s="116"/>
      <c r="I1979" s="116"/>
      <c r="L1979" s="170">
        <v>44924</v>
      </c>
      <c r="M1979" s="116">
        <v>279.2</v>
      </c>
      <c r="N1979" s="116">
        <v>281.5</v>
      </c>
      <c r="O1979" s="116">
        <v>269.7</v>
      </c>
      <c r="P1979" s="116">
        <v>272</v>
      </c>
      <c r="Q1979" s="116">
        <v>279.2</v>
      </c>
      <c r="R1979">
        <v>69504</v>
      </c>
    </row>
    <row r="1980" spans="1:18" x14ac:dyDescent="0.25">
      <c r="A1980" s="170">
        <v>44957</v>
      </c>
      <c r="B1980" s="116">
        <v>296.7</v>
      </c>
      <c r="C1980" s="116">
        <v>286.85000000000002</v>
      </c>
      <c r="D1980" s="116">
        <v>284.7</v>
      </c>
      <c r="E1980" s="116">
        <v>296.7</v>
      </c>
      <c r="F1980" s="116">
        <v>286.85000000000002</v>
      </c>
      <c r="G1980">
        <v>12510</v>
      </c>
      <c r="H1980" s="116"/>
      <c r="I1980" s="116"/>
      <c r="L1980" s="170">
        <v>44925</v>
      </c>
      <c r="M1980" s="116">
        <v>279.85000000000002</v>
      </c>
      <c r="N1980" s="116">
        <v>286.5</v>
      </c>
      <c r="O1980" s="116">
        <v>279</v>
      </c>
      <c r="P1980" s="116">
        <v>283.39999999999998</v>
      </c>
      <c r="Q1980" s="116">
        <v>279.85000000000002</v>
      </c>
      <c r="R1980">
        <v>46367</v>
      </c>
    </row>
    <row r="1981" spans="1:18" x14ac:dyDescent="0.25">
      <c r="A1981" s="170">
        <v>44958</v>
      </c>
      <c r="B1981" s="116">
        <v>288.3</v>
      </c>
      <c r="C1981" s="116">
        <v>278.89999999999998</v>
      </c>
      <c r="D1981" s="116">
        <v>276.95</v>
      </c>
      <c r="E1981" s="116">
        <v>287.39999999999998</v>
      </c>
      <c r="F1981" s="116">
        <v>278.89999999999998</v>
      </c>
      <c r="G1981">
        <v>6054</v>
      </c>
      <c r="H1981" s="116"/>
      <c r="I1981" s="116"/>
      <c r="L1981" s="170">
        <v>44928</v>
      </c>
      <c r="M1981" s="116">
        <v>283</v>
      </c>
      <c r="N1981" s="116">
        <v>284.64999999999998</v>
      </c>
      <c r="O1981" s="116">
        <v>279.55</v>
      </c>
      <c r="P1981" s="116">
        <v>281</v>
      </c>
      <c r="Q1981" s="116">
        <v>283</v>
      </c>
      <c r="R1981">
        <v>34784</v>
      </c>
    </row>
    <row r="1982" spans="1:18" x14ac:dyDescent="0.25">
      <c r="A1982" s="170">
        <v>44959</v>
      </c>
      <c r="B1982" s="116">
        <v>286</v>
      </c>
      <c r="C1982" s="116">
        <v>276.10000000000002</v>
      </c>
      <c r="D1982" s="116">
        <v>276</v>
      </c>
      <c r="E1982" s="116">
        <v>286</v>
      </c>
      <c r="F1982" s="116">
        <v>276.10000000000002</v>
      </c>
      <c r="G1982">
        <v>1801</v>
      </c>
      <c r="H1982" s="116"/>
      <c r="I1982" s="116"/>
      <c r="L1982" s="170">
        <v>44929</v>
      </c>
      <c r="M1982" s="116">
        <v>283.85000000000002</v>
      </c>
      <c r="N1982" s="116">
        <v>285.8</v>
      </c>
      <c r="O1982" s="116">
        <v>282.05</v>
      </c>
      <c r="P1982" s="116">
        <v>283.60000000000002</v>
      </c>
      <c r="Q1982" s="116">
        <v>283.85000000000002</v>
      </c>
      <c r="R1982">
        <v>21666</v>
      </c>
    </row>
    <row r="1983" spans="1:18" x14ac:dyDescent="0.25">
      <c r="A1983" s="170">
        <v>44960</v>
      </c>
      <c r="B1983" s="116">
        <v>279.55</v>
      </c>
      <c r="C1983" s="116">
        <v>266.8</v>
      </c>
      <c r="D1983" s="116">
        <v>264.5</v>
      </c>
      <c r="E1983" s="116">
        <v>278.89999999999998</v>
      </c>
      <c r="F1983" s="116">
        <v>266.8</v>
      </c>
      <c r="G1983">
        <v>3571</v>
      </c>
      <c r="H1983" s="116"/>
      <c r="I1983" s="116"/>
      <c r="L1983" s="170">
        <v>44930</v>
      </c>
      <c r="M1983" s="116">
        <v>281.10000000000002</v>
      </c>
      <c r="N1983" s="116">
        <v>284</v>
      </c>
      <c r="O1983" s="116">
        <v>279</v>
      </c>
      <c r="P1983" s="116">
        <v>282.3</v>
      </c>
      <c r="Q1983" s="116">
        <v>281.10000000000002</v>
      </c>
      <c r="R1983">
        <v>25613</v>
      </c>
    </row>
    <row r="1984" spans="1:18" x14ac:dyDescent="0.25">
      <c r="A1984" s="170">
        <v>44963</v>
      </c>
      <c r="B1984" s="116">
        <v>271.95</v>
      </c>
      <c r="C1984" s="116">
        <v>266.05</v>
      </c>
      <c r="D1984" s="116">
        <v>265</v>
      </c>
      <c r="E1984" s="116">
        <v>265</v>
      </c>
      <c r="F1984" s="116">
        <v>266.05</v>
      </c>
      <c r="G1984">
        <v>2998</v>
      </c>
      <c r="H1984" s="116"/>
      <c r="I1984" s="116"/>
      <c r="L1984" s="170">
        <v>44931</v>
      </c>
      <c r="M1984" s="116">
        <v>279.05</v>
      </c>
      <c r="N1984" s="116">
        <v>286</v>
      </c>
      <c r="O1984" s="116">
        <v>278</v>
      </c>
      <c r="P1984" s="116">
        <v>281.10000000000002</v>
      </c>
      <c r="Q1984" s="116">
        <v>279.05</v>
      </c>
      <c r="R1984">
        <v>37266</v>
      </c>
    </row>
    <row r="1985" spans="1:18" x14ac:dyDescent="0.25">
      <c r="A1985" s="170">
        <v>44964</v>
      </c>
      <c r="B1985" s="116">
        <v>272</v>
      </c>
      <c r="C1985" s="116">
        <v>267.2</v>
      </c>
      <c r="D1985" s="116">
        <v>266.2</v>
      </c>
      <c r="E1985" s="116">
        <v>266.60000000000002</v>
      </c>
      <c r="F1985" s="116">
        <v>267.2</v>
      </c>
      <c r="G1985">
        <v>744</v>
      </c>
      <c r="H1985" s="116"/>
      <c r="I1985" s="116"/>
      <c r="L1985" s="170">
        <v>44932</v>
      </c>
      <c r="M1985" s="116">
        <v>285.10000000000002</v>
      </c>
      <c r="N1985" s="116">
        <v>286.89999999999998</v>
      </c>
      <c r="O1985" s="116">
        <v>279</v>
      </c>
      <c r="P1985" s="116">
        <v>279</v>
      </c>
      <c r="Q1985" s="116">
        <v>285.10000000000002</v>
      </c>
      <c r="R1985">
        <v>42758</v>
      </c>
    </row>
    <row r="1986" spans="1:18" x14ac:dyDescent="0.25">
      <c r="A1986" s="170">
        <v>44965</v>
      </c>
      <c r="B1986" s="116">
        <v>268.75</v>
      </c>
      <c r="C1986" s="116">
        <v>265.7</v>
      </c>
      <c r="D1986" s="116">
        <v>263.05</v>
      </c>
      <c r="E1986" s="116">
        <v>268.2</v>
      </c>
      <c r="F1986" s="116">
        <v>265.7</v>
      </c>
      <c r="G1986">
        <v>4099</v>
      </c>
      <c r="H1986" s="116"/>
      <c r="I1986" s="116"/>
      <c r="L1986" s="170">
        <v>44935</v>
      </c>
      <c r="M1986" s="116">
        <v>278.85000000000002</v>
      </c>
      <c r="N1986" s="116">
        <v>287.95</v>
      </c>
      <c r="O1986" s="116">
        <v>278</v>
      </c>
      <c r="P1986" s="116">
        <v>286.89999999999998</v>
      </c>
      <c r="Q1986" s="116">
        <v>278.85000000000002</v>
      </c>
      <c r="R1986">
        <v>43047</v>
      </c>
    </row>
    <row r="1987" spans="1:18" x14ac:dyDescent="0.25">
      <c r="A1987" s="170">
        <v>44966</v>
      </c>
      <c r="B1987" s="116">
        <v>269.2</v>
      </c>
      <c r="C1987" s="116">
        <v>266.7</v>
      </c>
      <c r="D1987" s="116">
        <v>264.7</v>
      </c>
      <c r="E1987" s="116">
        <v>265.7</v>
      </c>
      <c r="F1987" s="116">
        <v>266.7</v>
      </c>
      <c r="G1987">
        <v>1467</v>
      </c>
      <c r="H1987" s="116"/>
      <c r="I1987" s="116"/>
      <c r="L1987" s="170">
        <v>44936</v>
      </c>
      <c r="M1987" s="116">
        <v>276.10000000000002</v>
      </c>
      <c r="N1987" s="116">
        <v>280</v>
      </c>
      <c r="O1987" s="116">
        <v>274.25</v>
      </c>
      <c r="P1987" s="116">
        <v>280</v>
      </c>
      <c r="Q1987" s="116">
        <v>276.10000000000002</v>
      </c>
      <c r="R1987">
        <v>26574</v>
      </c>
    </row>
    <row r="1988" spans="1:18" x14ac:dyDescent="0.25">
      <c r="A1988" s="170">
        <v>44967</v>
      </c>
      <c r="B1988" s="116">
        <v>268.45</v>
      </c>
      <c r="C1988" s="116">
        <v>265.75</v>
      </c>
      <c r="D1988" s="116">
        <v>265</v>
      </c>
      <c r="E1988" s="116">
        <v>266</v>
      </c>
      <c r="F1988" s="116">
        <v>265.75</v>
      </c>
      <c r="G1988">
        <v>2308</v>
      </c>
      <c r="H1988" s="116"/>
      <c r="I1988" s="116"/>
      <c r="L1988" s="170">
        <v>44937</v>
      </c>
      <c r="M1988" s="116">
        <v>275.95</v>
      </c>
      <c r="N1988" s="116">
        <v>279</v>
      </c>
      <c r="O1988" s="116">
        <v>274.60000000000002</v>
      </c>
      <c r="P1988" s="116">
        <v>277.35000000000002</v>
      </c>
      <c r="Q1988" s="116">
        <v>275.95</v>
      </c>
      <c r="R1988">
        <v>29083</v>
      </c>
    </row>
    <row r="1989" spans="1:18" x14ac:dyDescent="0.25">
      <c r="A1989" s="170">
        <v>44970</v>
      </c>
      <c r="B1989" s="116">
        <v>269.45</v>
      </c>
      <c r="C1989" s="116">
        <v>258.89999999999998</v>
      </c>
      <c r="D1989" s="116">
        <v>257.39999999999998</v>
      </c>
      <c r="E1989" s="116">
        <v>269.45</v>
      </c>
      <c r="F1989" s="116">
        <v>258.89999999999998</v>
      </c>
      <c r="G1989">
        <v>4399</v>
      </c>
      <c r="H1989" s="116"/>
      <c r="I1989" s="116"/>
      <c r="L1989" s="170">
        <v>44938</v>
      </c>
      <c r="M1989" s="116">
        <v>273.7</v>
      </c>
      <c r="N1989" s="116">
        <v>278.89999999999998</v>
      </c>
      <c r="O1989" s="116">
        <v>272.14999999999998</v>
      </c>
      <c r="P1989" s="116">
        <v>276.7</v>
      </c>
      <c r="Q1989" s="116">
        <v>273.7</v>
      </c>
      <c r="R1989">
        <v>17299</v>
      </c>
    </row>
    <row r="1990" spans="1:18" x14ac:dyDescent="0.25">
      <c r="A1990" s="170">
        <v>44971</v>
      </c>
      <c r="B1990" s="116">
        <v>271.3</v>
      </c>
      <c r="C1990" s="116">
        <v>259.60000000000002</v>
      </c>
      <c r="D1990" s="116">
        <v>257.3</v>
      </c>
      <c r="E1990" s="116">
        <v>265</v>
      </c>
      <c r="F1990" s="116">
        <v>259.60000000000002</v>
      </c>
      <c r="G1990">
        <v>691</v>
      </c>
      <c r="H1990" s="116"/>
      <c r="I1990" s="116"/>
      <c r="L1990" s="170">
        <v>44939</v>
      </c>
      <c r="M1990" s="116">
        <v>274.45</v>
      </c>
      <c r="N1990" s="116">
        <v>278</v>
      </c>
      <c r="O1990" s="116">
        <v>272</v>
      </c>
      <c r="P1990" s="116">
        <v>278</v>
      </c>
      <c r="Q1990" s="116">
        <v>274.45</v>
      </c>
      <c r="R1990">
        <v>33319</v>
      </c>
    </row>
    <row r="1991" spans="1:18" x14ac:dyDescent="0.25">
      <c r="A1991" s="170">
        <v>44972</v>
      </c>
      <c r="B1991" s="116">
        <v>262.89999999999998</v>
      </c>
      <c r="C1991" s="116">
        <v>261.3</v>
      </c>
      <c r="D1991" s="116">
        <v>259.85000000000002</v>
      </c>
      <c r="E1991" s="116">
        <v>260.25</v>
      </c>
      <c r="F1991" s="116">
        <v>261.3</v>
      </c>
      <c r="G1991">
        <v>1353</v>
      </c>
      <c r="H1991" s="116"/>
      <c r="I1991" s="116"/>
      <c r="L1991" s="170">
        <v>44942</v>
      </c>
      <c r="M1991" s="116">
        <v>269.3</v>
      </c>
      <c r="N1991" s="116">
        <v>278.55</v>
      </c>
      <c r="O1991" s="116">
        <v>264.5</v>
      </c>
      <c r="P1991" s="116">
        <v>278.55</v>
      </c>
      <c r="Q1991" s="116">
        <v>269.3</v>
      </c>
      <c r="R1991">
        <v>109822</v>
      </c>
    </row>
    <row r="1992" spans="1:18" x14ac:dyDescent="0.25">
      <c r="A1992" s="170">
        <v>44973</v>
      </c>
      <c r="B1992" s="116">
        <v>263.35000000000002</v>
      </c>
      <c r="C1992" s="116">
        <v>261.55</v>
      </c>
      <c r="D1992" s="116">
        <v>259.25</v>
      </c>
      <c r="E1992" s="116">
        <v>263.05</v>
      </c>
      <c r="F1992" s="116">
        <v>261.55</v>
      </c>
      <c r="G1992">
        <v>666</v>
      </c>
      <c r="H1992" s="116"/>
      <c r="I1992" s="116"/>
      <c r="L1992" s="170">
        <v>44943</v>
      </c>
      <c r="M1992" s="116">
        <v>270.5</v>
      </c>
      <c r="N1992" s="116">
        <v>273.75</v>
      </c>
      <c r="O1992" s="116">
        <v>268.64999999999998</v>
      </c>
      <c r="P1992" s="116">
        <v>273</v>
      </c>
      <c r="Q1992" s="116">
        <v>270.5</v>
      </c>
      <c r="R1992">
        <v>18223</v>
      </c>
    </row>
    <row r="1993" spans="1:18" x14ac:dyDescent="0.25">
      <c r="A1993" s="170">
        <v>44974</v>
      </c>
      <c r="B1993" s="116">
        <v>261.55</v>
      </c>
      <c r="C1993" s="116">
        <v>259.55</v>
      </c>
      <c r="D1993" s="116">
        <v>258.25</v>
      </c>
      <c r="E1993" s="116">
        <v>260.89999999999998</v>
      </c>
      <c r="F1993" s="116">
        <v>259.55</v>
      </c>
      <c r="G1993">
        <v>2447</v>
      </c>
      <c r="H1993" s="116"/>
      <c r="I1993" s="116"/>
      <c r="L1993" s="170">
        <v>44944</v>
      </c>
      <c r="M1993" s="116">
        <v>273.2</v>
      </c>
      <c r="N1993" s="116">
        <v>275</v>
      </c>
      <c r="O1993" s="116">
        <v>269.75</v>
      </c>
      <c r="P1993" s="116">
        <v>273</v>
      </c>
      <c r="Q1993" s="116">
        <v>273.2</v>
      </c>
      <c r="R1993">
        <v>24650</v>
      </c>
    </row>
    <row r="1994" spans="1:18" x14ac:dyDescent="0.25">
      <c r="A1994" s="170">
        <v>44977</v>
      </c>
      <c r="B1994" s="116">
        <v>262.5</v>
      </c>
      <c r="C1994" s="116">
        <v>260.75</v>
      </c>
      <c r="D1994" s="116">
        <v>258</v>
      </c>
      <c r="E1994" s="116">
        <v>262</v>
      </c>
      <c r="F1994" s="116">
        <v>260.75</v>
      </c>
      <c r="G1994">
        <v>585</v>
      </c>
      <c r="H1994" s="116"/>
      <c r="I1994" s="116"/>
      <c r="L1994" s="170">
        <v>44945</v>
      </c>
      <c r="M1994" s="116">
        <v>273.35000000000002</v>
      </c>
      <c r="N1994" s="116">
        <v>274.10000000000002</v>
      </c>
      <c r="O1994" s="116">
        <v>270.64999999999998</v>
      </c>
      <c r="P1994" s="116">
        <v>272.05</v>
      </c>
      <c r="Q1994" s="116">
        <v>273.35000000000002</v>
      </c>
      <c r="R1994">
        <v>9599</v>
      </c>
    </row>
    <row r="1995" spans="1:18" x14ac:dyDescent="0.25">
      <c r="A1995" s="170">
        <v>44978</v>
      </c>
      <c r="B1995" s="116">
        <v>263.3</v>
      </c>
      <c r="C1995" s="116">
        <v>260.95</v>
      </c>
      <c r="D1995" s="116">
        <v>259.25</v>
      </c>
      <c r="E1995" s="116">
        <v>262.3</v>
      </c>
      <c r="F1995" s="116">
        <v>260.95</v>
      </c>
      <c r="G1995">
        <v>1222</v>
      </c>
      <c r="H1995" s="116"/>
      <c r="I1995" s="116"/>
      <c r="L1995" s="170">
        <v>44946</v>
      </c>
      <c r="M1995" s="116">
        <v>288.45</v>
      </c>
      <c r="N1995" s="116">
        <v>291.3</v>
      </c>
      <c r="O1995" s="116">
        <v>272.5</v>
      </c>
      <c r="P1995" s="116">
        <v>276.05</v>
      </c>
      <c r="Q1995" s="116">
        <v>288.45</v>
      </c>
      <c r="R1995">
        <v>116717</v>
      </c>
    </row>
    <row r="1996" spans="1:18" x14ac:dyDescent="0.25">
      <c r="A1996" s="170">
        <v>44979</v>
      </c>
      <c r="B1996" s="116">
        <v>260.55</v>
      </c>
      <c r="C1996" s="116">
        <v>256.2</v>
      </c>
      <c r="D1996" s="116">
        <v>253.5</v>
      </c>
      <c r="E1996" s="116">
        <v>260.55</v>
      </c>
      <c r="F1996" s="116">
        <v>256.2</v>
      </c>
      <c r="G1996">
        <v>1139</v>
      </c>
      <c r="H1996" s="116"/>
      <c r="I1996" s="116"/>
      <c r="L1996" s="170">
        <v>44949</v>
      </c>
      <c r="M1996" s="116">
        <v>284.39999999999998</v>
      </c>
      <c r="N1996" s="116">
        <v>292.95</v>
      </c>
      <c r="O1996" s="116">
        <v>283</v>
      </c>
      <c r="P1996" s="116">
        <v>290.5</v>
      </c>
      <c r="Q1996" s="116">
        <v>284.39999999999998</v>
      </c>
      <c r="R1996">
        <v>54813</v>
      </c>
    </row>
    <row r="1997" spans="1:18" x14ac:dyDescent="0.25">
      <c r="A1997" s="170">
        <v>44980</v>
      </c>
      <c r="B1997" s="116">
        <v>259.45</v>
      </c>
      <c r="C1997" s="116">
        <v>254.85</v>
      </c>
      <c r="D1997" s="116">
        <v>254.1</v>
      </c>
      <c r="E1997" s="116">
        <v>256.75</v>
      </c>
      <c r="F1997" s="116">
        <v>254.85</v>
      </c>
      <c r="G1997">
        <v>510</v>
      </c>
      <c r="H1997" s="116"/>
      <c r="I1997" s="116"/>
      <c r="L1997" s="170">
        <v>44950</v>
      </c>
      <c r="M1997" s="116">
        <v>281.8</v>
      </c>
      <c r="N1997" s="116">
        <v>285.95</v>
      </c>
      <c r="O1997" s="116">
        <v>278.75</v>
      </c>
      <c r="P1997" s="116">
        <v>284.64999999999998</v>
      </c>
      <c r="Q1997" s="116">
        <v>281.8</v>
      </c>
      <c r="R1997">
        <v>22576</v>
      </c>
    </row>
    <row r="1998" spans="1:18" x14ac:dyDescent="0.25">
      <c r="A1998" s="170">
        <v>44981</v>
      </c>
      <c r="B1998" s="116">
        <v>263</v>
      </c>
      <c r="C1998" s="116">
        <v>250.25</v>
      </c>
      <c r="D1998" s="116">
        <v>248.4</v>
      </c>
      <c r="E1998" s="116">
        <v>252</v>
      </c>
      <c r="F1998" s="116">
        <v>250.25</v>
      </c>
      <c r="G1998">
        <v>1756</v>
      </c>
      <c r="H1998" s="116"/>
      <c r="I1998" s="116"/>
      <c r="L1998" s="170">
        <v>44951</v>
      </c>
      <c r="M1998" s="116">
        <v>271.14999999999998</v>
      </c>
      <c r="N1998" s="116">
        <v>281.75</v>
      </c>
      <c r="O1998" s="116">
        <v>268</v>
      </c>
      <c r="P1998" s="116">
        <v>281.75</v>
      </c>
      <c r="Q1998" s="116">
        <v>271.14999999999998</v>
      </c>
      <c r="R1998">
        <v>54369</v>
      </c>
    </row>
    <row r="1999" spans="1:18" x14ac:dyDescent="0.25">
      <c r="A1999" s="170">
        <v>44984</v>
      </c>
      <c r="B1999" s="116">
        <v>252.75</v>
      </c>
      <c r="C1999" s="116">
        <v>246.55</v>
      </c>
      <c r="D1999" s="116">
        <v>244.6</v>
      </c>
      <c r="E1999" s="116">
        <v>245</v>
      </c>
      <c r="F1999" s="116">
        <v>246.55</v>
      </c>
      <c r="G1999">
        <v>3474</v>
      </c>
      <c r="H1999" s="116"/>
      <c r="I1999" s="116"/>
      <c r="L1999" s="170">
        <v>44953</v>
      </c>
      <c r="M1999" s="116">
        <v>268.14999999999998</v>
      </c>
      <c r="N1999" s="116">
        <v>274.35000000000002</v>
      </c>
      <c r="O1999" s="116">
        <v>262</v>
      </c>
      <c r="P1999" s="116">
        <v>273.64999999999998</v>
      </c>
      <c r="Q1999" s="116">
        <v>268.14999999999998</v>
      </c>
      <c r="R1999">
        <v>43803</v>
      </c>
    </row>
    <row r="2000" spans="1:18" x14ac:dyDescent="0.25">
      <c r="A2000" s="170">
        <v>44985</v>
      </c>
      <c r="B2000" s="116">
        <v>247.95</v>
      </c>
      <c r="C2000" s="116">
        <v>241.7</v>
      </c>
      <c r="D2000" s="116">
        <v>240</v>
      </c>
      <c r="E2000" s="116">
        <v>246.65</v>
      </c>
      <c r="F2000" s="116">
        <v>241.7</v>
      </c>
      <c r="G2000">
        <v>1513</v>
      </c>
      <c r="H2000" s="116"/>
      <c r="I2000" s="116"/>
      <c r="L2000" s="170">
        <v>44956</v>
      </c>
      <c r="M2000" s="116">
        <v>288.3</v>
      </c>
      <c r="N2000" s="116">
        <v>289.89999999999998</v>
      </c>
      <c r="O2000" s="116">
        <v>276</v>
      </c>
      <c r="P2000" s="116">
        <v>282.5</v>
      </c>
      <c r="Q2000" s="116">
        <v>288.3</v>
      </c>
      <c r="R2000">
        <v>359625</v>
      </c>
    </row>
    <row r="2001" spans="1:18" x14ac:dyDescent="0.25">
      <c r="A2001" s="170">
        <v>44986</v>
      </c>
      <c r="B2001" s="116">
        <v>252.6</v>
      </c>
      <c r="C2001" s="116">
        <v>250.3</v>
      </c>
      <c r="D2001" s="116">
        <v>238.8</v>
      </c>
      <c r="E2001" s="116">
        <v>240.1</v>
      </c>
      <c r="F2001" s="116">
        <v>250.3</v>
      </c>
      <c r="G2001">
        <v>2591</v>
      </c>
      <c r="H2001" s="116"/>
      <c r="I2001" s="116"/>
      <c r="L2001" s="170">
        <v>44957</v>
      </c>
      <c r="M2001" s="116">
        <v>285.95</v>
      </c>
      <c r="N2001" s="116">
        <v>294.5</v>
      </c>
      <c r="O2001" s="116">
        <v>284.10000000000002</v>
      </c>
      <c r="P2001" s="116">
        <v>293</v>
      </c>
      <c r="Q2001" s="116">
        <v>285.95</v>
      </c>
      <c r="R2001">
        <v>112253</v>
      </c>
    </row>
    <row r="2002" spans="1:18" x14ac:dyDescent="0.25">
      <c r="A2002" s="170">
        <v>44987</v>
      </c>
      <c r="B2002" s="116">
        <v>254.3</v>
      </c>
      <c r="C2002" s="116">
        <v>254</v>
      </c>
      <c r="D2002" s="116">
        <v>251.45</v>
      </c>
      <c r="E2002" s="116">
        <v>251.75</v>
      </c>
      <c r="F2002" s="116">
        <v>254</v>
      </c>
      <c r="G2002">
        <v>898</v>
      </c>
      <c r="H2002" s="116"/>
      <c r="I2002" s="116"/>
      <c r="L2002" s="170">
        <v>44958</v>
      </c>
      <c r="M2002" s="116">
        <v>280.39999999999998</v>
      </c>
      <c r="N2002" s="116">
        <v>287.95</v>
      </c>
      <c r="O2002" s="116">
        <v>278</v>
      </c>
      <c r="P2002" s="116">
        <v>287.5</v>
      </c>
      <c r="Q2002" s="116">
        <v>280.39999999999998</v>
      </c>
      <c r="R2002">
        <v>54364</v>
      </c>
    </row>
    <row r="2003" spans="1:18" x14ac:dyDescent="0.25">
      <c r="A2003" s="170">
        <v>44988</v>
      </c>
      <c r="B2003" s="116">
        <v>265.35000000000002</v>
      </c>
      <c r="C2003" s="116">
        <v>260.89999999999998</v>
      </c>
      <c r="D2003" s="116">
        <v>255.35</v>
      </c>
      <c r="E2003" s="116">
        <v>255.35</v>
      </c>
      <c r="F2003" s="116">
        <v>260.89999999999998</v>
      </c>
      <c r="G2003">
        <v>4094</v>
      </c>
      <c r="H2003" s="116"/>
      <c r="I2003" s="116"/>
      <c r="L2003" s="170">
        <v>44959</v>
      </c>
      <c r="M2003" s="116">
        <v>276.3</v>
      </c>
      <c r="N2003" s="116">
        <v>284.05</v>
      </c>
      <c r="O2003" s="116">
        <v>275</v>
      </c>
      <c r="P2003" s="116">
        <v>282.95</v>
      </c>
      <c r="Q2003" s="116">
        <v>276.3</v>
      </c>
      <c r="R2003">
        <v>57977</v>
      </c>
    </row>
    <row r="2004" spans="1:18" x14ac:dyDescent="0.25">
      <c r="A2004" s="170">
        <v>44991</v>
      </c>
      <c r="B2004" s="116">
        <v>264.10000000000002</v>
      </c>
      <c r="C2004" s="116">
        <v>261.25</v>
      </c>
      <c r="D2004" s="116">
        <v>260.45</v>
      </c>
      <c r="E2004" s="116">
        <v>263.89999999999998</v>
      </c>
      <c r="F2004" s="116">
        <v>261.25</v>
      </c>
      <c r="G2004">
        <v>386</v>
      </c>
      <c r="H2004" s="116"/>
      <c r="I2004" s="116"/>
      <c r="L2004" s="170">
        <v>44960</v>
      </c>
      <c r="M2004" s="116">
        <v>266.35000000000002</v>
      </c>
      <c r="N2004" s="116">
        <v>279.95</v>
      </c>
      <c r="O2004" s="116">
        <v>264.05</v>
      </c>
      <c r="P2004" s="116">
        <v>276.3</v>
      </c>
      <c r="Q2004" s="116">
        <v>266.35000000000002</v>
      </c>
      <c r="R2004">
        <v>78426</v>
      </c>
    </row>
    <row r="2005" spans="1:18" x14ac:dyDescent="0.25">
      <c r="A2005" s="170">
        <v>44993</v>
      </c>
      <c r="B2005" s="116">
        <v>262</v>
      </c>
      <c r="C2005" s="116">
        <v>258.75</v>
      </c>
      <c r="D2005" s="116">
        <v>253.9</v>
      </c>
      <c r="E2005" s="116">
        <v>261.39999999999998</v>
      </c>
      <c r="F2005" s="116">
        <v>258.75</v>
      </c>
      <c r="G2005">
        <v>4835</v>
      </c>
      <c r="H2005" s="116"/>
      <c r="I2005" s="116"/>
      <c r="L2005" s="170">
        <v>44963</v>
      </c>
      <c r="M2005" s="116">
        <v>266.64999999999998</v>
      </c>
      <c r="N2005" s="116">
        <v>272</v>
      </c>
      <c r="O2005" s="116">
        <v>265.85000000000002</v>
      </c>
      <c r="P2005" s="116">
        <v>268</v>
      </c>
      <c r="Q2005" s="116">
        <v>266.64999999999998</v>
      </c>
      <c r="R2005">
        <v>43452</v>
      </c>
    </row>
    <row r="2006" spans="1:18" x14ac:dyDescent="0.25">
      <c r="A2006" s="170">
        <v>44994</v>
      </c>
      <c r="B2006" s="116">
        <v>266</v>
      </c>
      <c r="C2006" s="116">
        <v>264</v>
      </c>
      <c r="D2006" s="116">
        <v>260</v>
      </c>
      <c r="E2006" s="116">
        <v>260</v>
      </c>
      <c r="F2006" s="116">
        <v>264</v>
      </c>
      <c r="G2006">
        <v>1169</v>
      </c>
      <c r="H2006" s="116"/>
      <c r="I2006" s="116"/>
      <c r="L2006" s="170">
        <v>44964</v>
      </c>
      <c r="M2006" s="116">
        <v>266.75</v>
      </c>
      <c r="N2006" s="116">
        <v>270.95</v>
      </c>
      <c r="O2006" s="116">
        <v>265.8</v>
      </c>
      <c r="P2006" s="116">
        <v>270.5</v>
      </c>
      <c r="Q2006" s="116">
        <v>266.75</v>
      </c>
      <c r="R2006">
        <v>30079</v>
      </c>
    </row>
    <row r="2007" spans="1:18" x14ac:dyDescent="0.25">
      <c r="A2007" s="170">
        <v>44995</v>
      </c>
      <c r="B2007" s="116">
        <v>264.64999999999998</v>
      </c>
      <c r="C2007" s="116">
        <v>262.85000000000002</v>
      </c>
      <c r="D2007" s="116">
        <v>259</v>
      </c>
      <c r="E2007" s="116">
        <v>260.35000000000002</v>
      </c>
      <c r="F2007" s="116">
        <v>262.85000000000002</v>
      </c>
      <c r="G2007">
        <v>3343</v>
      </c>
      <c r="H2007" s="116"/>
      <c r="I2007" s="116"/>
      <c r="L2007" s="170">
        <v>44965</v>
      </c>
      <c r="M2007" s="116">
        <v>266.05</v>
      </c>
      <c r="N2007" s="116">
        <v>268.95</v>
      </c>
      <c r="O2007" s="116">
        <v>264.5</v>
      </c>
      <c r="P2007" s="116">
        <v>266.14999999999998</v>
      </c>
      <c r="Q2007" s="116">
        <v>266.05</v>
      </c>
      <c r="R2007">
        <v>26306</v>
      </c>
    </row>
    <row r="2008" spans="1:18" x14ac:dyDescent="0.25">
      <c r="A2008" s="170">
        <v>44998</v>
      </c>
      <c r="B2008" s="116">
        <v>261.85000000000002</v>
      </c>
      <c r="C2008" s="116">
        <v>251.25</v>
      </c>
      <c r="D2008" s="116">
        <v>248.8</v>
      </c>
      <c r="E2008" s="116">
        <v>257.10000000000002</v>
      </c>
      <c r="F2008" s="116">
        <v>251.25</v>
      </c>
      <c r="G2008">
        <v>2368</v>
      </c>
      <c r="H2008" s="116"/>
      <c r="I2008" s="116"/>
      <c r="L2008" s="170">
        <v>44966</v>
      </c>
      <c r="M2008" s="116">
        <v>266.5</v>
      </c>
      <c r="N2008" s="116">
        <v>269.89999999999998</v>
      </c>
      <c r="O2008" s="116">
        <v>264.05</v>
      </c>
      <c r="P2008" s="116">
        <v>265</v>
      </c>
      <c r="Q2008" s="116">
        <v>266.5</v>
      </c>
      <c r="R2008">
        <v>35716</v>
      </c>
    </row>
    <row r="2009" spans="1:18" x14ac:dyDescent="0.25">
      <c r="A2009" s="170">
        <v>44999</v>
      </c>
      <c r="B2009" s="116">
        <v>255.75</v>
      </c>
      <c r="C2009" s="116">
        <v>244.8</v>
      </c>
      <c r="D2009" s="116">
        <v>239.2</v>
      </c>
      <c r="E2009" s="116">
        <v>251</v>
      </c>
      <c r="F2009" s="116">
        <v>244.8</v>
      </c>
      <c r="G2009">
        <v>5007</v>
      </c>
      <c r="H2009" s="116"/>
      <c r="I2009" s="116"/>
      <c r="L2009" s="170">
        <v>44967</v>
      </c>
      <c r="M2009" s="116">
        <v>265.7</v>
      </c>
      <c r="N2009" s="116">
        <v>268.2</v>
      </c>
      <c r="O2009" s="116">
        <v>264.85000000000002</v>
      </c>
      <c r="P2009" s="116">
        <v>266.3</v>
      </c>
      <c r="Q2009" s="116">
        <v>265.7</v>
      </c>
      <c r="R2009">
        <v>24562</v>
      </c>
    </row>
    <row r="2010" spans="1:18" x14ac:dyDescent="0.25">
      <c r="A2010" s="170">
        <v>45000</v>
      </c>
      <c r="B2010" s="116">
        <v>251.45</v>
      </c>
      <c r="C2010" s="116">
        <v>242.25</v>
      </c>
      <c r="D2010" s="116">
        <v>239.2</v>
      </c>
      <c r="E2010" s="116">
        <v>251.45</v>
      </c>
      <c r="F2010" s="116">
        <v>242.25</v>
      </c>
      <c r="G2010">
        <v>828</v>
      </c>
      <c r="H2010" s="116"/>
      <c r="I2010" s="116"/>
      <c r="L2010" s="170">
        <v>44970</v>
      </c>
      <c r="M2010" s="116">
        <v>259.60000000000002</v>
      </c>
      <c r="N2010" s="116">
        <v>269.14999999999998</v>
      </c>
      <c r="O2010" s="116">
        <v>257.3</v>
      </c>
      <c r="P2010" s="116">
        <v>266.7</v>
      </c>
      <c r="Q2010" s="116">
        <v>259.60000000000002</v>
      </c>
      <c r="R2010">
        <v>39110</v>
      </c>
    </row>
    <row r="2011" spans="1:18" x14ac:dyDescent="0.25">
      <c r="A2011" s="170">
        <v>45001</v>
      </c>
      <c r="B2011" s="116">
        <v>244.5</v>
      </c>
      <c r="C2011" s="116">
        <v>237.2</v>
      </c>
      <c r="D2011" s="116">
        <v>233.55</v>
      </c>
      <c r="E2011" s="116">
        <v>241.6</v>
      </c>
      <c r="F2011" s="116">
        <v>237.2</v>
      </c>
      <c r="G2011">
        <v>3652</v>
      </c>
      <c r="H2011" s="116"/>
      <c r="I2011" s="116"/>
      <c r="L2011" s="170">
        <v>44971</v>
      </c>
      <c r="M2011" s="116">
        <v>259.55</v>
      </c>
      <c r="N2011" s="116">
        <v>264.39999999999998</v>
      </c>
      <c r="O2011" s="116">
        <v>258</v>
      </c>
      <c r="P2011" s="116">
        <v>264.39999999999998</v>
      </c>
      <c r="Q2011" s="116">
        <v>259.55</v>
      </c>
      <c r="R2011">
        <v>26854</v>
      </c>
    </row>
    <row r="2012" spans="1:18" x14ac:dyDescent="0.25">
      <c r="A2012" s="170">
        <v>45002</v>
      </c>
      <c r="B2012" s="116">
        <v>246.3</v>
      </c>
      <c r="C2012" s="116">
        <v>242</v>
      </c>
      <c r="D2012" s="116">
        <v>240</v>
      </c>
      <c r="E2012" s="116">
        <v>242.9</v>
      </c>
      <c r="F2012" s="116">
        <v>242</v>
      </c>
      <c r="G2012">
        <v>4394</v>
      </c>
      <c r="H2012" s="116"/>
      <c r="I2012" s="116"/>
      <c r="L2012" s="170">
        <v>44972</v>
      </c>
      <c r="M2012" s="116">
        <v>261.45</v>
      </c>
      <c r="N2012" s="116">
        <v>263.35000000000002</v>
      </c>
      <c r="O2012" s="116">
        <v>258.55</v>
      </c>
      <c r="P2012" s="116">
        <v>259</v>
      </c>
      <c r="Q2012" s="116">
        <v>261.45</v>
      </c>
      <c r="R2012">
        <v>28005</v>
      </c>
    </row>
    <row r="2013" spans="1:18" x14ac:dyDescent="0.25">
      <c r="A2013" s="170">
        <v>45005</v>
      </c>
      <c r="B2013" s="116">
        <v>243.3</v>
      </c>
      <c r="C2013" s="116">
        <v>240.2</v>
      </c>
      <c r="D2013" s="116">
        <v>235.35</v>
      </c>
      <c r="E2013" s="116">
        <v>242.05</v>
      </c>
      <c r="F2013" s="116">
        <v>240.2</v>
      </c>
      <c r="G2013">
        <v>3832</v>
      </c>
      <c r="H2013" s="116"/>
      <c r="I2013" s="116"/>
      <c r="L2013" s="170">
        <v>44973</v>
      </c>
      <c r="M2013" s="116">
        <v>261</v>
      </c>
      <c r="N2013" s="116">
        <v>263.89999999999998</v>
      </c>
      <c r="O2013" s="116">
        <v>259.5</v>
      </c>
      <c r="P2013" s="116">
        <v>261.89999999999998</v>
      </c>
      <c r="Q2013" s="116">
        <v>261</v>
      </c>
      <c r="R2013">
        <v>27819</v>
      </c>
    </row>
    <row r="2014" spans="1:18" x14ac:dyDescent="0.25">
      <c r="A2014" s="170">
        <v>45006</v>
      </c>
      <c r="B2014" s="116">
        <v>248.2</v>
      </c>
      <c r="C2014" s="116">
        <v>246.2</v>
      </c>
      <c r="D2014" s="116">
        <v>239</v>
      </c>
      <c r="E2014" s="116">
        <v>242.3</v>
      </c>
      <c r="F2014" s="116">
        <v>246.2</v>
      </c>
      <c r="G2014">
        <v>4138</v>
      </c>
      <c r="H2014" s="116"/>
      <c r="I2014" s="116"/>
      <c r="L2014" s="170">
        <v>44974</v>
      </c>
      <c r="M2014" s="116">
        <v>259.60000000000002</v>
      </c>
      <c r="N2014" s="116">
        <v>261.75</v>
      </c>
      <c r="O2014" s="116">
        <v>258.55</v>
      </c>
      <c r="P2014" s="116">
        <v>261</v>
      </c>
      <c r="Q2014" s="116">
        <v>259.60000000000002</v>
      </c>
      <c r="R2014">
        <v>18396</v>
      </c>
    </row>
    <row r="2015" spans="1:18" x14ac:dyDescent="0.25">
      <c r="A2015" s="170">
        <v>45007</v>
      </c>
      <c r="B2015" s="116">
        <v>258</v>
      </c>
      <c r="C2015" s="116">
        <v>246.85</v>
      </c>
      <c r="D2015" s="116">
        <v>245.05</v>
      </c>
      <c r="E2015" s="116">
        <v>258</v>
      </c>
      <c r="F2015" s="116">
        <v>246.85</v>
      </c>
      <c r="G2015">
        <v>8103</v>
      </c>
      <c r="H2015" s="116"/>
      <c r="I2015" s="116"/>
      <c r="L2015" s="170">
        <v>44977</v>
      </c>
      <c r="M2015" s="116">
        <v>260.7</v>
      </c>
      <c r="N2015" s="116">
        <v>262.2</v>
      </c>
      <c r="O2015" s="116">
        <v>257.8</v>
      </c>
      <c r="P2015" s="116">
        <v>261.5</v>
      </c>
      <c r="Q2015" s="116">
        <v>260.7</v>
      </c>
      <c r="R2015">
        <v>21928</v>
      </c>
    </row>
    <row r="2016" spans="1:18" x14ac:dyDescent="0.25">
      <c r="A2016" s="170">
        <v>45008</v>
      </c>
      <c r="B2016" s="116">
        <v>248.2</v>
      </c>
      <c r="C2016" s="116">
        <v>241.55</v>
      </c>
      <c r="D2016" s="116">
        <v>241.05</v>
      </c>
      <c r="E2016" s="116">
        <v>247.75</v>
      </c>
      <c r="F2016" s="116">
        <v>241.55</v>
      </c>
      <c r="G2016">
        <v>425</v>
      </c>
      <c r="H2016" s="116"/>
      <c r="I2016" s="116"/>
      <c r="L2016" s="170">
        <v>44978</v>
      </c>
      <c r="M2016" s="116">
        <v>261.89999999999998</v>
      </c>
      <c r="N2016" s="116">
        <v>263.89999999999998</v>
      </c>
      <c r="O2016" s="116">
        <v>259.85000000000002</v>
      </c>
      <c r="P2016" s="116">
        <v>260.7</v>
      </c>
      <c r="Q2016" s="116">
        <v>261.89999999999998</v>
      </c>
      <c r="R2016">
        <v>17933</v>
      </c>
    </row>
    <row r="2017" spans="1:18" x14ac:dyDescent="0.25">
      <c r="A2017" s="170">
        <v>45009</v>
      </c>
      <c r="B2017" s="116">
        <v>244.6</v>
      </c>
      <c r="C2017" s="116">
        <v>238.8</v>
      </c>
      <c r="D2017" s="116">
        <v>238.5</v>
      </c>
      <c r="E2017" s="116">
        <v>241.3</v>
      </c>
      <c r="F2017" s="116">
        <v>238.8</v>
      </c>
      <c r="G2017">
        <v>1185</v>
      </c>
      <c r="H2017" s="116"/>
      <c r="I2017" s="116"/>
      <c r="L2017" s="170">
        <v>44979</v>
      </c>
      <c r="M2017" s="116">
        <v>256.8</v>
      </c>
      <c r="N2017" s="116">
        <v>262.5</v>
      </c>
      <c r="O2017" s="116">
        <v>253.85</v>
      </c>
      <c r="P2017" s="116">
        <v>262.5</v>
      </c>
      <c r="Q2017" s="116">
        <v>256.8</v>
      </c>
      <c r="R2017">
        <v>21690</v>
      </c>
    </row>
    <row r="2018" spans="1:18" x14ac:dyDescent="0.25">
      <c r="A2018" s="170">
        <v>45012</v>
      </c>
      <c r="B2018" s="116">
        <v>241.95</v>
      </c>
      <c r="C2018" s="116">
        <v>229.75</v>
      </c>
      <c r="D2018" s="116">
        <v>227.5</v>
      </c>
      <c r="E2018" s="116">
        <v>241.3</v>
      </c>
      <c r="F2018" s="116">
        <v>229.75</v>
      </c>
      <c r="G2018">
        <v>2646</v>
      </c>
      <c r="H2018" s="116"/>
      <c r="I2018" s="116"/>
      <c r="L2018" s="170">
        <v>44980</v>
      </c>
      <c r="M2018" s="116">
        <v>254.5</v>
      </c>
      <c r="N2018" s="116">
        <v>258.95</v>
      </c>
      <c r="O2018" s="116">
        <v>254</v>
      </c>
      <c r="P2018" s="116">
        <v>256.89999999999998</v>
      </c>
      <c r="Q2018" s="116">
        <v>254.5</v>
      </c>
      <c r="R2018">
        <v>12897</v>
      </c>
    </row>
    <row r="2019" spans="1:18" x14ac:dyDescent="0.25">
      <c r="A2019" s="170">
        <v>45013</v>
      </c>
      <c r="B2019" s="116">
        <v>230.95</v>
      </c>
      <c r="C2019" s="116">
        <v>221.4</v>
      </c>
      <c r="D2019" s="116">
        <v>220</v>
      </c>
      <c r="E2019" s="116">
        <v>230.65</v>
      </c>
      <c r="F2019" s="116">
        <v>221.4</v>
      </c>
      <c r="G2019">
        <v>3239</v>
      </c>
      <c r="H2019" s="116"/>
      <c r="I2019" s="116"/>
      <c r="L2019" s="170">
        <v>44981</v>
      </c>
      <c r="M2019" s="116">
        <v>250.2</v>
      </c>
      <c r="N2019" s="116">
        <v>257.75</v>
      </c>
      <c r="O2019" s="116">
        <v>250.05</v>
      </c>
      <c r="P2019" s="116">
        <v>257.7</v>
      </c>
      <c r="Q2019" s="116">
        <v>250.2</v>
      </c>
      <c r="R2019">
        <v>18785</v>
      </c>
    </row>
    <row r="2020" spans="1:18" x14ac:dyDescent="0.25">
      <c r="A2020" s="170">
        <v>45014</v>
      </c>
      <c r="B2020" s="116">
        <v>241.15</v>
      </c>
      <c r="C2020" s="116">
        <v>238.05</v>
      </c>
      <c r="D2020" s="116">
        <v>223.7</v>
      </c>
      <c r="E2020" s="116">
        <v>223.7</v>
      </c>
      <c r="F2020" s="116">
        <v>238.05</v>
      </c>
      <c r="G2020">
        <v>7921</v>
      </c>
      <c r="H2020" s="116"/>
      <c r="I2020" s="116"/>
      <c r="L2020" s="170">
        <v>44984</v>
      </c>
      <c r="M2020" s="116">
        <v>246.6</v>
      </c>
      <c r="N2020" s="116">
        <v>251.55</v>
      </c>
      <c r="O2020" s="116">
        <v>245.15</v>
      </c>
      <c r="P2020" s="116">
        <v>250.2</v>
      </c>
      <c r="Q2020" s="116">
        <v>246.6</v>
      </c>
      <c r="R2020">
        <v>29086</v>
      </c>
    </row>
    <row r="2021" spans="1:18" x14ac:dyDescent="0.25">
      <c r="A2021" s="170">
        <v>45016</v>
      </c>
      <c r="B2021" s="116">
        <v>240</v>
      </c>
      <c r="C2021" s="116">
        <v>236.2</v>
      </c>
      <c r="D2021" s="116">
        <v>233.55</v>
      </c>
      <c r="E2021" s="116">
        <v>233.55</v>
      </c>
      <c r="F2021" s="116">
        <v>236.2</v>
      </c>
      <c r="G2021">
        <v>4435</v>
      </c>
      <c r="H2021" s="116"/>
      <c r="I2021" s="116"/>
      <c r="L2021" s="170">
        <v>44985</v>
      </c>
      <c r="M2021" s="116">
        <v>240.7</v>
      </c>
      <c r="N2021" s="116">
        <v>250</v>
      </c>
      <c r="O2021" s="116">
        <v>239</v>
      </c>
      <c r="P2021" s="116">
        <v>246.6</v>
      </c>
      <c r="Q2021" s="116">
        <v>240.7</v>
      </c>
      <c r="R2021">
        <v>37245</v>
      </c>
    </row>
    <row r="2022" spans="1:18" x14ac:dyDescent="0.25">
      <c r="A2022" s="170">
        <v>45019</v>
      </c>
      <c r="B2022" s="116">
        <v>246.15</v>
      </c>
      <c r="C2022" s="116">
        <v>244.6</v>
      </c>
      <c r="D2022" s="116">
        <v>236.95</v>
      </c>
      <c r="E2022" s="116">
        <v>243</v>
      </c>
      <c r="F2022" s="116">
        <v>244.6</v>
      </c>
      <c r="G2022">
        <v>3711</v>
      </c>
      <c r="H2022" s="116"/>
      <c r="I2022" s="116"/>
      <c r="L2022" s="170">
        <v>44986</v>
      </c>
      <c r="M2022" s="116">
        <v>250.25</v>
      </c>
      <c r="N2022" s="116">
        <v>252</v>
      </c>
      <c r="O2022" s="116">
        <v>240</v>
      </c>
      <c r="P2022" s="116">
        <v>240.7</v>
      </c>
      <c r="Q2022" s="116">
        <v>250.25</v>
      </c>
      <c r="R2022">
        <v>36088</v>
      </c>
    </row>
    <row r="2023" spans="1:18" x14ac:dyDescent="0.25">
      <c r="A2023" s="170">
        <v>45021</v>
      </c>
      <c r="B2023" s="116">
        <v>254</v>
      </c>
      <c r="C2023" s="116">
        <v>252</v>
      </c>
      <c r="D2023" s="116">
        <v>240.9</v>
      </c>
      <c r="E2023" s="116">
        <v>241.35</v>
      </c>
      <c r="F2023" s="116">
        <v>252</v>
      </c>
      <c r="G2023">
        <v>11505</v>
      </c>
      <c r="H2023" s="116"/>
      <c r="I2023" s="116"/>
      <c r="L2023" s="170">
        <v>44987</v>
      </c>
      <c r="M2023" s="116">
        <v>252.7</v>
      </c>
      <c r="N2023" s="116">
        <v>254.05</v>
      </c>
      <c r="O2023" s="116">
        <v>250.95</v>
      </c>
      <c r="P2023" s="116">
        <v>252</v>
      </c>
      <c r="Q2023" s="116">
        <v>252.7</v>
      </c>
      <c r="R2023">
        <v>10775</v>
      </c>
    </row>
    <row r="2024" spans="1:18" x14ac:dyDescent="0.25">
      <c r="A2024" s="170">
        <v>45022</v>
      </c>
      <c r="B2024" s="116">
        <v>253.75</v>
      </c>
      <c r="C2024" s="116">
        <v>247.85</v>
      </c>
      <c r="D2024" s="116">
        <v>246</v>
      </c>
      <c r="E2024" s="116">
        <v>251.45</v>
      </c>
      <c r="F2024" s="116">
        <v>247.85</v>
      </c>
      <c r="G2024">
        <v>3852</v>
      </c>
      <c r="H2024" s="116"/>
      <c r="I2024" s="116"/>
      <c r="L2024" s="170">
        <v>44988</v>
      </c>
      <c r="M2024" s="116">
        <v>261.64999999999998</v>
      </c>
      <c r="N2024" s="116">
        <v>265.39999999999998</v>
      </c>
      <c r="O2024" s="116">
        <v>255.5</v>
      </c>
      <c r="P2024" s="116">
        <v>255.5</v>
      </c>
      <c r="Q2024" s="116">
        <v>261.64999999999998</v>
      </c>
      <c r="R2024">
        <v>56903</v>
      </c>
    </row>
    <row r="2025" spans="1:18" x14ac:dyDescent="0.25">
      <c r="A2025" s="170">
        <v>45026</v>
      </c>
      <c r="B2025" s="116">
        <v>251.45</v>
      </c>
      <c r="C2025" s="116">
        <v>245.75</v>
      </c>
      <c r="D2025" s="116">
        <v>241.2</v>
      </c>
      <c r="E2025" s="116">
        <v>241.2</v>
      </c>
      <c r="F2025" s="116">
        <v>245.75</v>
      </c>
      <c r="G2025">
        <v>3144</v>
      </c>
      <c r="H2025" s="116"/>
      <c r="I2025" s="116"/>
      <c r="L2025" s="170">
        <v>44991</v>
      </c>
      <c r="M2025" s="116">
        <v>260.85000000000002</v>
      </c>
      <c r="N2025" s="116">
        <v>264.95</v>
      </c>
      <c r="O2025" s="116">
        <v>260.14999999999998</v>
      </c>
      <c r="P2025" s="116">
        <v>263.5</v>
      </c>
      <c r="Q2025" s="116">
        <v>260.85000000000002</v>
      </c>
      <c r="R2025">
        <v>17212</v>
      </c>
    </row>
    <row r="2026" spans="1:18" x14ac:dyDescent="0.25">
      <c r="A2026" s="170">
        <v>45027</v>
      </c>
      <c r="B2026" s="116">
        <v>251.85</v>
      </c>
      <c r="C2026" s="116">
        <v>249.75</v>
      </c>
      <c r="D2026" s="116">
        <v>241.15</v>
      </c>
      <c r="E2026" s="116">
        <v>241.15</v>
      </c>
      <c r="F2026" s="116">
        <v>249.75</v>
      </c>
      <c r="G2026">
        <v>682</v>
      </c>
      <c r="H2026" s="116"/>
      <c r="I2026" s="116"/>
      <c r="L2026" s="170">
        <v>44993</v>
      </c>
      <c r="M2026" s="116">
        <v>260</v>
      </c>
      <c r="N2026" s="116">
        <v>263.45</v>
      </c>
      <c r="O2026" s="116">
        <v>258</v>
      </c>
      <c r="P2026" s="116">
        <v>262</v>
      </c>
      <c r="Q2026" s="116">
        <v>260</v>
      </c>
      <c r="R2026">
        <v>28514</v>
      </c>
    </row>
    <row r="2027" spans="1:18" x14ac:dyDescent="0.25">
      <c r="A2027" s="170">
        <v>45028</v>
      </c>
      <c r="B2027" s="116">
        <v>256</v>
      </c>
      <c r="C2027" s="116">
        <v>253.4</v>
      </c>
      <c r="D2027" s="116">
        <v>249.95</v>
      </c>
      <c r="E2027" s="116">
        <v>249.95</v>
      </c>
      <c r="F2027" s="116">
        <v>253.4</v>
      </c>
      <c r="G2027">
        <v>2497</v>
      </c>
      <c r="H2027" s="116"/>
      <c r="I2027" s="116"/>
      <c r="L2027" s="170">
        <v>44994</v>
      </c>
      <c r="M2027" s="116">
        <v>263.7</v>
      </c>
      <c r="N2027" s="116">
        <v>266</v>
      </c>
      <c r="O2027" s="116">
        <v>260.39999999999998</v>
      </c>
      <c r="P2027" s="116">
        <v>260.39999999999998</v>
      </c>
      <c r="Q2027" s="116">
        <v>263.7</v>
      </c>
      <c r="R2027">
        <v>23305</v>
      </c>
    </row>
    <row r="2028" spans="1:18" x14ac:dyDescent="0.25">
      <c r="A2028" s="170">
        <v>45029</v>
      </c>
      <c r="B2028" s="116">
        <v>266</v>
      </c>
      <c r="C2028" s="116">
        <v>264.3</v>
      </c>
      <c r="D2028" s="116">
        <v>252.2</v>
      </c>
      <c r="E2028" s="116">
        <v>253.4</v>
      </c>
      <c r="F2028" s="116">
        <v>264.3</v>
      </c>
      <c r="G2028">
        <v>4222</v>
      </c>
      <c r="H2028" s="116"/>
      <c r="I2028" s="116"/>
      <c r="L2028" s="170">
        <v>44995</v>
      </c>
      <c r="M2028" s="116">
        <v>262.35000000000002</v>
      </c>
      <c r="N2028" s="116">
        <v>264.10000000000002</v>
      </c>
      <c r="O2028" s="116">
        <v>259.7</v>
      </c>
      <c r="P2028" s="116">
        <v>263.7</v>
      </c>
      <c r="Q2028" s="116">
        <v>262.35000000000002</v>
      </c>
      <c r="R2028">
        <v>17871</v>
      </c>
    </row>
    <row r="2029" spans="1:18" x14ac:dyDescent="0.25">
      <c r="A2029" s="170">
        <v>45033</v>
      </c>
      <c r="B2029" s="116">
        <v>275</v>
      </c>
      <c r="C2029" s="116">
        <v>268.39999999999998</v>
      </c>
      <c r="D2029" s="116">
        <v>266</v>
      </c>
      <c r="E2029" s="116">
        <v>272.2</v>
      </c>
      <c r="F2029" s="116">
        <v>268.39999999999998</v>
      </c>
      <c r="G2029">
        <v>7771</v>
      </c>
      <c r="H2029" s="116"/>
      <c r="I2029" s="116"/>
      <c r="L2029" s="170">
        <v>44998</v>
      </c>
      <c r="M2029" s="116">
        <v>251.25</v>
      </c>
      <c r="N2029" s="116">
        <v>262.95</v>
      </c>
      <c r="O2029" s="116">
        <v>249.25</v>
      </c>
      <c r="P2029" s="116">
        <v>262.35000000000002</v>
      </c>
      <c r="Q2029" s="116">
        <v>251.25</v>
      </c>
      <c r="R2029">
        <v>29323</v>
      </c>
    </row>
    <row r="2030" spans="1:18" x14ac:dyDescent="0.25">
      <c r="A2030" s="170">
        <v>45034</v>
      </c>
      <c r="B2030" s="116">
        <v>271.10000000000002</v>
      </c>
      <c r="C2030" s="116">
        <v>263.89999999999998</v>
      </c>
      <c r="D2030" s="116">
        <v>262</v>
      </c>
      <c r="E2030" s="116">
        <v>270.60000000000002</v>
      </c>
      <c r="F2030" s="116">
        <v>263.89999999999998</v>
      </c>
      <c r="G2030">
        <v>2326</v>
      </c>
      <c r="H2030" s="116"/>
      <c r="I2030" s="116"/>
      <c r="L2030" s="170">
        <v>44999</v>
      </c>
      <c r="M2030" s="116">
        <v>245</v>
      </c>
      <c r="N2030" s="116">
        <v>257.64999999999998</v>
      </c>
      <c r="O2030" s="116">
        <v>236.8</v>
      </c>
      <c r="P2030" s="116">
        <v>257.64999999999998</v>
      </c>
      <c r="Q2030" s="116">
        <v>245</v>
      </c>
      <c r="R2030">
        <v>44141</v>
      </c>
    </row>
    <row r="2031" spans="1:18" x14ac:dyDescent="0.25">
      <c r="A2031" s="170">
        <v>45035</v>
      </c>
      <c r="B2031" s="116">
        <v>266.89999999999998</v>
      </c>
      <c r="C2031" s="116">
        <v>262.60000000000002</v>
      </c>
      <c r="D2031" s="116">
        <v>261.7</v>
      </c>
      <c r="E2031" s="116">
        <v>265.75</v>
      </c>
      <c r="F2031" s="116">
        <v>262.60000000000002</v>
      </c>
      <c r="G2031">
        <v>3342</v>
      </c>
      <c r="H2031" s="116"/>
      <c r="I2031" s="116"/>
      <c r="L2031" s="170">
        <v>45000</v>
      </c>
      <c r="M2031" s="116">
        <v>242.45</v>
      </c>
      <c r="N2031" s="116">
        <v>252.65</v>
      </c>
      <c r="O2031" s="116">
        <v>240.6</v>
      </c>
      <c r="P2031" s="116">
        <v>250</v>
      </c>
      <c r="Q2031" s="116">
        <v>242.45</v>
      </c>
      <c r="R2031">
        <v>24865</v>
      </c>
    </row>
    <row r="2032" spans="1:18" x14ac:dyDescent="0.25">
      <c r="A2032" s="170">
        <v>45036</v>
      </c>
      <c r="B2032" s="116">
        <v>264.55</v>
      </c>
      <c r="C2032" s="116">
        <v>258.10000000000002</v>
      </c>
      <c r="D2032" s="116">
        <v>256.64999999999998</v>
      </c>
      <c r="E2032" s="116">
        <v>262.7</v>
      </c>
      <c r="F2032" s="116">
        <v>258.10000000000002</v>
      </c>
      <c r="G2032">
        <v>5647</v>
      </c>
      <c r="H2032" s="116"/>
      <c r="I2032" s="116"/>
      <c r="L2032" s="170">
        <v>45001</v>
      </c>
      <c r="M2032" s="116">
        <v>237.25</v>
      </c>
      <c r="N2032" s="116">
        <v>243</v>
      </c>
      <c r="O2032" s="116">
        <v>235.05</v>
      </c>
      <c r="P2032" s="116">
        <v>243</v>
      </c>
      <c r="Q2032" s="116">
        <v>237.25</v>
      </c>
      <c r="R2032">
        <v>57176</v>
      </c>
    </row>
    <row r="2033" spans="1:18" x14ac:dyDescent="0.25">
      <c r="A2033" s="170">
        <v>45037</v>
      </c>
      <c r="B2033" s="116">
        <v>259.5</v>
      </c>
      <c r="C2033" s="116">
        <v>256.89999999999998</v>
      </c>
      <c r="D2033" s="116">
        <v>255.4</v>
      </c>
      <c r="E2033" s="116">
        <v>259.5</v>
      </c>
      <c r="F2033" s="116">
        <v>256.89999999999998</v>
      </c>
      <c r="G2033">
        <v>355</v>
      </c>
      <c r="H2033" s="116"/>
      <c r="I2033" s="116"/>
      <c r="L2033" s="170">
        <v>45002</v>
      </c>
      <c r="M2033" s="116">
        <v>241.9</v>
      </c>
      <c r="N2033" s="116">
        <v>244</v>
      </c>
      <c r="O2033" s="116">
        <v>240</v>
      </c>
      <c r="P2033" s="116">
        <v>243.9</v>
      </c>
      <c r="Q2033" s="116">
        <v>241.9</v>
      </c>
      <c r="R2033">
        <v>35821</v>
      </c>
    </row>
    <row r="2034" spans="1:18" x14ac:dyDescent="0.25">
      <c r="A2034" s="170">
        <v>45040</v>
      </c>
      <c r="B2034" s="116">
        <v>271</v>
      </c>
      <c r="C2034" s="116">
        <v>267.5</v>
      </c>
      <c r="D2034" s="116">
        <v>257.95</v>
      </c>
      <c r="E2034" s="116">
        <v>260.10000000000002</v>
      </c>
      <c r="F2034" s="116">
        <v>267.5</v>
      </c>
      <c r="G2034">
        <v>3713</v>
      </c>
      <c r="H2034" s="116"/>
      <c r="I2034" s="116"/>
      <c r="L2034" s="170">
        <v>45005</v>
      </c>
      <c r="M2034" s="116">
        <v>239.05</v>
      </c>
      <c r="N2034" s="116">
        <v>243.2</v>
      </c>
      <c r="O2034" s="116">
        <v>235.25</v>
      </c>
      <c r="P2034" s="116">
        <v>241.95</v>
      </c>
      <c r="Q2034" s="116">
        <v>239.05</v>
      </c>
      <c r="R2034">
        <v>30898</v>
      </c>
    </row>
    <row r="2035" spans="1:18" x14ac:dyDescent="0.25">
      <c r="A2035" s="170">
        <v>45041</v>
      </c>
      <c r="B2035" s="116">
        <v>275</v>
      </c>
      <c r="C2035" s="116">
        <v>271.55</v>
      </c>
      <c r="D2035" s="116">
        <v>269.25</v>
      </c>
      <c r="E2035" s="116">
        <v>270.05</v>
      </c>
      <c r="F2035" s="116">
        <v>271.55</v>
      </c>
      <c r="G2035">
        <v>13506</v>
      </c>
      <c r="H2035" s="116"/>
      <c r="I2035" s="116"/>
      <c r="L2035" s="170">
        <v>45006</v>
      </c>
      <c r="M2035" s="116">
        <v>246.2</v>
      </c>
      <c r="N2035" s="116">
        <v>247.65</v>
      </c>
      <c r="O2035" s="116">
        <v>242.05</v>
      </c>
      <c r="P2035" s="116">
        <v>242.65</v>
      </c>
      <c r="Q2035" s="116">
        <v>246.2</v>
      </c>
      <c r="R2035">
        <v>32664</v>
      </c>
    </row>
    <row r="2036" spans="1:18" x14ac:dyDescent="0.25">
      <c r="A2036" s="170">
        <v>45042</v>
      </c>
      <c r="B2036" s="116">
        <v>278.95</v>
      </c>
      <c r="C2036" s="116">
        <v>272.7</v>
      </c>
      <c r="D2036" s="116">
        <v>270.7</v>
      </c>
      <c r="E2036" s="116">
        <v>273.45</v>
      </c>
      <c r="F2036" s="116">
        <v>272.7</v>
      </c>
      <c r="G2036">
        <v>3851</v>
      </c>
      <c r="H2036" s="116"/>
      <c r="I2036" s="116"/>
      <c r="L2036" s="170">
        <v>45007</v>
      </c>
      <c r="M2036" s="116">
        <v>247.85</v>
      </c>
      <c r="N2036" s="116">
        <v>254</v>
      </c>
      <c r="O2036" s="116">
        <v>246</v>
      </c>
      <c r="P2036" s="116">
        <v>248.8</v>
      </c>
      <c r="Q2036" s="116">
        <v>247.85</v>
      </c>
      <c r="R2036">
        <v>28127</v>
      </c>
    </row>
    <row r="2037" spans="1:18" x14ac:dyDescent="0.25">
      <c r="A2037" s="170">
        <v>45043</v>
      </c>
      <c r="B2037" s="116">
        <v>282.05</v>
      </c>
      <c r="C2037" s="116">
        <v>280.8</v>
      </c>
      <c r="D2037" s="116">
        <v>275.89999999999998</v>
      </c>
      <c r="E2037" s="116">
        <v>276.64999999999998</v>
      </c>
      <c r="F2037" s="116">
        <v>280.8</v>
      </c>
      <c r="G2037">
        <v>1425</v>
      </c>
      <c r="H2037" s="116"/>
      <c r="I2037" s="116"/>
      <c r="L2037" s="170">
        <v>45008</v>
      </c>
      <c r="M2037" s="116">
        <v>241.9</v>
      </c>
      <c r="N2037" s="116">
        <v>248.95</v>
      </c>
      <c r="O2037" s="116">
        <v>241.4</v>
      </c>
      <c r="P2037" s="116">
        <v>248.95</v>
      </c>
      <c r="Q2037" s="116">
        <v>241.9</v>
      </c>
      <c r="R2037">
        <v>32048</v>
      </c>
    </row>
    <row r="2038" spans="1:18" x14ac:dyDescent="0.25">
      <c r="A2038" s="170">
        <v>45044</v>
      </c>
      <c r="B2038" s="116">
        <v>286.5</v>
      </c>
      <c r="C2038" s="116">
        <v>281.75</v>
      </c>
      <c r="D2038" s="116">
        <v>277.75</v>
      </c>
      <c r="E2038" s="116">
        <v>282.8</v>
      </c>
      <c r="F2038" s="116">
        <v>281.75</v>
      </c>
      <c r="G2038">
        <v>6038</v>
      </c>
      <c r="H2038" s="116"/>
      <c r="I2038" s="116"/>
      <c r="L2038" s="170">
        <v>45009</v>
      </c>
      <c r="M2038" s="116">
        <v>239.1</v>
      </c>
      <c r="N2038" s="116">
        <v>242.9</v>
      </c>
      <c r="O2038" s="116">
        <v>238.5</v>
      </c>
      <c r="P2038" s="116">
        <v>242</v>
      </c>
      <c r="Q2038" s="116">
        <v>239.1</v>
      </c>
      <c r="R2038">
        <v>23309</v>
      </c>
    </row>
    <row r="2039" spans="1:18" x14ac:dyDescent="0.25">
      <c r="A2039" s="170">
        <v>45048</v>
      </c>
      <c r="B2039" s="116">
        <v>300</v>
      </c>
      <c r="C2039" s="116">
        <v>284.14999999999998</v>
      </c>
      <c r="D2039" s="116">
        <v>281.85000000000002</v>
      </c>
      <c r="E2039" s="116">
        <v>295</v>
      </c>
      <c r="F2039" s="116">
        <v>284.14999999999998</v>
      </c>
      <c r="G2039">
        <v>64457</v>
      </c>
      <c r="H2039" s="116"/>
      <c r="I2039" s="116"/>
      <c r="L2039" s="170">
        <v>45012</v>
      </c>
      <c r="M2039" s="116">
        <v>229.75</v>
      </c>
      <c r="N2039" s="116">
        <v>240.95</v>
      </c>
      <c r="O2039" s="116">
        <v>227.05</v>
      </c>
      <c r="P2039" s="116">
        <v>240.25</v>
      </c>
      <c r="Q2039" s="116">
        <v>229.75</v>
      </c>
      <c r="R2039">
        <v>45509</v>
      </c>
    </row>
    <row r="2040" spans="1:18" x14ac:dyDescent="0.25">
      <c r="A2040" s="170">
        <v>45049</v>
      </c>
      <c r="B2040" s="116">
        <v>290.8</v>
      </c>
      <c r="C2040" s="116">
        <v>283.14999999999998</v>
      </c>
      <c r="D2040" s="116">
        <v>280.75</v>
      </c>
      <c r="E2040" s="116">
        <v>290.8</v>
      </c>
      <c r="F2040" s="116">
        <v>283.14999999999998</v>
      </c>
      <c r="G2040">
        <v>14389</v>
      </c>
      <c r="H2040" s="116"/>
      <c r="I2040" s="116"/>
      <c r="L2040" s="170">
        <v>45013</v>
      </c>
      <c r="M2040" s="116">
        <v>221.5</v>
      </c>
      <c r="N2040" s="116">
        <v>232</v>
      </c>
      <c r="O2040" s="116">
        <v>220.1</v>
      </c>
      <c r="P2040" s="116">
        <v>232</v>
      </c>
      <c r="Q2040" s="116">
        <v>221.5</v>
      </c>
      <c r="R2040">
        <v>64763</v>
      </c>
    </row>
    <row r="2041" spans="1:18" x14ac:dyDescent="0.25">
      <c r="A2041" s="170">
        <v>45050</v>
      </c>
      <c r="B2041" s="116">
        <v>287.8</v>
      </c>
      <c r="C2041" s="116">
        <v>286.75</v>
      </c>
      <c r="D2041" s="116">
        <v>281</v>
      </c>
      <c r="E2041" s="116">
        <v>286.8</v>
      </c>
      <c r="F2041" s="116">
        <v>286.75</v>
      </c>
      <c r="G2041">
        <v>5923</v>
      </c>
      <c r="H2041" s="116"/>
      <c r="I2041" s="116"/>
      <c r="L2041" s="170">
        <v>45014</v>
      </c>
      <c r="M2041" s="116">
        <v>238.3</v>
      </c>
      <c r="N2041" s="116">
        <v>242.5</v>
      </c>
      <c r="O2041" s="116">
        <v>222.45</v>
      </c>
      <c r="P2041" s="116">
        <v>224</v>
      </c>
      <c r="Q2041" s="116">
        <v>238.3</v>
      </c>
      <c r="R2041">
        <v>125073</v>
      </c>
    </row>
    <row r="2042" spans="1:18" x14ac:dyDescent="0.25">
      <c r="A2042" s="170">
        <v>45051</v>
      </c>
      <c r="B2042" s="116">
        <v>290</v>
      </c>
      <c r="C2042" s="116">
        <v>283.64999999999998</v>
      </c>
      <c r="D2042" s="116">
        <v>281.45</v>
      </c>
      <c r="E2042" s="116">
        <v>290</v>
      </c>
      <c r="F2042" s="116">
        <v>283.64999999999998</v>
      </c>
      <c r="G2042">
        <v>6200</v>
      </c>
      <c r="H2042" s="116"/>
      <c r="I2042" s="116"/>
      <c r="L2042" s="170">
        <v>45016</v>
      </c>
      <c r="M2042" s="116">
        <v>235.7</v>
      </c>
      <c r="N2042" s="116">
        <v>239.95</v>
      </c>
      <c r="O2042" s="116">
        <v>234.1</v>
      </c>
      <c r="P2042" s="116">
        <v>237.95</v>
      </c>
      <c r="Q2042" s="116">
        <v>235.7</v>
      </c>
      <c r="R2042">
        <v>48792</v>
      </c>
    </row>
    <row r="2043" spans="1:18" x14ac:dyDescent="0.25">
      <c r="A2043" s="170">
        <v>45054</v>
      </c>
      <c r="B2043" s="116">
        <v>292</v>
      </c>
      <c r="C2043" s="116">
        <v>289.8</v>
      </c>
      <c r="D2043" s="116">
        <v>281.55</v>
      </c>
      <c r="E2043" s="116">
        <v>281.55</v>
      </c>
      <c r="F2043" s="116">
        <v>289.8</v>
      </c>
      <c r="G2043">
        <v>6278</v>
      </c>
      <c r="H2043" s="116"/>
      <c r="I2043" s="116"/>
      <c r="L2043" s="170">
        <v>45019</v>
      </c>
      <c r="M2043" s="116">
        <v>244.1</v>
      </c>
      <c r="N2043" s="116">
        <v>245.2</v>
      </c>
      <c r="O2043" s="116">
        <v>236.85</v>
      </c>
      <c r="P2043" s="116">
        <v>242</v>
      </c>
      <c r="Q2043" s="116">
        <v>244.1</v>
      </c>
      <c r="R2043">
        <v>47531</v>
      </c>
    </row>
    <row r="2044" spans="1:18" x14ac:dyDescent="0.25">
      <c r="A2044" s="170">
        <v>45055</v>
      </c>
      <c r="B2044" s="116">
        <v>294.25</v>
      </c>
      <c r="C2044" s="116">
        <v>288.10000000000002</v>
      </c>
      <c r="D2044" s="116">
        <v>287.14999999999998</v>
      </c>
      <c r="E2044" s="116">
        <v>288.60000000000002</v>
      </c>
      <c r="F2044" s="116">
        <v>288.10000000000002</v>
      </c>
      <c r="G2044">
        <v>9279</v>
      </c>
      <c r="H2044" s="116"/>
      <c r="I2044" s="116"/>
      <c r="L2044" s="170">
        <v>45021</v>
      </c>
      <c r="M2044" s="116">
        <v>252</v>
      </c>
      <c r="N2044" s="116">
        <v>254.2</v>
      </c>
      <c r="O2044" s="116">
        <v>240.5</v>
      </c>
      <c r="P2044" s="116">
        <v>244</v>
      </c>
      <c r="Q2044" s="116">
        <v>252</v>
      </c>
      <c r="R2044">
        <v>101476</v>
      </c>
    </row>
    <row r="2045" spans="1:18" x14ac:dyDescent="0.25">
      <c r="A2045" s="170">
        <v>45056</v>
      </c>
      <c r="B2045" s="116">
        <v>289.55</v>
      </c>
      <c r="C2045" s="116">
        <v>285.39999999999998</v>
      </c>
      <c r="D2045" s="116">
        <v>283.14999999999998</v>
      </c>
      <c r="E2045" s="116">
        <v>287.8</v>
      </c>
      <c r="F2045" s="116">
        <v>285.39999999999998</v>
      </c>
      <c r="G2045">
        <v>2122</v>
      </c>
      <c r="H2045" s="116"/>
      <c r="I2045" s="116"/>
      <c r="L2045" s="170">
        <v>45022</v>
      </c>
      <c r="M2045" s="116">
        <v>247.7</v>
      </c>
      <c r="N2045" s="116">
        <v>253.9</v>
      </c>
      <c r="O2045" s="116">
        <v>246.5</v>
      </c>
      <c r="P2045" s="116">
        <v>253</v>
      </c>
      <c r="Q2045" s="116">
        <v>247.7</v>
      </c>
      <c r="R2045">
        <v>27299</v>
      </c>
    </row>
    <row r="2046" spans="1:18" x14ac:dyDescent="0.25">
      <c r="A2046" s="170">
        <v>45057</v>
      </c>
      <c r="B2046" s="116">
        <v>291</v>
      </c>
      <c r="C2046" s="116">
        <v>284.95</v>
      </c>
      <c r="D2046" s="116">
        <v>282.55</v>
      </c>
      <c r="E2046" s="116">
        <v>282.55</v>
      </c>
      <c r="F2046" s="116">
        <v>284.95</v>
      </c>
      <c r="G2046">
        <v>5163</v>
      </c>
      <c r="H2046" s="116"/>
      <c r="I2046" s="116"/>
      <c r="L2046" s="170">
        <v>45026</v>
      </c>
      <c r="M2046" s="116">
        <v>246.05</v>
      </c>
      <c r="N2046" s="116">
        <v>251.85</v>
      </c>
      <c r="O2046" s="116">
        <v>244.6</v>
      </c>
      <c r="P2046" s="116">
        <v>247.7</v>
      </c>
      <c r="Q2046" s="116">
        <v>246.05</v>
      </c>
      <c r="R2046">
        <v>23410</v>
      </c>
    </row>
    <row r="2047" spans="1:18" x14ac:dyDescent="0.25">
      <c r="A2047" s="170">
        <v>45058</v>
      </c>
      <c r="B2047" s="116">
        <v>288.95</v>
      </c>
      <c r="C2047" s="116">
        <v>285.8</v>
      </c>
      <c r="D2047" s="116">
        <v>283.60000000000002</v>
      </c>
      <c r="E2047" s="116">
        <v>288.95</v>
      </c>
      <c r="F2047" s="116">
        <v>285.8</v>
      </c>
      <c r="G2047">
        <v>893</v>
      </c>
      <c r="H2047" s="116"/>
      <c r="I2047" s="116"/>
      <c r="L2047" s="170">
        <v>45027</v>
      </c>
      <c r="M2047" s="116">
        <v>249.5</v>
      </c>
      <c r="N2047" s="116">
        <v>252</v>
      </c>
      <c r="O2047" s="116">
        <v>246.85</v>
      </c>
      <c r="P2047" s="116">
        <v>247.45</v>
      </c>
      <c r="Q2047" s="116">
        <v>249.5</v>
      </c>
      <c r="R2047">
        <v>31231</v>
      </c>
    </row>
    <row r="2048" spans="1:18" x14ac:dyDescent="0.25">
      <c r="A2048" s="170">
        <v>45061</v>
      </c>
      <c r="B2048" s="116">
        <v>289.95</v>
      </c>
      <c r="C2048" s="116">
        <v>285.35000000000002</v>
      </c>
      <c r="D2048" s="116">
        <v>284</v>
      </c>
      <c r="E2048" s="116">
        <v>289.95</v>
      </c>
      <c r="F2048" s="116">
        <v>285.35000000000002</v>
      </c>
      <c r="G2048">
        <v>2920</v>
      </c>
      <c r="H2048" s="116"/>
      <c r="I2048" s="116"/>
      <c r="L2048" s="170">
        <v>45028</v>
      </c>
      <c r="M2048" s="116">
        <v>254</v>
      </c>
      <c r="N2048" s="116">
        <v>256</v>
      </c>
      <c r="O2048" s="116">
        <v>247.55</v>
      </c>
      <c r="P2048" s="116">
        <v>247.55</v>
      </c>
      <c r="Q2048" s="116">
        <v>254</v>
      </c>
      <c r="R2048">
        <v>48025</v>
      </c>
    </row>
    <row r="2049" spans="1:18" x14ac:dyDescent="0.25">
      <c r="A2049" s="170">
        <v>45062</v>
      </c>
      <c r="B2049" s="116">
        <v>288.10000000000002</v>
      </c>
      <c r="C2049" s="116">
        <v>285.95</v>
      </c>
      <c r="D2049" s="116">
        <v>284.60000000000002</v>
      </c>
      <c r="E2049" s="116">
        <v>286.60000000000002</v>
      </c>
      <c r="F2049" s="116">
        <v>285.95</v>
      </c>
      <c r="G2049">
        <v>6458</v>
      </c>
      <c r="H2049" s="116"/>
      <c r="I2049" s="116"/>
      <c r="L2049" s="170">
        <v>45029</v>
      </c>
      <c r="M2049" s="116">
        <v>264.85000000000002</v>
      </c>
      <c r="N2049" s="116">
        <v>268.85000000000002</v>
      </c>
      <c r="O2049" s="116">
        <v>251.85</v>
      </c>
      <c r="P2049" s="116">
        <v>255</v>
      </c>
      <c r="Q2049" s="116">
        <v>264.85000000000002</v>
      </c>
      <c r="R2049">
        <v>187826</v>
      </c>
    </row>
    <row r="2050" spans="1:18" x14ac:dyDescent="0.25">
      <c r="A2050" s="170">
        <v>45063</v>
      </c>
      <c r="B2050" s="116">
        <v>287</v>
      </c>
      <c r="C2050" s="116">
        <v>284.10000000000002</v>
      </c>
      <c r="D2050" s="116">
        <v>282.2</v>
      </c>
      <c r="E2050" s="116">
        <v>286.45</v>
      </c>
      <c r="F2050" s="116">
        <v>284.10000000000002</v>
      </c>
      <c r="G2050">
        <v>2392</v>
      </c>
      <c r="H2050" s="116"/>
      <c r="I2050" s="116"/>
      <c r="L2050" s="170">
        <v>45033</v>
      </c>
      <c r="M2050" s="116">
        <v>268.89999999999998</v>
      </c>
      <c r="N2050" s="116">
        <v>275</v>
      </c>
      <c r="O2050" s="116">
        <v>265.05</v>
      </c>
      <c r="P2050" s="116">
        <v>265.05</v>
      </c>
      <c r="Q2050" s="116">
        <v>268.89999999999998</v>
      </c>
      <c r="R2050">
        <v>135196</v>
      </c>
    </row>
    <row r="2051" spans="1:18" x14ac:dyDescent="0.25">
      <c r="A2051" s="170">
        <v>45064</v>
      </c>
      <c r="B2051" s="116">
        <v>286.25</v>
      </c>
      <c r="C2051" s="116">
        <v>283.25</v>
      </c>
      <c r="D2051" s="116">
        <v>278.45</v>
      </c>
      <c r="E2051" s="116">
        <v>278.45</v>
      </c>
      <c r="F2051" s="116">
        <v>283.25</v>
      </c>
      <c r="G2051">
        <v>6942</v>
      </c>
      <c r="H2051" s="116"/>
      <c r="I2051" s="116"/>
      <c r="L2051" s="170">
        <v>45034</v>
      </c>
      <c r="M2051" s="116">
        <v>264.10000000000002</v>
      </c>
      <c r="N2051" s="116">
        <v>271.39999999999998</v>
      </c>
      <c r="O2051" s="116">
        <v>261.5</v>
      </c>
      <c r="P2051" s="116">
        <v>271.39999999999998</v>
      </c>
      <c r="Q2051" s="116">
        <v>264.10000000000002</v>
      </c>
      <c r="R2051">
        <v>42836</v>
      </c>
    </row>
    <row r="2052" spans="1:18" x14ac:dyDescent="0.25">
      <c r="A2052" s="170">
        <v>45065</v>
      </c>
      <c r="B2052" s="116">
        <v>283.89999999999998</v>
      </c>
      <c r="C2052" s="116">
        <v>275.14999999999998</v>
      </c>
      <c r="D2052" s="116">
        <v>272.8</v>
      </c>
      <c r="E2052" s="116">
        <v>283.7</v>
      </c>
      <c r="F2052" s="116">
        <v>275.14999999999998</v>
      </c>
      <c r="G2052">
        <v>8163</v>
      </c>
      <c r="H2052" s="116"/>
      <c r="I2052" s="116"/>
      <c r="L2052" s="170">
        <v>45035</v>
      </c>
      <c r="M2052" s="116">
        <v>262</v>
      </c>
      <c r="N2052" s="116">
        <v>266.64999999999998</v>
      </c>
      <c r="O2052" s="116">
        <v>261.10000000000002</v>
      </c>
      <c r="P2052" s="116">
        <v>265.89999999999998</v>
      </c>
      <c r="Q2052" s="116">
        <v>262</v>
      </c>
      <c r="R2052">
        <v>30405</v>
      </c>
    </row>
    <row r="2053" spans="1:18" x14ac:dyDescent="0.25">
      <c r="A2053" s="170">
        <v>45068</v>
      </c>
      <c r="B2053" s="116">
        <v>280</v>
      </c>
      <c r="C2053" s="116">
        <v>273.10000000000002</v>
      </c>
      <c r="D2053" s="116">
        <v>270.45</v>
      </c>
      <c r="E2053" s="116">
        <v>280</v>
      </c>
      <c r="F2053" s="116">
        <v>273.10000000000002</v>
      </c>
      <c r="G2053">
        <v>6509</v>
      </c>
      <c r="H2053" s="116"/>
      <c r="I2053" s="116"/>
      <c r="L2053" s="170">
        <v>45036</v>
      </c>
      <c r="M2053" s="116">
        <v>258.35000000000002</v>
      </c>
      <c r="N2053" s="116">
        <v>264.64999999999998</v>
      </c>
      <c r="O2053" s="116">
        <v>256.39999999999998</v>
      </c>
      <c r="P2053" s="116">
        <v>262</v>
      </c>
      <c r="Q2053" s="116">
        <v>258.35000000000002</v>
      </c>
      <c r="R2053">
        <v>45816</v>
      </c>
    </row>
    <row r="2054" spans="1:18" x14ac:dyDescent="0.25">
      <c r="A2054" s="170">
        <v>45069</v>
      </c>
      <c r="B2054" s="116">
        <v>276.55</v>
      </c>
      <c r="C2054" s="116">
        <v>271.45</v>
      </c>
      <c r="D2054" s="116">
        <v>270.35000000000002</v>
      </c>
      <c r="E2054" s="116">
        <v>274.39999999999998</v>
      </c>
      <c r="F2054" s="116">
        <v>271.45</v>
      </c>
      <c r="G2054">
        <v>5297</v>
      </c>
      <c r="H2054" s="116"/>
      <c r="I2054" s="116"/>
      <c r="L2054" s="170">
        <v>45037</v>
      </c>
      <c r="M2054" s="116">
        <v>257.35000000000002</v>
      </c>
      <c r="N2054" s="116">
        <v>259.95</v>
      </c>
      <c r="O2054" s="116">
        <v>255.6</v>
      </c>
      <c r="P2054" s="116">
        <v>258</v>
      </c>
      <c r="Q2054" s="116">
        <v>257.35000000000002</v>
      </c>
      <c r="R2054">
        <v>32503</v>
      </c>
    </row>
    <row r="2055" spans="1:18" x14ac:dyDescent="0.25">
      <c r="A2055" s="170">
        <v>45070</v>
      </c>
      <c r="B2055" s="116">
        <v>271.55</v>
      </c>
      <c r="C2055" s="116">
        <v>266.75</v>
      </c>
      <c r="D2055" s="116">
        <v>265.3</v>
      </c>
      <c r="E2055" s="116">
        <v>271</v>
      </c>
      <c r="F2055" s="116">
        <v>266.75</v>
      </c>
      <c r="G2055">
        <v>5172</v>
      </c>
      <c r="H2055" s="116"/>
      <c r="I2055" s="116"/>
      <c r="L2055" s="170">
        <v>45040</v>
      </c>
      <c r="M2055" s="116">
        <v>267.25</v>
      </c>
      <c r="N2055" s="116">
        <v>271</v>
      </c>
      <c r="O2055" s="116">
        <v>258.5</v>
      </c>
      <c r="P2055" s="116">
        <v>260.35000000000002</v>
      </c>
      <c r="Q2055" s="116">
        <v>267.25</v>
      </c>
      <c r="R2055">
        <v>69896</v>
      </c>
    </row>
    <row r="2056" spans="1:18" x14ac:dyDescent="0.25">
      <c r="A2056" s="170">
        <v>45071</v>
      </c>
      <c r="B2056" s="116">
        <v>269</v>
      </c>
      <c r="C2056" s="116">
        <v>267.45</v>
      </c>
      <c r="D2056" s="116">
        <v>264.35000000000002</v>
      </c>
      <c r="E2056" s="116">
        <v>269</v>
      </c>
      <c r="F2056" s="116">
        <v>267.45</v>
      </c>
      <c r="G2056">
        <v>4319</v>
      </c>
      <c r="H2056" s="116"/>
      <c r="I2056" s="116"/>
      <c r="L2056" s="170">
        <v>45041</v>
      </c>
      <c r="M2056" s="116">
        <v>272</v>
      </c>
      <c r="N2056" s="116">
        <v>275</v>
      </c>
      <c r="O2056" s="116">
        <v>268</v>
      </c>
      <c r="P2056" s="116">
        <v>268</v>
      </c>
      <c r="Q2056" s="116">
        <v>272</v>
      </c>
      <c r="R2056">
        <v>96764</v>
      </c>
    </row>
    <row r="2057" spans="1:18" x14ac:dyDescent="0.25">
      <c r="A2057" s="170">
        <v>45072</v>
      </c>
      <c r="B2057" s="116">
        <v>279.85000000000002</v>
      </c>
      <c r="C2057" s="116">
        <v>275.14999999999998</v>
      </c>
      <c r="D2057" s="116">
        <v>267.5</v>
      </c>
      <c r="E2057" s="116">
        <v>268.5</v>
      </c>
      <c r="F2057" s="116">
        <v>275.14999999999998</v>
      </c>
      <c r="G2057">
        <v>12033</v>
      </c>
      <c r="H2057" s="116"/>
      <c r="I2057" s="116"/>
      <c r="L2057" s="170">
        <v>45042</v>
      </c>
      <c r="M2057" s="116">
        <v>273.8</v>
      </c>
      <c r="N2057" s="116">
        <v>279</v>
      </c>
      <c r="O2057" s="116">
        <v>270.3</v>
      </c>
      <c r="P2057" s="116">
        <v>273.60000000000002</v>
      </c>
      <c r="Q2057" s="116">
        <v>273.8</v>
      </c>
      <c r="R2057">
        <v>84779</v>
      </c>
    </row>
    <row r="2058" spans="1:18" x14ac:dyDescent="0.25">
      <c r="A2058" s="170">
        <v>45075</v>
      </c>
      <c r="B2058" s="116">
        <v>282</v>
      </c>
      <c r="C2058" s="116">
        <v>280.89999999999998</v>
      </c>
      <c r="D2058" s="116">
        <v>272.05</v>
      </c>
      <c r="E2058" s="116">
        <v>275</v>
      </c>
      <c r="F2058" s="116">
        <v>280.89999999999998</v>
      </c>
      <c r="G2058">
        <v>10438</v>
      </c>
      <c r="H2058" s="116"/>
      <c r="I2058" s="116"/>
      <c r="L2058" s="170">
        <v>45043</v>
      </c>
      <c r="M2058" s="116">
        <v>281.2</v>
      </c>
      <c r="N2058" s="116">
        <v>283</v>
      </c>
      <c r="O2058" s="116">
        <v>276</v>
      </c>
      <c r="P2058" s="116">
        <v>277.8</v>
      </c>
      <c r="Q2058" s="116">
        <v>281.2</v>
      </c>
      <c r="R2058">
        <v>96286</v>
      </c>
    </row>
    <row r="2059" spans="1:18" x14ac:dyDescent="0.25">
      <c r="A2059" s="170">
        <v>45076</v>
      </c>
      <c r="B2059" s="116">
        <v>288</v>
      </c>
      <c r="C2059" s="116">
        <v>280.60000000000002</v>
      </c>
      <c r="D2059" s="116">
        <v>277.25</v>
      </c>
      <c r="E2059" s="116">
        <v>288</v>
      </c>
      <c r="F2059" s="116">
        <v>280.60000000000002</v>
      </c>
      <c r="G2059">
        <v>7480</v>
      </c>
      <c r="H2059" s="116"/>
      <c r="I2059" s="116"/>
      <c r="L2059" s="170">
        <v>45044</v>
      </c>
      <c r="M2059" s="116">
        <v>280.7</v>
      </c>
      <c r="N2059" s="116">
        <v>285</v>
      </c>
      <c r="O2059" s="116">
        <v>277.85000000000002</v>
      </c>
      <c r="P2059" s="116">
        <v>284</v>
      </c>
      <c r="Q2059" s="116">
        <v>280.7</v>
      </c>
      <c r="R2059">
        <v>81301</v>
      </c>
    </row>
    <row r="2060" spans="1:18" x14ac:dyDescent="0.25">
      <c r="A2060" s="170">
        <v>45077</v>
      </c>
      <c r="B2060" s="116">
        <v>288.35000000000002</v>
      </c>
      <c r="C2060" s="116">
        <v>280.7</v>
      </c>
      <c r="D2060" s="116">
        <v>277.55</v>
      </c>
      <c r="E2060" s="116">
        <v>280.95</v>
      </c>
      <c r="F2060" s="116">
        <v>280.7</v>
      </c>
      <c r="G2060">
        <v>2225</v>
      </c>
      <c r="H2060" s="116"/>
      <c r="I2060" s="116"/>
      <c r="L2060" s="170">
        <v>45048</v>
      </c>
      <c r="M2060" s="116">
        <v>284.60000000000002</v>
      </c>
      <c r="N2060" s="116">
        <v>303.64999999999998</v>
      </c>
      <c r="O2060" s="116">
        <v>282.10000000000002</v>
      </c>
      <c r="P2060" s="116">
        <v>303.64999999999998</v>
      </c>
      <c r="Q2060" s="116">
        <v>284.60000000000002</v>
      </c>
      <c r="R2060">
        <v>582427</v>
      </c>
    </row>
    <row r="2061" spans="1:18" x14ac:dyDescent="0.25">
      <c r="A2061" s="170">
        <v>45078</v>
      </c>
      <c r="B2061" s="116">
        <v>283.5</v>
      </c>
      <c r="C2061" s="116">
        <v>279.05</v>
      </c>
      <c r="D2061" s="116">
        <v>276.10000000000002</v>
      </c>
      <c r="E2061" s="116">
        <v>276.10000000000002</v>
      </c>
      <c r="F2061" s="116">
        <v>279.05</v>
      </c>
      <c r="G2061">
        <v>6184</v>
      </c>
      <c r="H2061" s="116"/>
      <c r="I2061" s="116"/>
      <c r="L2061" s="170">
        <v>45049</v>
      </c>
      <c r="M2061" s="116">
        <v>283.10000000000002</v>
      </c>
      <c r="N2061" s="116">
        <v>288</v>
      </c>
      <c r="O2061" s="116">
        <v>281</v>
      </c>
      <c r="P2061" s="116">
        <v>288</v>
      </c>
      <c r="Q2061" s="116">
        <v>283.10000000000002</v>
      </c>
      <c r="R2061">
        <v>96722</v>
      </c>
    </row>
    <row r="2062" spans="1:18" x14ac:dyDescent="0.25">
      <c r="A2062" s="170">
        <v>45079</v>
      </c>
      <c r="B2062" s="116">
        <v>284</v>
      </c>
      <c r="C2062" s="116">
        <v>280.8</v>
      </c>
      <c r="D2062" s="116">
        <v>278</v>
      </c>
      <c r="E2062" s="116">
        <v>284</v>
      </c>
      <c r="F2062" s="116">
        <v>280.8</v>
      </c>
      <c r="G2062">
        <v>11034</v>
      </c>
      <c r="H2062" s="116"/>
      <c r="I2062" s="116"/>
      <c r="L2062" s="170">
        <v>45050</v>
      </c>
      <c r="M2062" s="116">
        <v>286.7</v>
      </c>
      <c r="N2062" s="116">
        <v>287.64999999999998</v>
      </c>
      <c r="O2062" s="116">
        <v>281.05</v>
      </c>
      <c r="P2062" s="116">
        <v>286.95</v>
      </c>
      <c r="Q2062" s="116">
        <v>286.7</v>
      </c>
      <c r="R2062">
        <v>94720</v>
      </c>
    </row>
    <row r="2063" spans="1:18" x14ac:dyDescent="0.25">
      <c r="A2063" s="170">
        <v>45082</v>
      </c>
      <c r="B2063" s="116">
        <v>286</v>
      </c>
      <c r="C2063" s="116">
        <v>283.5</v>
      </c>
      <c r="D2063" s="116">
        <v>281.35000000000002</v>
      </c>
      <c r="E2063" s="116">
        <v>283.5</v>
      </c>
      <c r="F2063" s="116">
        <v>283.5</v>
      </c>
      <c r="G2063">
        <v>16380</v>
      </c>
      <c r="H2063" s="116"/>
      <c r="I2063" s="116"/>
      <c r="L2063" s="170">
        <v>45051</v>
      </c>
      <c r="M2063" s="116">
        <v>283.75</v>
      </c>
      <c r="N2063" s="116">
        <v>290</v>
      </c>
      <c r="O2063" s="116">
        <v>282</v>
      </c>
      <c r="P2063" s="116">
        <v>287.85000000000002</v>
      </c>
      <c r="Q2063" s="116">
        <v>283.75</v>
      </c>
      <c r="R2063">
        <v>72052</v>
      </c>
    </row>
    <row r="2064" spans="1:18" x14ac:dyDescent="0.25">
      <c r="A2064" s="170">
        <v>45083</v>
      </c>
      <c r="B2064" s="116">
        <v>287.85000000000002</v>
      </c>
      <c r="C2064" s="116">
        <v>284.64999999999998</v>
      </c>
      <c r="D2064" s="116">
        <v>282.2</v>
      </c>
      <c r="E2064" s="116">
        <v>286.95</v>
      </c>
      <c r="F2064" s="116">
        <v>284.64999999999998</v>
      </c>
      <c r="G2064">
        <v>8906</v>
      </c>
      <c r="H2064" s="116"/>
      <c r="I2064" s="116"/>
      <c r="L2064" s="170">
        <v>45054</v>
      </c>
      <c r="M2064" s="116">
        <v>289.10000000000002</v>
      </c>
      <c r="N2064" s="116">
        <v>292</v>
      </c>
      <c r="O2064" s="116">
        <v>284.55</v>
      </c>
      <c r="P2064" s="116">
        <v>286.7</v>
      </c>
      <c r="Q2064" s="116">
        <v>289.10000000000002</v>
      </c>
      <c r="R2064">
        <v>132937</v>
      </c>
    </row>
    <row r="2065" spans="1:18" x14ac:dyDescent="0.25">
      <c r="A2065" s="170">
        <v>45084</v>
      </c>
      <c r="B2065" s="116">
        <v>279</v>
      </c>
      <c r="C2065" s="116">
        <v>275.5</v>
      </c>
      <c r="D2065" s="116">
        <v>273.7</v>
      </c>
      <c r="E2065" s="116">
        <v>279</v>
      </c>
      <c r="F2065" s="116">
        <v>275.5</v>
      </c>
      <c r="G2065">
        <v>14331</v>
      </c>
      <c r="H2065" s="116"/>
      <c r="I2065" s="116"/>
      <c r="L2065" s="170">
        <v>45055</v>
      </c>
      <c r="M2065" s="116">
        <v>288.3</v>
      </c>
      <c r="N2065" s="116">
        <v>293.25</v>
      </c>
      <c r="O2065" s="116">
        <v>287.39999999999998</v>
      </c>
      <c r="P2065" s="116">
        <v>290</v>
      </c>
      <c r="Q2065" s="116">
        <v>288.3</v>
      </c>
      <c r="R2065">
        <v>100743</v>
      </c>
    </row>
    <row r="2066" spans="1:18" x14ac:dyDescent="0.25">
      <c r="A2066" s="170">
        <v>45085</v>
      </c>
      <c r="B2066" s="116">
        <v>278.64999999999998</v>
      </c>
      <c r="C2066" s="116">
        <v>268.45</v>
      </c>
      <c r="D2066" s="116">
        <v>267.85000000000002</v>
      </c>
      <c r="E2066" s="116">
        <v>278.64999999999998</v>
      </c>
      <c r="F2066" s="116">
        <v>268.45</v>
      </c>
      <c r="G2066">
        <v>15312</v>
      </c>
      <c r="H2066" s="116"/>
      <c r="I2066" s="116"/>
      <c r="L2066" s="170">
        <v>45056</v>
      </c>
      <c r="M2066" s="116">
        <v>285.60000000000002</v>
      </c>
      <c r="N2066" s="116">
        <v>289.89999999999998</v>
      </c>
      <c r="O2066" s="116">
        <v>283.05</v>
      </c>
      <c r="P2066" s="116">
        <v>288.3</v>
      </c>
      <c r="Q2066" s="116">
        <v>285.60000000000002</v>
      </c>
      <c r="R2066">
        <v>43437</v>
      </c>
    </row>
    <row r="2067" spans="1:18" x14ac:dyDescent="0.25">
      <c r="A2067" s="170">
        <v>45086</v>
      </c>
      <c r="B2067" s="116">
        <v>276.75</v>
      </c>
      <c r="C2067" s="116">
        <v>267.55</v>
      </c>
      <c r="D2067" s="116">
        <v>265.45</v>
      </c>
      <c r="E2067" s="116">
        <v>266</v>
      </c>
      <c r="F2067" s="116">
        <v>267.55</v>
      </c>
      <c r="G2067">
        <v>5014</v>
      </c>
      <c r="H2067" s="116"/>
      <c r="I2067" s="116"/>
      <c r="L2067" s="170">
        <v>45057</v>
      </c>
      <c r="M2067" s="116">
        <v>285.10000000000002</v>
      </c>
      <c r="N2067" s="116">
        <v>291</v>
      </c>
      <c r="O2067" s="116">
        <v>283.75</v>
      </c>
      <c r="P2067" s="116">
        <v>287.10000000000002</v>
      </c>
      <c r="Q2067" s="116">
        <v>285.10000000000002</v>
      </c>
      <c r="R2067">
        <v>49017</v>
      </c>
    </row>
    <row r="2068" spans="1:18" x14ac:dyDescent="0.25">
      <c r="A2068" s="170">
        <v>45089</v>
      </c>
      <c r="B2068" s="116">
        <v>269.2</v>
      </c>
      <c r="C2068" s="116">
        <v>268.75</v>
      </c>
      <c r="D2068" s="116">
        <v>266</v>
      </c>
      <c r="E2068" s="116">
        <v>266</v>
      </c>
      <c r="F2068" s="116">
        <v>268.75</v>
      </c>
      <c r="G2068">
        <v>2870</v>
      </c>
      <c r="H2068" s="116"/>
      <c r="I2068" s="116"/>
      <c r="L2068" s="170">
        <v>45058</v>
      </c>
      <c r="M2068" s="116">
        <v>284.8</v>
      </c>
      <c r="N2068" s="116">
        <v>288.3</v>
      </c>
      <c r="O2068" s="116">
        <v>283.39999999999998</v>
      </c>
      <c r="P2068" s="116">
        <v>288</v>
      </c>
      <c r="Q2068" s="116">
        <v>284.8</v>
      </c>
      <c r="R2068">
        <v>30669</v>
      </c>
    </row>
    <row r="2069" spans="1:18" x14ac:dyDescent="0.25">
      <c r="A2069" s="170">
        <v>45090</v>
      </c>
      <c r="B2069" s="116">
        <v>273.7</v>
      </c>
      <c r="C2069" s="116">
        <v>272.10000000000002</v>
      </c>
      <c r="D2069" s="116">
        <v>267.05</v>
      </c>
      <c r="E2069" s="116">
        <v>267.8</v>
      </c>
      <c r="F2069" s="116">
        <v>272.10000000000002</v>
      </c>
      <c r="G2069">
        <v>7865</v>
      </c>
      <c r="H2069" s="116"/>
      <c r="I2069" s="116"/>
      <c r="L2069" s="170">
        <v>45061</v>
      </c>
      <c r="M2069" s="116">
        <v>285.60000000000002</v>
      </c>
      <c r="N2069" s="116">
        <v>288.45</v>
      </c>
      <c r="O2069" s="116">
        <v>283.5</v>
      </c>
      <c r="P2069" s="116">
        <v>287.7</v>
      </c>
      <c r="Q2069" s="116">
        <v>285.60000000000002</v>
      </c>
      <c r="R2069">
        <v>48239</v>
      </c>
    </row>
    <row r="2070" spans="1:18" x14ac:dyDescent="0.25">
      <c r="A2070" s="170">
        <v>45091</v>
      </c>
      <c r="B2070" s="116">
        <v>275.75</v>
      </c>
      <c r="C2070" s="116">
        <v>271.85000000000002</v>
      </c>
      <c r="D2070" s="116">
        <v>271.05</v>
      </c>
      <c r="E2070" s="116">
        <v>275.75</v>
      </c>
      <c r="F2070" s="116">
        <v>271.85000000000002</v>
      </c>
      <c r="G2070">
        <v>2261</v>
      </c>
      <c r="H2070" s="116"/>
      <c r="I2070" s="116"/>
      <c r="L2070" s="170">
        <v>45062</v>
      </c>
      <c r="M2070" s="116">
        <v>286</v>
      </c>
      <c r="N2070" s="116">
        <v>289</v>
      </c>
      <c r="O2070" s="116">
        <v>283.7</v>
      </c>
      <c r="P2070" s="116">
        <v>288.95</v>
      </c>
      <c r="Q2070" s="116">
        <v>286</v>
      </c>
      <c r="R2070">
        <v>35498</v>
      </c>
    </row>
    <row r="2071" spans="1:18" x14ac:dyDescent="0.25">
      <c r="A2071" s="170">
        <v>45092</v>
      </c>
      <c r="B2071" s="116">
        <v>283.5</v>
      </c>
      <c r="C2071" s="116">
        <v>283.05</v>
      </c>
      <c r="D2071" s="116">
        <v>270.5</v>
      </c>
      <c r="E2071" s="116">
        <v>272.95</v>
      </c>
      <c r="F2071" s="116">
        <v>283.05</v>
      </c>
      <c r="G2071">
        <v>9334</v>
      </c>
      <c r="H2071" s="116"/>
      <c r="I2071" s="116"/>
      <c r="L2071" s="170">
        <v>45063</v>
      </c>
      <c r="M2071" s="116">
        <v>283.64999999999998</v>
      </c>
      <c r="N2071" s="116">
        <v>288.39999999999998</v>
      </c>
      <c r="O2071" s="116">
        <v>282</v>
      </c>
      <c r="P2071" s="116">
        <v>288.39999999999998</v>
      </c>
      <c r="Q2071" s="116">
        <v>283.64999999999998</v>
      </c>
      <c r="R2071">
        <v>33010</v>
      </c>
    </row>
    <row r="2072" spans="1:18" x14ac:dyDescent="0.25">
      <c r="A2072" s="170">
        <v>45093</v>
      </c>
      <c r="B2072" s="116">
        <v>284.5</v>
      </c>
      <c r="C2072" s="116">
        <v>279.2</v>
      </c>
      <c r="D2072" s="116">
        <v>278.2</v>
      </c>
      <c r="E2072" s="116">
        <v>283.05</v>
      </c>
      <c r="F2072" s="116">
        <v>279.2</v>
      </c>
      <c r="G2072">
        <v>7697</v>
      </c>
      <c r="H2072" s="116"/>
      <c r="I2072" s="116"/>
      <c r="L2072" s="170">
        <v>45064</v>
      </c>
      <c r="M2072" s="116">
        <v>283.3</v>
      </c>
      <c r="N2072" s="116">
        <v>286.8</v>
      </c>
      <c r="O2072" s="116">
        <v>282.60000000000002</v>
      </c>
      <c r="P2072" s="116">
        <v>286.8</v>
      </c>
      <c r="Q2072" s="116">
        <v>283.3</v>
      </c>
      <c r="R2072">
        <v>22750</v>
      </c>
    </row>
    <row r="2073" spans="1:18" x14ac:dyDescent="0.25">
      <c r="A2073" s="170">
        <v>45096</v>
      </c>
      <c r="B2073" s="116">
        <v>282.2</v>
      </c>
      <c r="C2073" s="116">
        <v>278</v>
      </c>
      <c r="D2073" s="116">
        <v>275.7</v>
      </c>
      <c r="E2073" s="116">
        <v>279.85000000000002</v>
      </c>
      <c r="F2073" s="116">
        <v>278</v>
      </c>
      <c r="G2073">
        <v>3275</v>
      </c>
      <c r="H2073" s="116"/>
      <c r="I2073" s="116"/>
      <c r="L2073" s="170">
        <v>45065</v>
      </c>
      <c r="M2073" s="116">
        <v>274.2</v>
      </c>
      <c r="N2073" s="116">
        <v>284.25</v>
      </c>
      <c r="O2073" s="116">
        <v>272.55</v>
      </c>
      <c r="P2073" s="116">
        <v>282.85000000000002</v>
      </c>
      <c r="Q2073" s="116">
        <v>274.2</v>
      </c>
      <c r="R2073">
        <v>83220</v>
      </c>
    </row>
    <row r="2074" spans="1:18" x14ac:dyDescent="0.25">
      <c r="A2074" s="170">
        <v>45097</v>
      </c>
      <c r="B2074" s="116">
        <v>282.39999999999998</v>
      </c>
      <c r="C2074" s="116">
        <v>280.45</v>
      </c>
      <c r="D2074" s="116">
        <v>276.55</v>
      </c>
      <c r="E2074" s="116">
        <v>276.75</v>
      </c>
      <c r="F2074" s="116">
        <v>280.45</v>
      </c>
      <c r="G2074">
        <v>4413</v>
      </c>
      <c r="H2074" s="116"/>
      <c r="I2074" s="116"/>
      <c r="L2074" s="170">
        <v>45068</v>
      </c>
      <c r="M2074" s="116">
        <v>273.35000000000002</v>
      </c>
      <c r="N2074" s="116">
        <v>276.85000000000002</v>
      </c>
      <c r="O2074" s="116">
        <v>270.95</v>
      </c>
      <c r="P2074" s="116">
        <v>276.85000000000002</v>
      </c>
      <c r="Q2074" s="116">
        <v>273.35000000000002</v>
      </c>
      <c r="R2074">
        <v>68608</v>
      </c>
    </row>
    <row r="2075" spans="1:18" x14ac:dyDescent="0.25">
      <c r="A2075" s="170">
        <v>45098</v>
      </c>
      <c r="B2075" s="116">
        <v>282.85000000000002</v>
      </c>
      <c r="C2075" s="116">
        <v>281.3</v>
      </c>
      <c r="D2075" s="116">
        <v>277.75</v>
      </c>
      <c r="E2075" s="116">
        <v>280</v>
      </c>
      <c r="F2075" s="116">
        <v>281.3</v>
      </c>
      <c r="G2075">
        <v>3912</v>
      </c>
      <c r="H2075" s="116"/>
      <c r="I2075" s="116"/>
      <c r="L2075" s="170">
        <v>45069</v>
      </c>
      <c r="M2075" s="116">
        <v>271.55</v>
      </c>
      <c r="N2075" s="116">
        <v>276.45</v>
      </c>
      <c r="O2075" s="116">
        <v>270</v>
      </c>
      <c r="P2075" s="116">
        <v>274</v>
      </c>
      <c r="Q2075" s="116">
        <v>271.55</v>
      </c>
      <c r="R2075">
        <v>49512</v>
      </c>
    </row>
    <row r="2076" spans="1:18" x14ac:dyDescent="0.25">
      <c r="A2076" s="170">
        <v>45099</v>
      </c>
      <c r="B2076" s="116">
        <v>280.95</v>
      </c>
      <c r="C2076" s="116">
        <v>277.45</v>
      </c>
      <c r="D2076" s="116">
        <v>274.25</v>
      </c>
      <c r="E2076" s="116">
        <v>278.75</v>
      </c>
      <c r="F2076" s="116">
        <v>277.45</v>
      </c>
      <c r="G2076">
        <v>4744</v>
      </c>
      <c r="H2076" s="116"/>
      <c r="I2076" s="116"/>
      <c r="L2076" s="170">
        <v>45070</v>
      </c>
      <c r="M2076" s="116">
        <v>266.3</v>
      </c>
      <c r="N2076" s="116">
        <v>272.8</v>
      </c>
      <c r="O2076" s="116">
        <v>265</v>
      </c>
      <c r="P2076" s="116">
        <v>272.8</v>
      </c>
      <c r="Q2076" s="116">
        <v>266.3</v>
      </c>
      <c r="R2076">
        <v>72645</v>
      </c>
    </row>
    <row r="2077" spans="1:18" x14ac:dyDescent="0.25">
      <c r="A2077" s="170">
        <v>45100</v>
      </c>
      <c r="B2077" s="116">
        <v>277.3</v>
      </c>
      <c r="C2077" s="116">
        <v>272.39999999999998</v>
      </c>
      <c r="D2077" s="116">
        <v>272.05</v>
      </c>
      <c r="E2077" s="116">
        <v>277.3</v>
      </c>
      <c r="F2077" s="116">
        <v>272.39999999999998</v>
      </c>
      <c r="G2077">
        <v>1204</v>
      </c>
      <c r="H2077" s="116"/>
      <c r="I2077" s="116"/>
      <c r="L2077" s="170">
        <v>45071</v>
      </c>
      <c r="M2077" s="116">
        <v>267.10000000000002</v>
      </c>
      <c r="N2077" s="116">
        <v>269.95</v>
      </c>
      <c r="O2077" s="116">
        <v>264.35000000000002</v>
      </c>
      <c r="P2077" s="116">
        <v>268</v>
      </c>
      <c r="Q2077" s="116">
        <v>267.10000000000002</v>
      </c>
      <c r="R2077">
        <v>41042</v>
      </c>
    </row>
    <row r="2078" spans="1:18" x14ac:dyDescent="0.25">
      <c r="A2078" s="170">
        <v>45103</v>
      </c>
      <c r="B2078" s="116">
        <v>276.05</v>
      </c>
      <c r="C2078" s="116">
        <v>275.35000000000002</v>
      </c>
      <c r="D2078" s="116">
        <v>270.05</v>
      </c>
      <c r="E2078" s="116">
        <v>271.10000000000002</v>
      </c>
      <c r="F2078" s="116">
        <v>275.35000000000002</v>
      </c>
      <c r="G2078">
        <v>5879</v>
      </c>
      <c r="H2078" s="116"/>
      <c r="I2078" s="116"/>
      <c r="L2078" s="170">
        <v>45072</v>
      </c>
      <c r="M2078" s="116">
        <v>275.14999999999998</v>
      </c>
      <c r="N2078" s="116">
        <v>279.95</v>
      </c>
      <c r="O2078" s="116">
        <v>267.5</v>
      </c>
      <c r="P2078" s="116">
        <v>269</v>
      </c>
      <c r="Q2078" s="116">
        <v>275.14999999999998</v>
      </c>
      <c r="R2078">
        <v>114407</v>
      </c>
    </row>
    <row r="2079" spans="1:18" x14ac:dyDescent="0.25">
      <c r="A2079" s="170">
        <v>45104</v>
      </c>
      <c r="B2079" s="116">
        <v>278.39999999999998</v>
      </c>
      <c r="C2079" s="116">
        <v>274.55</v>
      </c>
      <c r="D2079" s="116">
        <v>273.10000000000002</v>
      </c>
      <c r="E2079" s="116">
        <v>276.75</v>
      </c>
      <c r="F2079" s="116">
        <v>274.55</v>
      </c>
      <c r="G2079">
        <v>1814</v>
      </c>
      <c r="H2079" s="116"/>
      <c r="I2079" s="116"/>
      <c r="L2079" s="170">
        <v>45075</v>
      </c>
      <c r="M2079" s="116">
        <v>280.55</v>
      </c>
      <c r="N2079" s="116">
        <v>282.14999999999998</v>
      </c>
      <c r="O2079" s="116">
        <v>272.35000000000002</v>
      </c>
      <c r="P2079" s="116">
        <v>276</v>
      </c>
      <c r="Q2079" s="116">
        <v>280.55</v>
      </c>
      <c r="R2079">
        <v>98868</v>
      </c>
    </row>
    <row r="2080" spans="1:18" x14ac:dyDescent="0.25">
      <c r="A2080" s="170">
        <v>45105</v>
      </c>
      <c r="B2080" s="116">
        <v>283.85000000000002</v>
      </c>
      <c r="C2080" s="116">
        <v>281.05</v>
      </c>
      <c r="D2080" s="116">
        <v>272.8</v>
      </c>
      <c r="E2080" s="116">
        <v>275.05</v>
      </c>
      <c r="F2080" s="116">
        <v>281.05</v>
      </c>
      <c r="G2080">
        <v>16524</v>
      </c>
      <c r="H2080" s="116"/>
      <c r="I2080" s="116"/>
      <c r="L2080" s="170">
        <v>45076</v>
      </c>
      <c r="M2080" s="116">
        <v>281.10000000000002</v>
      </c>
      <c r="N2080" s="116">
        <v>284.95</v>
      </c>
      <c r="O2080" s="116">
        <v>278</v>
      </c>
      <c r="P2080" s="116">
        <v>283</v>
      </c>
      <c r="Q2080" s="116">
        <v>281.10000000000002</v>
      </c>
      <c r="R2080">
        <v>57784</v>
      </c>
    </row>
    <row r="2081" spans="1:18" x14ac:dyDescent="0.25">
      <c r="A2081" s="170">
        <v>45107</v>
      </c>
      <c r="B2081" s="116">
        <v>283.60000000000002</v>
      </c>
      <c r="C2081" s="116">
        <v>281</v>
      </c>
      <c r="D2081" s="116">
        <v>277.55</v>
      </c>
      <c r="E2081" s="116">
        <v>281.95</v>
      </c>
      <c r="F2081" s="116">
        <v>281</v>
      </c>
      <c r="G2081">
        <v>3350</v>
      </c>
      <c r="H2081" s="116"/>
      <c r="I2081" s="116"/>
      <c r="L2081" s="170">
        <v>45077</v>
      </c>
      <c r="M2081" s="116">
        <v>280.60000000000002</v>
      </c>
      <c r="N2081" s="116">
        <v>288.8</v>
      </c>
      <c r="O2081" s="116">
        <v>278</v>
      </c>
      <c r="P2081" s="116">
        <v>280</v>
      </c>
      <c r="Q2081" s="116">
        <v>280.60000000000002</v>
      </c>
      <c r="R2081">
        <v>98761</v>
      </c>
    </row>
    <row r="2082" spans="1:18" x14ac:dyDescent="0.25">
      <c r="A2082" s="170">
        <v>45110</v>
      </c>
      <c r="B2082" s="116">
        <v>283.05</v>
      </c>
      <c r="C2082" s="116">
        <v>279.45</v>
      </c>
      <c r="D2082" s="116">
        <v>275.45</v>
      </c>
      <c r="E2082" s="116">
        <v>275.45</v>
      </c>
      <c r="F2082" s="116">
        <v>279.45</v>
      </c>
      <c r="G2082">
        <v>1303</v>
      </c>
      <c r="H2082" s="116"/>
      <c r="I2082" s="116"/>
      <c r="L2082" s="170">
        <v>45078</v>
      </c>
      <c r="M2082" s="116">
        <v>278.95</v>
      </c>
      <c r="N2082" s="116">
        <v>283.7</v>
      </c>
      <c r="O2082" s="116">
        <v>277.45</v>
      </c>
      <c r="P2082" s="116">
        <v>283.39999999999998</v>
      </c>
      <c r="Q2082" s="116">
        <v>278.95</v>
      </c>
      <c r="R2082">
        <v>57262</v>
      </c>
    </row>
    <row r="2083" spans="1:18" x14ac:dyDescent="0.25">
      <c r="A2083" s="170">
        <v>45111</v>
      </c>
      <c r="B2083" s="116">
        <v>300</v>
      </c>
      <c r="C2083" s="116">
        <v>288.8</v>
      </c>
      <c r="D2083" s="116">
        <v>279.8</v>
      </c>
      <c r="E2083" s="116">
        <v>279.85000000000002</v>
      </c>
      <c r="F2083" s="116">
        <v>288.8</v>
      </c>
      <c r="G2083">
        <v>44747</v>
      </c>
      <c r="H2083" s="116"/>
      <c r="I2083" s="116"/>
      <c r="L2083" s="170">
        <v>45079</v>
      </c>
      <c r="M2083" s="116">
        <v>280.7</v>
      </c>
      <c r="N2083" s="116">
        <v>283.2</v>
      </c>
      <c r="O2083" s="116">
        <v>278.8</v>
      </c>
      <c r="P2083" s="116">
        <v>281</v>
      </c>
      <c r="Q2083" s="116">
        <v>280.7</v>
      </c>
      <c r="R2083">
        <v>81480</v>
      </c>
    </row>
    <row r="2084" spans="1:18" x14ac:dyDescent="0.25">
      <c r="A2084" s="170">
        <v>45112</v>
      </c>
      <c r="B2084" s="116">
        <v>289.35000000000002</v>
      </c>
      <c r="C2084" s="116">
        <v>283.64999999999998</v>
      </c>
      <c r="D2084" s="116">
        <v>280.3</v>
      </c>
      <c r="E2084" s="116">
        <v>280.3</v>
      </c>
      <c r="F2084" s="116">
        <v>283.64999999999998</v>
      </c>
      <c r="G2084">
        <v>15407</v>
      </c>
      <c r="H2084" s="116"/>
      <c r="I2084" s="116"/>
      <c r="L2084" s="170">
        <v>45082</v>
      </c>
      <c r="M2084" s="116">
        <v>283.7</v>
      </c>
      <c r="N2084" s="116">
        <v>285.89999999999998</v>
      </c>
      <c r="O2084" s="116">
        <v>281.8</v>
      </c>
      <c r="P2084" s="116">
        <v>283.60000000000002</v>
      </c>
      <c r="Q2084" s="116">
        <v>283.7</v>
      </c>
      <c r="R2084">
        <v>130571</v>
      </c>
    </row>
    <row r="2085" spans="1:18" x14ac:dyDescent="0.25">
      <c r="A2085" s="170">
        <v>45113</v>
      </c>
      <c r="B2085" s="116">
        <v>288.45</v>
      </c>
      <c r="C2085" s="116">
        <v>279.85000000000002</v>
      </c>
      <c r="D2085" s="116">
        <v>278.05</v>
      </c>
      <c r="E2085" s="116">
        <v>288.45</v>
      </c>
      <c r="F2085" s="116">
        <v>279.85000000000002</v>
      </c>
      <c r="G2085">
        <v>9509</v>
      </c>
      <c r="H2085" s="116"/>
      <c r="I2085" s="116"/>
      <c r="L2085" s="170">
        <v>45083</v>
      </c>
      <c r="M2085" s="116">
        <v>283.3</v>
      </c>
      <c r="N2085" s="116">
        <v>286.60000000000002</v>
      </c>
      <c r="O2085" s="116">
        <v>282</v>
      </c>
      <c r="P2085" s="116">
        <v>286</v>
      </c>
      <c r="Q2085" s="116">
        <v>283.3</v>
      </c>
      <c r="R2085">
        <v>113406</v>
      </c>
    </row>
    <row r="2086" spans="1:18" x14ac:dyDescent="0.25">
      <c r="A2086" s="170">
        <v>45114</v>
      </c>
      <c r="B2086" s="116">
        <v>285.85000000000002</v>
      </c>
      <c r="C2086" s="116">
        <v>282.7</v>
      </c>
      <c r="D2086" s="116">
        <v>281.60000000000002</v>
      </c>
      <c r="E2086" s="116">
        <v>281.60000000000002</v>
      </c>
      <c r="F2086" s="116">
        <v>282.7</v>
      </c>
      <c r="G2086">
        <v>3348</v>
      </c>
      <c r="H2086" s="116"/>
      <c r="I2086" s="116"/>
      <c r="L2086" s="170">
        <v>45084</v>
      </c>
      <c r="M2086" s="116">
        <v>275.64999999999998</v>
      </c>
      <c r="N2086" s="116">
        <v>278.89999999999998</v>
      </c>
      <c r="O2086" s="116">
        <v>274.85000000000002</v>
      </c>
      <c r="P2086" s="116">
        <v>278.89999999999998</v>
      </c>
      <c r="Q2086" s="116">
        <v>275.64999999999998</v>
      </c>
      <c r="R2086">
        <v>109137</v>
      </c>
    </row>
    <row r="2087" spans="1:18" x14ac:dyDescent="0.25">
      <c r="A2087" s="170">
        <v>45117</v>
      </c>
      <c r="B2087" s="116">
        <v>287.95</v>
      </c>
      <c r="C2087" s="116">
        <v>286.2</v>
      </c>
      <c r="D2087" s="116">
        <v>282.35000000000002</v>
      </c>
      <c r="E2087" s="116">
        <v>287</v>
      </c>
      <c r="F2087" s="116">
        <v>286.2</v>
      </c>
      <c r="G2087">
        <v>2767</v>
      </c>
      <c r="H2087" s="116"/>
      <c r="I2087" s="116"/>
      <c r="L2087" s="170">
        <v>45085</v>
      </c>
      <c r="M2087" s="116">
        <v>268.7</v>
      </c>
      <c r="N2087" s="116">
        <v>278.85000000000002</v>
      </c>
      <c r="O2087" s="116">
        <v>267.10000000000002</v>
      </c>
      <c r="P2087" s="116">
        <v>278.85000000000002</v>
      </c>
      <c r="Q2087" s="116">
        <v>268.7</v>
      </c>
      <c r="R2087">
        <v>96884</v>
      </c>
    </row>
    <row r="2088" spans="1:18" x14ac:dyDescent="0.25">
      <c r="A2088" s="170">
        <v>45118</v>
      </c>
      <c r="B2088" s="116">
        <v>291.5</v>
      </c>
      <c r="C2088" s="116">
        <v>290.35000000000002</v>
      </c>
      <c r="D2088" s="116">
        <v>285.89999999999998</v>
      </c>
      <c r="E2088" s="116">
        <v>287</v>
      </c>
      <c r="F2088" s="116">
        <v>290.35000000000002</v>
      </c>
      <c r="G2088">
        <v>11684</v>
      </c>
      <c r="H2088" s="116"/>
      <c r="I2088" s="116"/>
      <c r="L2088" s="170">
        <v>45086</v>
      </c>
      <c r="M2088" s="116">
        <v>266.8</v>
      </c>
      <c r="N2088" s="116">
        <v>271.75</v>
      </c>
      <c r="O2088" s="116">
        <v>265.10000000000002</v>
      </c>
      <c r="P2088" s="116">
        <v>270</v>
      </c>
      <c r="Q2088" s="116">
        <v>266.8</v>
      </c>
      <c r="R2088">
        <v>66824</v>
      </c>
    </row>
    <row r="2089" spans="1:18" x14ac:dyDescent="0.25">
      <c r="A2089" s="170">
        <v>45119</v>
      </c>
      <c r="B2089" s="116">
        <v>298.75</v>
      </c>
      <c r="C2089" s="116">
        <v>293</v>
      </c>
      <c r="D2089" s="116">
        <v>291.05</v>
      </c>
      <c r="E2089" s="116">
        <v>292.89999999999998</v>
      </c>
      <c r="F2089" s="116">
        <v>293</v>
      </c>
      <c r="G2089">
        <v>8801</v>
      </c>
      <c r="H2089" s="116"/>
      <c r="I2089" s="116"/>
      <c r="L2089" s="170">
        <v>45089</v>
      </c>
      <c r="M2089" s="116">
        <v>268.45</v>
      </c>
      <c r="N2089" s="116">
        <v>268.89999999999998</v>
      </c>
      <c r="O2089" s="116">
        <v>266</v>
      </c>
      <c r="P2089" s="116">
        <v>267.8</v>
      </c>
      <c r="Q2089" s="116">
        <v>268.45</v>
      </c>
      <c r="R2089">
        <v>38893</v>
      </c>
    </row>
    <row r="2090" spans="1:18" x14ac:dyDescent="0.25">
      <c r="A2090" s="170">
        <v>45120</v>
      </c>
      <c r="B2090" s="116">
        <v>293.8</v>
      </c>
      <c r="C2090" s="116">
        <v>289.95</v>
      </c>
      <c r="D2090" s="116">
        <v>287.64999999999998</v>
      </c>
      <c r="E2090" s="116">
        <v>293.05</v>
      </c>
      <c r="F2090" s="116">
        <v>289.95</v>
      </c>
      <c r="G2090">
        <v>11101</v>
      </c>
      <c r="H2090" s="116"/>
      <c r="I2090" s="116"/>
      <c r="L2090" s="170">
        <v>45090</v>
      </c>
      <c r="M2090" s="116">
        <v>272.35000000000002</v>
      </c>
      <c r="N2090" s="116">
        <v>273.2</v>
      </c>
      <c r="O2090" s="116">
        <v>267.10000000000002</v>
      </c>
      <c r="P2090" s="116">
        <v>268.39999999999998</v>
      </c>
      <c r="Q2090" s="116">
        <v>272.35000000000002</v>
      </c>
      <c r="R2090">
        <v>52304</v>
      </c>
    </row>
    <row r="2091" spans="1:18" x14ac:dyDescent="0.25">
      <c r="A2091" s="170">
        <v>45121</v>
      </c>
      <c r="B2091" s="116">
        <v>290.8</v>
      </c>
      <c r="C2091" s="116">
        <v>286.85000000000002</v>
      </c>
      <c r="D2091" s="116">
        <v>283.3</v>
      </c>
      <c r="E2091" s="116">
        <v>289.75</v>
      </c>
      <c r="F2091" s="116">
        <v>286.85000000000002</v>
      </c>
      <c r="G2091">
        <v>6695</v>
      </c>
      <c r="H2091" s="116"/>
      <c r="I2091" s="116"/>
      <c r="L2091" s="170">
        <v>45091</v>
      </c>
      <c r="M2091" s="116">
        <v>271.95</v>
      </c>
      <c r="N2091" s="116">
        <v>274.64999999999998</v>
      </c>
      <c r="O2091" s="116">
        <v>271</v>
      </c>
      <c r="P2091" s="116">
        <v>272.35000000000002</v>
      </c>
      <c r="Q2091" s="116">
        <v>271.95</v>
      </c>
      <c r="R2091">
        <v>25510</v>
      </c>
    </row>
    <row r="2092" spans="1:18" x14ac:dyDescent="0.25">
      <c r="A2092" s="170">
        <v>45124</v>
      </c>
      <c r="B2092" s="116">
        <v>302.8</v>
      </c>
      <c r="C2092" s="116">
        <v>297.85000000000002</v>
      </c>
      <c r="D2092" s="116">
        <v>288.89999999999998</v>
      </c>
      <c r="E2092" s="116">
        <v>288.89999999999998</v>
      </c>
      <c r="F2092" s="116">
        <v>297.85000000000002</v>
      </c>
      <c r="G2092">
        <v>18362</v>
      </c>
      <c r="H2092" s="116"/>
      <c r="I2092" s="116"/>
      <c r="L2092" s="170">
        <v>45092</v>
      </c>
      <c r="M2092" s="116">
        <v>282.60000000000002</v>
      </c>
      <c r="N2092" s="116">
        <v>283.2</v>
      </c>
      <c r="O2092" s="116">
        <v>270.05</v>
      </c>
      <c r="P2092" s="116">
        <v>273.89999999999998</v>
      </c>
      <c r="Q2092" s="116">
        <v>282.60000000000002</v>
      </c>
      <c r="R2092">
        <v>135972</v>
      </c>
    </row>
    <row r="2093" spans="1:18" x14ac:dyDescent="0.25">
      <c r="A2093" s="170">
        <v>45125</v>
      </c>
      <c r="B2093" s="116">
        <v>309.89999999999998</v>
      </c>
      <c r="C2093" s="116">
        <v>290.5</v>
      </c>
      <c r="D2093" s="116">
        <v>285.05</v>
      </c>
      <c r="E2093" s="116">
        <v>309.89999999999998</v>
      </c>
      <c r="F2093" s="116">
        <v>290.5</v>
      </c>
      <c r="G2093">
        <v>14936</v>
      </c>
      <c r="H2093" s="116"/>
      <c r="I2093" s="116"/>
      <c r="L2093" s="170">
        <v>45093</v>
      </c>
      <c r="M2093" s="116">
        <v>279.3</v>
      </c>
      <c r="N2093" s="116">
        <v>284.60000000000002</v>
      </c>
      <c r="O2093" s="116">
        <v>278.3</v>
      </c>
      <c r="P2093" s="116">
        <v>283.39999999999998</v>
      </c>
      <c r="Q2093" s="116">
        <v>279.3</v>
      </c>
      <c r="R2093">
        <v>44377</v>
      </c>
    </row>
    <row r="2094" spans="1:18" x14ac:dyDescent="0.25">
      <c r="A2094" s="170">
        <v>45126</v>
      </c>
      <c r="B2094" s="116">
        <v>299.64999999999998</v>
      </c>
      <c r="C2094" s="116">
        <v>293.45</v>
      </c>
      <c r="D2094" s="116">
        <v>290.75</v>
      </c>
      <c r="E2094" s="116">
        <v>299.64999999999998</v>
      </c>
      <c r="F2094" s="116">
        <v>293.45</v>
      </c>
      <c r="G2094">
        <v>2960</v>
      </c>
      <c r="H2094" s="116"/>
      <c r="I2094" s="116"/>
      <c r="L2094" s="170">
        <v>45096</v>
      </c>
      <c r="M2094" s="116">
        <v>277.39999999999998</v>
      </c>
      <c r="N2094" s="116">
        <v>283</v>
      </c>
      <c r="O2094" s="116">
        <v>275.3</v>
      </c>
      <c r="P2094" s="116">
        <v>283</v>
      </c>
      <c r="Q2094" s="116">
        <v>277.39999999999998</v>
      </c>
      <c r="R2094">
        <v>47116</v>
      </c>
    </row>
    <row r="2095" spans="1:18" x14ac:dyDescent="0.25">
      <c r="A2095" s="170">
        <v>45127</v>
      </c>
      <c r="B2095" s="116">
        <v>297</v>
      </c>
      <c r="C2095" s="116">
        <v>292.14999999999998</v>
      </c>
      <c r="D2095" s="116">
        <v>289.95</v>
      </c>
      <c r="E2095" s="116">
        <v>294</v>
      </c>
      <c r="F2095" s="116">
        <v>292.14999999999998</v>
      </c>
      <c r="G2095">
        <v>8278</v>
      </c>
      <c r="H2095" s="116"/>
      <c r="I2095" s="116"/>
      <c r="L2095" s="170">
        <v>45097</v>
      </c>
      <c r="M2095" s="116">
        <v>281.39999999999998</v>
      </c>
      <c r="N2095" s="116">
        <v>283.85000000000002</v>
      </c>
      <c r="O2095" s="116">
        <v>276.45</v>
      </c>
      <c r="P2095" s="116">
        <v>279.85000000000002</v>
      </c>
      <c r="Q2095" s="116">
        <v>281.39999999999998</v>
      </c>
      <c r="R2095">
        <v>48022</v>
      </c>
    </row>
    <row r="2096" spans="1:18" x14ac:dyDescent="0.25">
      <c r="A2096" s="170">
        <v>45128</v>
      </c>
      <c r="B2096" s="116">
        <v>300.8</v>
      </c>
      <c r="C2096" s="116">
        <v>298</v>
      </c>
      <c r="D2096" s="116">
        <v>289.95</v>
      </c>
      <c r="E2096" s="116">
        <v>291.8</v>
      </c>
      <c r="F2096" s="116">
        <v>298</v>
      </c>
      <c r="G2096">
        <v>21489</v>
      </c>
      <c r="H2096" s="116"/>
      <c r="I2096" s="116"/>
      <c r="L2096" s="170">
        <v>45098</v>
      </c>
      <c r="M2096" s="116">
        <v>281.05</v>
      </c>
      <c r="N2096" s="116">
        <v>283</v>
      </c>
      <c r="O2096" s="116">
        <v>277.39999999999998</v>
      </c>
      <c r="P2096" s="116">
        <v>277.39999999999998</v>
      </c>
      <c r="Q2096" s="116">
        <v>281.05</v>
      </c>
      <c r="R2096">
        <v>68392</v>
      </c>
    </row>
    <row r="2097" spans="1:18" x14ac:dyDescent="0.25">
      <c r="A2097" s="170">
        <v>45131</v>
      </c>
      <c r="B2097" s="116">
        <v>289</v>
      </c>
      <c r="C2097" s="116">
        <v>272.8</v>
      </c>
      <c r="D2097" s="116">
        <v>271.05</v>
      </c>
      <c r="E2097" s="116">
        <v>288.2</v>
      </c>
      <c r="F2097" s="116">
        <v>272.8</v>
      </c>
      <c r="G2097">
        <v>74317</v>
      </c>
      <c r="H2097" s="116"/>
      <c r="I2097" s="116"/>
      <c r="L2097" s="170">
        <v>45099</v>
      </c>
      <c r="M2097" s="116">
        <v>277.5</v>
      </c>
      <c r="N2097" s="116">
        <v>281.14999999999998</v>
      </c>
      <c r="O2097" s="116">
        <v>274.3</v>
      </c>
      <c r="P2097" s="116">
        <v>281.05</v>
      </c>
      <c r="Q2097" s="116">
        <v>277.5</v>
      </c>
      <c r="R2097">
        <v>39388</v>
      </c>
    </row>
    <row r="2098" spans="1:18" x14ac:dyDescent="0.25">
      <c r="A2098" s="170">
        <v>45132</v>
      </c>
      <c r="B2098" s="116">
        <v>278.5</v>
      </c>
      <c r="C2098" s="116">
        <v>274.10000000000002</v>
      </c>
      <c r="D2098" s="116">
        <v>271.35000000000002</v>
      </c>
      <c r="E2098" s="116">
        <v>271.35000000000002</v>
      </c>
      <c r="F2098" s="116">
        <v>274.10000000000002</v>
      </c>
      <c r="G2098">
        <v>12872</v>
      </c>
      <c r="H2098" s="116"/>
      <c r="I2098" s="116"/>
      <c r="L2098" s="170">
        <v>45100</v>
      </c>
      <c r="M2098" s="116">
        <v>272.7</v>
      </c>
      <c r="N2098" s="116">
        <v>279.7</v>
      </c>
      <c r="O2098" s="116">
        <v>271.10000000000002</v>
      </c>
      <c r="P2098" s="116">
        <v>276.55</v>
      </c>
      <c r="Q2098" s="116">
        <v>272.7</v>
      </c>
      <c r="R2098">
        <v>25629</v>
      </c>
    </row>
    <row r="2099" spans="1:18" x14ac:dyDescent="0.25">
      <c r="A2099" s="170">
        <v>45133</v>
      </c>
      <c r="B2099" s="116">
        <v>277.89999999999998</v>
      </c>
      <c r="C2099" s="116">
        <v>272.7</v>
      </c>
      <c r="D2099" s="116">
        <v>272.10000000000002</v>
      </c>
      <c r="E2099" s="116">
        <v>277.89999999999998</v>
      </c>
      <c r="F2099" s="116">
        <v>272.7</v>
      </c>
      <c r="G2099">
        <v>6095</v>
      </c>
      <c r="H2099" s="116"/>
      <c r="I2099" s="116"/>
      <c r="L2099" s="170">
        <v>45103</v>
      </c>
      <c r="M2099" s="116">
        <v>275.39999999999998</v>
      </c>
      <c r="N2099" s="116">
        <v>276.89999999999998</v>
      </c>
      <c r="O2099" s="116">
        <v>270</v>
      </c>
      <c r="P2099" s="116">
        <v>270.2</v>
      </c>
      <c r="Q2099" s="116">
        <v>275.39999999999998</v>
      </c>
      <c r="R2099">
        <v>39147</v>
      </c>
    </row>
    <row r="2100" spans="1:18" x14ac:dyDescent="0.25">
      <c r="A2100" s="170">
        <v>45134</v>
      </c>
      <c r="B2100" s="116">
        <v>274.55</v>
      </c>
      <c r="C2100" s="116">
        <v>269.8</v>
      </c>
      <c r="D2100" s="116">
        <v>269.3</v>
      </c>
      <c r="E2100" s="116">
        <v>274.55</v>
      </c>
      <c r="F2100" s="116">
        <v>269.8</v>
      </c>
      <c r="G2100">
        <v>3707</v>
      </c>
      <c r="H2100" s="116"/>
      <c r="I2100" s="116"/>
      <c r="L2100" s="170">
        <v>45104</v>
      </c>
      <c r="M2100" s="116">
        <v>274.10000000000002</v>
      </c>
      <c r="N2100" s="116">
        <v>278.14999999999998</v>
      </c>
      <c r="O2100" s="116">
        <v>272.5</v>
      </c>
      <c r="P2100" s="116">
        <v>275</v>
      </c>
      <c r="Q2100" s="116">
        <v>274.10000000000002</v>
      </c>
      <c r="R2100">
        <v>45020</v>
      </c>
    </row>
    <row r="2101" spans="1:18" x14ac:dyDescent="0.25">
      <c r="A2101" s="170">
        <v>45135</v>
      </c>
      <c r="B2101" s="116">
        <v>274.75</v>
      </c>
      <c r="C2101" s="116">
        <v>273.5</v>
      </c>
      <c r="D2101" s="116">
        <v>265</v>
      </c>
      <c r="E2101" s="116">
        <v>269.39999999999998</v>
      </c>
      <c r="F2101" s="116">
        <v>273.5</v>
      </c>
      <c r="G2101">
        <v>12218</v>
      </c>
      <c r="H2101" s="116"/>
      <c r="I2101" s="116"/>
      <c r="L2101" s="170">
        <v>45105</v>
      </c>
      <c r="M2101" s="116">
        <v>281.85000000000002</v>
      </c>
      <c r="N2101" s="116">
        <v>283.95</v>
      </c>
      <c r="O2101" s="116">
        <v>272.7</v>
      </c>
      <c r="P2101" s="116">
        <v>276.7</v>
      </c>
      <c r="Q2101" s="116">
        <v>281.85000000000002</v>
      </c>
      <c r="R2101">
        <v>69736</v>
      </c>
    </row>
    <row r="2102" spans="1:18" x14ac:dyDescent="0.25">
      <c r="A2102" s="170">
        <v>45138</v>
      </c>
      <c r="B2102" s="116">
        <v>278.10000000000002</v>
      </c>
      <c r="C2102" s="116">
        <v>276.55</v>
      </c>
      <c r="D2102" s="116">
        <v>273.05</v>
      </c>
      <c r="E2102" s="116">
        <v>273.05</v>
      </c>
      <c r="F2102" s="116">
        <v>276.55</v>
      </c>
      <c r="G2102">
        <v>6442</v>
      </c>
      <c r="H2102" s="116"/>
      <c r="I2102" s="116"/>
      <c r="L2102" s="170">
        <v>45107</v>
      </c>
      <c r="M2102" s="116">
        <v>281.10000000000002</v>
      </c>
      <c r="N2102" s="116">
        <v>283.45</v>
      </c>
      <c r="O2102" s="116">
        <v>276.10000000000002</v>
      </c>
      <c r="P2102" s="116">
        <v>281</v>
      </c>
      <c r="Q2102" s="116">
        <v>281.10000000000002</v>
      </c>
      <c r="R2102">
        <v>55836</v>
      </c>
    </row>
    <row r="2103" spans="1:18" x14ac:dyDescent="0.25">
      <c r="A2103" s="170">
        <v>45139</v>
      </c>
      <c r="B2103" s="116">
        <v>281.85000000000002</v>
      </c>
      <c r="C2103" s="116">
        <v>269.60000000000002</v>
      </c>
      <c r="D2103" s="116">
        <v>268.8</v>
      </c>
      <c r="E2103" s="116">
        <v>278.75</v>
      </c>
      <c r="F2103" s="116">
        <v>269.60000000000002</v>
      </c>
      <c r="G2103">
        <v>18970</v>
      </c>
      <c r="H2103" s="116"/>
      <c r="I2103" s="116"/>
      <c r="L2103" s="170">
        <v>45110</v>
      </c>
      <c r="M2103" s="116">
        <v>278.64999999999998</v>
      </c>
      <c r="N2103" s="116">
        <v>283</v>
      </c>
      <c r="O2103" s="116">
        <v>278</v>
      </c>
      <c r="P2103" s="116">
        <v>279</v>
      </c>
      <c r="Q2103" s="116">
        <v>278.64999999999998</v>
      </c>
      <c r="R2103">
        <v>49472</v>
      </c>
    </row>
    <row r="2104" spans="1:18" x14ac:dyDescent="0.25">
      <c r="A2104" s="170">
        <v>45140</v>
      </c>
      <c r="B2104" s="116">
        <v>272.5</v>
      </c>
      <c r="C2104" s="116">
        <v>270.39999999999998</v>
      </c>
      <c r="D2104" s="116">
        <v>267.3</v>
      </c>
      <c r="E2104" s="116">
        <v>269.60000000000002</v>
      </c>
      <c r="F2104" s="116">
        <v>270.39999999999998</v>
      </c>
      <c r="G2104">
        <v>9063</v>
      </c>
      <c r="H2104" s="116"/>
      <c r="I2104" s="116"/>
      <c r="L2104" s="170">
        <v>45111</v>
      </c>
      <c r="M2104" s="116">
        <v>288</v>
      </c>
      <c r="N2104" s="116">
        <v>299.89999999999998</v>
      </c>
      <c r="O2104" s="116">
        <v>279.60000000000002</v>
      </c>
      <c r="P2104" s="116">
        <v>280.5</v>
      </c>
      <c r="Q2104" s="116">
        <v>288</v>
      </c>
      <c r="R2104">
        <v>739812</v>
      </c>
    </row>
    <row r="2105" spans="1:18" x14ac:dyDescent="0.25">
      <c r="A2105" s="170">
        <v>45141</v>
      </c>
      <c r="B2105" s="116">
        <v>271</v>
      </c>
      <c r="C2105" s="116">
        <v>268.45</v>
      </c>
      <c r="D2105" s="116">
        <v>266.5</v>
      </c>
      <c r="E2105" s="116">
        <v>271</v>
      </c>
      <c r="F2105" s="116">
        <v>268.45</v>
      </c>
      <c r="G2105">
        <v>8407</v>
      </c>
      <c r="H2105" s="116"/>
      <c r="I2105" s="116"/>
      <c r="L2105" s="170">
        <v>45112</v>
      </c>
      <c r="M2105" s="116">
        <v>283.05</v>
      </c>
      <c r="N2105" s="116">
        <v>289.45</v>
      </c>
      <c r="O2105" s="116">
        <v>282</v>
      </c>
      <c r="P2105" s="116">
        <v>289</v>
      </c>
      <c r="Q2105" s="116">
        <v>283.05</v>
      </c>
      <c r="R2105">
        <v>94520</v>
      </c>
    </row>
    <row r="2106" spans="1:18" x14ac:dyDescent="0.25">
      <c r="A2106" s="170">
        <v>45142</v>
      </c>
      <c r="B2106" s="116">
        <v>274.95</v>
      </c>
      <c r="C2106" s="116">
        <v>258.89999999999998</v>
      </c>
      <c r="D2106" s="116">
        <v>255.1</v>
      </c>
      <c r="E2106" s="116">
        <v>269</v>
      </c>
      <c r="F2106" s="116">
        <v>258.89999999999998</v>
      </c>
      <c r="G2106">
        <v>11188</v>
      </c>
      <c r="H2106" s="116"/>
      <c r="I2106" s="116"/>
      <c r="L2106" s="170">
        <v>45113</v>
      </c>
      <c r="M2106" s="116">
        <v>280.14999999999998</v>
      </c>
      <c r="N2106" s="116">
        <v>284.14999999999998</v>
      </c>
      <c r="O2106" s="116">
        <v>278.25</v>
      </c>
      <c r="P2106" s="116">
        <v>283.89999999999998</v>
      </c>
      <c r="Q2106" s="116">
        <v>280.14999999999998</v>
      </c>
      <c r="R2106">
        <v>75747</v>
      </c>
    </row>
    <row r="2107" spans="1:18" x14ac:dyDescent="0.25">
      <c r="A2107" s="170">
        <v>45145</v>
      </c>
      <c r="B2107" s="116">
        <v>268.85000000000002</v>
      </c>
      <c r="C2107" s="116">
        <v>267.45</v>
      </c>
      <c r="D2107" s="116">
        <v>257</v>
      </c>
      <c r="E2107" s="116">
        <v>264.10000000000002</v>
      </c>
      <c r="F2107" s="116">
        <v>267.45</v>
      </c>
      <c r="G2107">
        <v>16089</v>
      </c>
      <c r="H2107" s="116"/>
      <c r="I2107" s="116"/>
      <c r="L2107" s="170">
        <v>45114</v>
      </c>
      <c r="M2107" s="116">
        <v>283.10000000000002</v>
      </c>
      <c r="N2107" s="116">
        <v>286.14999999999998</v>
      </c>
      <c r="O2107" s="116">
        <v>281.2</v>
      </c>
      <c r="P2107" s="116">
        <v>281.7</v>
      </c>
      <c r="Q2107" s="116">
        <v>283.10000000000002</v>
      </c>
      <c r="R2107">
        <v>73395</v>
      </c>
    </row>
    <row r="2108" spans="1:18" x14ac:dyDescent="0.25">
      <c r="A2108" s="170">
        <v>45146</v>
      </c>
      <c r="B2108" s="116">
        <v>269.95</v>
      </c>
      <c r="C2108" s="116">
        <v>269.5</v>
      </c>
      <c r="D2108" s="116">
        <v>267.45</v>
      </c>
      <c r="E2108" s="116">
        <v>268</v>
      </c>
      <c r="F2108" s="116">
        <v>269.5</v>
      </c>
      <c r="G2108">
        <v>2717</v>
      </c>
      <c r="H2108" s="116"/>
      <c r="I2108" s="116"/>
      <c r="L2108" s="170">
        <v>45117</v>
      </c>
      <c r="M2108" s="116">
        <v>285.8</v>
      </c>
      <c r="N2108" s="116">
        <v>287.95</v>
      </c>
      <c r="O2108" s="116">
        <v>282.89999999999998</v>
      </c>
      <c r="P2108" s="116">
        <v>283.60000000000002</v>
      </c>
      <c r="Q2108" s="116">
        <v>285.8</v>
      </c>
      <c r="R2108">
        <v>76492</v>
      </c>
    </row>
    <row r="2109" spans="1:18" x14ac:dyDescent="0.25">
      <c r="A2109" s="170">
        <v>45147</v>
      </c>
      <c r="B2109" s="116">
        <v>269.95</v>
      </c>
      <c r="C2109" s="116">
        <v>265.2</v>
      </c>
      <c r="D2109" s="116">
        <v>263.64999999999998</v>
      </c>
      <c r="E2109" s="116">
        <v>269</v>
      </c>
      <c r="F2109" s="116">
        <v>265.2</v>
      </c>
      <c r="G2109">
        <v>3653</v>
      </c>
      <c r="H2109" s="116"/>
      <c r="I2109" s="116"/>
      <c r="L2109" s="170">
        <v>45118</v>
      </c>
      <c r="M2109" s="116">
        <v>290.60000000000002</v>
      </c>
      <c r="N2109" s="116">
        <v>292</v>
      </c>
      <c r="O2109" s="116">
        <v>286</v>
      </c>
      <c r="P2109" s="116">
        <v>288</v>
      </c>
      <c r="Q2109" s="116">
        <v>290.60000000000002</v>
      </c>
      <c r="R2109">
        <v>93900</v>
      </c>
    </row>
    <row r="2110" spans="1:18" x14ac:dyDescent="0.25">
      <c r="A2110" s="170">
        <v>45148</v>
      </c>
      <c r="B2110" s="116">
        <v>271.05</v>
      </c>
      <c r="C2110" s="116">
        <v>265.39999999999998</v>
      </c>
      <c r="D2110" s="116">
        <v>262.60000000000002</v>
      </c>
      <c r="E2110" s="116">
        <v>271.05</v>
      </c>
      <c r="F2110" s="116">
        <v>265.39999999999998</v>
      </c>
      <c r="G2110">
        <v>9197</v>
      </c>
      <c r="H2110" s="116"/>
      <c r="I2110" s="116"/>
      <c r="L2110" s="170">
        <v>45119</v>
      </c>
      <c r="M2110" s="116">
        <v>292.7</v>
      </c>
      <c r="N2110" s="116">
        <v>299.5</v>
      </c>
      <c r="O2110" s="116">
        <v>290.60000000000002</v>
      </c>
      <c r="P2110" s="116">
        <v>293</v>
      </c>
      <c r="Q2110" s="116">
        <v>292.7</v>
      </c>
      <c r="R2110">
        <v>161321</v>
      </c>
    </row>
    <row r="2111" spans="1:18" x14ac:dyDescent="0.25">
      <c r="A2111" s="170">
        <v>45149</v>
      </c>
      <c r="B2111" s="116">
        <v>269.8</v>
      </c>
      <c r="C2111" s="116">
        <v>268.05</v>
      </c>
      <c r="D2111" s="116">
        <v>261</v>
      </c>
      <c r="E2111" s="116">
        <v>261</v>
      </c>
      <c r="F2111" s="116">
        <v>268.05</v>
      </c>
      <c r="G2111">
        <v>7851</v>
      </c>
      <c r="H2111" s="116"/>
      <c r="I2111" s="116"/>
      <c r="L2111" s="170">
        <v>45120</v>
      </c>
      <c r="M2111" s="116">
        <v>289.39999999999998</v>
      </c>
      <c r="N2111" s="116">
        <v>294.95</v>
      </c>
      <c r="O2111" s="116">
        <v>288</v>
      </c>
      <c r="P2111" s="116">
        <v>293.5</v>
      </c>
      <c r="Q2111" s="116">
        <v>289.39999999999998</v>
      </c>
      <c r="R2111">
        <v>68662</v>
      </c>
    </row>
    <row r="2112" spans="1:18" x14ac:dyDescent="0.25">
      <c r="A2112" s="170">
        <v>45152</v>
      </c>
      <c r="B2112" s="116">
        <v>267.95</v>
      </c>
      <c r="C2112" s="116">
        <v>264.45</v>
      </c>
      <c r="D2112" s="116">
        <v>262.2</v>
      </c>
      <c r="E2112" s="116">
        <v>267.95</v>
      </c>
      <c r="F2112" s="116">
        <v>264.45</v>
      </c>
      <c r="G2112">
        <v>3231</v>
      </c>
      <c r="H2112" s="116"/>
      <c r="I2112" s="116"/>
      <c r="L2112" s="170">
        <v>45121</v>
      </c>
      <c r="M2112" s="116">
        <v>287</v>
      </c>
      <c r="N2112" s="116">
        <v>292.3</v>
      </c>
      <c r="O2112" s="116">
        <v>283</v>
      </c>
      <c r="P2112" s="116">
        <v>292.3</v>
      </c>
      <c r="Q2112" s="116">
        <v>287</v>
      </c>
      <c r="R2112">
        <v>52528</v>
      </c>
    </row>
    <row r="2113" spans="1:18" x14ac:dyDescent="0.25">
      <c r="A2113" s="170">
        <v>45154</v>
      </c>
      <c r="B2113" s="116">
        <v>282.25</v>
      </c>
      <c r="C2113" s="116">
        <v>280.45</v>
      </c>
      <c r="D2113" s="116">
        <v>262.75</v>
      </c>
      <c r="E2113" s="116">
        <v>264</v>
      </c>
      <c r="F2113" s="116">
        <v>280.45</v>
      </c>
      <c r="G2113">
        <v>10365</v>
      </c>
      <c r="H2113" s="116"/>
      <c r="I2113" s="116"/>
      <c r="L2113" s="170">
        <v>45124</v>
      </c>
      <c r="M2113" s="116">
        <v>297.05</v>
      </c>
      <c r="N2113" s="116">
        <v>303</v>
      </c>
      <c r="O2113" s="116">
        <v>289</v>
      </c>
      <c r="P2113" s="116">
        <v>289.89999999999998</v>
      </c>
      <c r="Q2113" s="116">
        <v>297.05</v>
      </c>
      <c r="R2113">
        <v>274298</v>
      </c>
    </row>
    <row r="2114" spans="1:18" x14ac:dyDescent="0.25">
      <c r="A2114" s="170">
        <v>45155</v>
      </c>
      <c r="B2114" s="116">
        <v>293.95</v>
      </c>
      <c r="C2114" s="116">
        <v>288.45</v>
      </c>
      <c r="D2114" s="116">
        <v>285.3</v>
      </c>
      <c r="E2114" s="116">
        <v>290</v>
      </c>
      <c r="F2114" s="116">
        <v>288.45</v>
      </c>
      <c r="G2114">
        <v>19257</v>
      </c>
      <c r="H2114" s="116"/>
      <c r="I2114" s="116"/>
      <c r="L2114" s="170">
        <v>45125</v>
      </c>
      <c r="M2114" s="116">
        <v>291.14999999999998</v>
      </c>
      <c r="N2114" s="116">
        <v>300.64999999999998</v>
      </c>
      <c r="O2114" s="116">
        <v>286.55</v>
      </c>
      <c r="P2114" s="116">
        <v>298</v>
      </c>
      <c r="Q2114" s="116">
        <v>291.14999999999998</v>
      </c>
      <c r="R2114">
        <v>96189</v>
      </c>
    </row>
    <row r="2115" spans="1:18" x14ac:dyDescent="0.25">
      <c r="A2115" s="170">
        <v>45156</v>
      </c>
      <c r="B2115" s="116">
        <v>293.95</v>
      </c>
      <c r="C2115" s="116">
        <v>282.39999999999998</v>
      </c>
      <c r="D2115" s="116">
        <v>280.14999999999998</v>
      </c>
      <c r="E2115" s="116">
        <v>293.95</v>
      </c>
      <c r="F2115" s="116">
        <v>282.39999999999998</v>
      </c>
      <c r="G2115">
        <v>18117</v>
      </c>
      <c r="H2115" s="116"/>
      <c r="I2115" s="116"/>
      <c r="L2115" s="170">
        <v>45126</v>
      </c>
      <c r="M2115" s="116">
        <v>293.2</v>
      </c>
      <c r="N2115" s="116">
        <v>294.45</v>
      </c>
      <c r="O2115" s="116">
        <v>290.64999999999998</v>
      </c>
      <c r="P2115" s="116">
        <v>294.45</v>
      </c>
      <c r="Q2115" s="116">
        <v>293.2</v>
      </c>
      <c r="R2115">
        <v>39851</v>
      </c>
    </row>
    <row r="2116" spans="1:18" x14ac:dyDescent="0.25">
      <c r="A2116" s="170">
        <v>45159</v>
      </c>
      <c r="B2116" s="116">
        <v>293</v>
      </c>
      <c r="C2116" s="116">
        <v>289.8</v>
      </c>
      <c r="D2116" s="116">
        <v>276.75</v>
      </c>
      <c r="E2116" s="116">
        <v>276.75</v>
      </c>
      <c r="F2116" s="116">
        <v>289.8</v>
      </c>
      <c r="G2116">
        <v>11211</v>
      </c>
      <c r="H2116" s="116"/>
      <c r="I2116" s="116"/>
      <c r="L2116" s="170">
        <v>45127</v>
      </c>
      <c r="M2116" s="116">
        <v>292.05</v>
      </c>
      <c r="N2116" s="116">
        <v>297.2</v>
      </c>
      <c r="O2116" s="116">
        <v>289.85000000000002</v>
      </c>
      <c r="P2116" s="116">
        <v>293.2</v>
      </c>
      <c r="Q2116" s="116">
        <v>292.05</v>
      </c>
      <c r="R2116">
        <v>52272</v>
      </c>
    </row>
    <row r="2117" spans="1:18" x14ac:dyDescent="0.25">
      <c r="A2117" s="170">
        <v>45160</v>
      </c>
      <c r="B2117" s="116">
        <v>293.95</v>
      </c>
      <c r="C2117" s="116">
        <v>288.5</v>
      </c>
      <c r="D2117" s="116">
        <v>286.45</v>
      </c>
      <c r="E2117" s="116">
        <v>293.95</v>
      </c>
      <c r="F2117" s="116">
        <v>288.5</v>
      </c>
      <c r="G2117">
        <v>5346</v>
      </c>
      <c r="H2117" s="116"/>
      <c r="I2117" s="116"/>
      <c r="L2117" s="170">
        <v>45128</v>
      </c>
      <c r="M2117" s="116">
        <v>297.95</v>
      </c>
      <c r="N2117" s="116">
        <v>300.75</v>
      </c>
      <c r="O2117" s="116">
        <v>290.05</v>
      </c>
      <c r="P2117" s="116">
        <v>292</v>
      </c>
      <c r="Q2117" s="116">
        <v>297.95</v>
      </c>
      <c r="R2117">
        <v>156517</v>
      </c>
    </row>
    <row r="2118" spans="1:18" x14ac:dyDescent="0.25">
      <c r="A2118" s="170">
        <v>45161</v>
      </c>
      <c r="B2118" s="116">
        <v>314.55</v>
      </c>
      <c r="C2118" s="116">
        <v>306.60000000000002</v>
      </c>
      <c r="D2118" s="116">
        <v>280.75</v>
      </c>
      <c r="E2118" s="116">
        <v>280.75</v>
      </c>
      <c r="F2118" s="116">
        <v>306.60000000000002</v>
      </c>
      <c r="G2118">
        <v>84944</v>
      </c>
      <c r="H2118" s="116"/>
      <c r="I2118" s="116"/>
      <c r="L2118" s="170">
        <v>45131</v>
      </c>
      <c r="M2118" s="116">
        <v>272.7</v>
      </c>
      <c r="N2118" s="116">
        <v>289</v>
      </c>
      <c r="O2118" s="116">
        <v>270.85000000000002</v>
      </c>
      <c r="P2118" s="116">
        <v>289</v>
      </c>
      <c r="Q2118" s="116">
        <v>272.7</v>
      </c>
      <c r="R2118">
        <v>398474</v>
      </c>
    </row>
    <row r="2119" spans="1:18" x14ac:dyDescent="0.25">
      <c r="A2119" s="170">
        <v>45162</v>
      </c>
      <c r="B2119" s="116">
        <v>315.89999999999998</v>
      </c>
      <c r="C2119" s="116">
        <v>314</v>
      </c>
      <c r="D2119" s="116">
        <v>309</v>
      </c>
      <c r="E2119" s="116">
        <v>313.95</v>
      </c>
      <c r="F2119" s="116">
        <v>314</v>
      </c>
      <c r="G2119">
        <v>54519</v>
      </c>
      <c r="H2119" s="116"/>
      <c r="I2119" s="116"/>
      <c r="L2119" s="170">
        <v>45132</v>
      </c>
      <c r="M2119" s="116">
        <v>274.89999999999998</v>
      </c>
      <c r="N2119" s="116">
        <v>278.8</v>
      </c>
      <c r="O2119" s="116">
        <v>272.95</v>
      </c>
      <c r="P2119" s="116">
        <v>272.95</v>
      </c>
      <c r="Q2119" s="116">
        <v>274.89999999999998</v>
      </c>
      <c r="R2119">
        <v>110390</v>
      </c>
    </row>
    <row r="2120" spans="1:18" x14ac:dyDescent="0.25">
      <c r="A2120" s="170">
        <v>45163</v>
      </c>
      <c r="B2120" s="116">
        <v>317.89999999999998</v>
      </c>
      <c r="C2120" s="116">
        <v>308.7</v>
      </c>
      <c r="D2120" s="116">
        <v>302.7</v>
      </c>
      <c r="E2120" s="116">
        <v>313.10000000000002</v>
      </c>
      <c r="F2120" s="116">
        <v>308.7</v>
      </c>
      <c r="G2120">
        <v>35205</v>
      </c>
      <c r="H2120" s="116"/>
      <c r="I2120" s="116"/>
      <c r="L2120" s="170">
        <v>45133</v>
      </c>
      <c r="M2120" s="116">
        <v>273.2</v>
      </c>
      <c r="N2120" s="116">
        <v>276.89999999999998</v>
      </c>
      <c r="O2120" s="116">
        <v>272.10000000000002</v>
      </c>
      <c r="P2120" s="116">
        <v>276.39999999999998</v>
      </c>
      <c r="Q2120" s="116">
        <v>273.2</v>
      </c>
      <c r="R2120">
        <v>76943</v>
      </c>
    </row>
    <row r="2121" spans="1:18" x14ac:dyDescent="0.25">
      <c r="A2121" s="170">
        <v>45166</v>
      </c>
      <c r="B2121" s="116">
        <v>316.3</v>
      </c>
      <c r="C2121" s="116">
        <v>311.64999999999998</v>
      </c>
      <c r="D2121" s="116">
        <v>306</v>
      </c>
      <c r="E2121" s="116">
        <v>309.05</v>
      </c>
      <c r="F2121" s="116">
        <v>311.64999999999998</v>
      </c>
      <c r="G2121">
        <v>17765</v>
      </c>
      <c r="H2121" s="116"/>
      <c r="I2121" s="116"/>
      <c r="L2121" s="170">
        <v>45134</v>
      </c>
      <c r="M2121" s="116">
        <v>269.64999999999998</v>
      </c>
      <c r="N2121" s="116">
        <v>275.89999999999998</v>
      </c>
      <c r="O2121" s="116">
        <v>269</v>
      </c>
      <c r="P2121" s="116">
        <v>273.2</v>
      </c>
      <c r="Q2121" s="116">
        <v>269.64999999999998</v>
      </c>
      <c r="R2121">
        <v>61755</v>
      </c>
    </row>
    <row r="2122" spans="1:18" x14ac:dyDescent="0.25">
      <c r="A2122" s="170">
        <v>45167</v>
      </c>
      <c r="B2122" s="116">
        <v>321.2</v>
      </c>
      <c r="C2122" s="116">
        <v>309.5</v>
      </c>
      <c r="D2122" s="116">
        <v>307.8</v>
      </c>
      <c r="E2122" s="116">
        <v>308</v>
      </c>
      <c r="F2122" s="116">
        <v>309.5</v>
      </c>
      <c r="G2122">
        <v>28645</v>
      </c>
      <c r="H2122" s="116"/>
      <c r="I2122" s="116"/>
      <c r="L2122" s="170">
        <v>45135</v>
      </c>
      <c r="M2122" s="116">
        <v>273.89999999999998</v>
      </c>
      <c r="N2122" s="116">
        <v>274.75</v>
      </c>
      <c r="O2122" s="116">
        <v>265.45</v>
      </c>
      <c r="P2122" s="116">
        <v>270</v>
      </c>
      <c r="Q2122" s="116">
        <v>273.89999999999998</v>
      </c>
      <c r="R2122">
        <v>112768</v>
      </c>
    </row>
    <row r="2123" spans="1:18" x14ac:dyDescent="0.25">
      <c r="A2123" s="170">
        <v>45168</v>
      </c>
      <c r="B2123" s="116">
        <v>318</v>
      </c>
      <c r="C2123" s="116">
        <v>314.85000000000002</v>
      </c>
      <c r="D2123" s="116">
        <v>309.5</v>
      </c>
      <c r="E2123" s="116">
        <v>312.89999999999998</v>
      </c>
      <c r="F2123" s="116">
        <v>314.85000000000002</v>
      </c>
      <c r="G2123">
        <v>22446</v>
      </c>
      <c r="H2123" s="116"/>
      <c r="I2123" s="116"/>
      <c r="L2123" s="170">
        <v>45138</v>
      </c>
      <c r="M2123" s="116">
        <v>276.60000000000002</v>
      </c>
      <c r="N2123" s="116">
        <v>277.7</v>
      </c>
      <c r="O2123" s="116">
        <v>274.05</v>
      </c>
      <c r="P2123" s="116">
        <v>276.85000000000002</v>
      </c>
      <c r="Q2123" s="116">
        <v>276.60000000000002</v>
      </c>
      <c r="R2123">
        <v>80347</v>
      </c>
    </row>
    <row r="2124" spans="1:18" x14ac:dyDescent="0.25">
      <c r="A2124" s="170">
        <v>45169</v>
      </c>
      <c r="B2124" s="116">
        <v>318.2</v>
      </c>
      <c r="C2124" s="116">
        <v>312.05</v>
      </c>
      <c r="D2124" s="116">
        <v>310.39999999999998</v>
      </c>
      <c r="E2124" s="116">
        <v>318.2</v>
      </c>
      <c r="F2124" s="116">
        <v>312.05</v>
      </c>
      <c r="G2124">
        <v>4748</v>
      </c>
      <c r="H2124" s="116"/>
      <c r="I2124" s="116"/>
      <c r="L2124" s="170">
        <v>45139</v>
      </c>
      <c r="M2124" s="116">
        <v>269.64999999999998</v>
      </c>
      <c r="N2124" s="116">
        <v>281.95</v>
      </c>
      <c r="O2124" s="116">
        <v>269</v>
      </c>
      <c r="P2124" s="116">
        <v>275</v>
      </c>
      <c r="Q2124" s="116">
        <v>269.64999999999998</v>
      </c>
      <c r="R2124">
        <v>293801</v>
      </c>
    </row>
    <row r="2125" spans="1:18" x14ac:dyDescent="0.25">
      <c r="A2125" s="170">
        <v>45170</v>
      </c>
      <c r="B2125" s="116">
        <v>323</v>
      </c>
      <c r="C2125" s="116">
        <v>321.5</v>
      </c>
      <c r="D2125" s="116">
        <v>310</v>
      </c>
      <c r="E2125" s="116">
        <v>314.8</v>
      </c>
      <c r="F2125" s="116">
        <v>321.5</v>
      </c>
      <c r="G2125">
        <v>15995</v>
      </c>
      <c r="H2125" s="116"/>
      <c r="I2125" s="116"/>
      <c r="L2125" s="170">
        <v>45140</v>
      </c>
      <c r="M2125" s="116">
        <v>269.60000000000002</v>
      </c>
      <c r="N2125" s="116">
        <v>273.05</v>
      </c>
      <c r="O2125" s="116">
        <v>267.60000000000002</v>
      </c>
      <c r="P2125" s="116">
        <v>271.39999999999998</v>
      </c>
      <c r="Q2125" s="116">
        <v>269.60000000000002</v>
      </c>
      <c r="R2125">
        <v>106274</v>
      </c>
    </row>
    <row r="2126" spans="1:18" x14ac:dyDescent="0.25">
      <c r="A2126" s="170">
        <v>45173</v>
      </c>
      <c r="B2126" s="116">
        <v>332.35</v>
      </c>
      <c r="C2126" s="116">
        <v>327</v>
      </c>
      <c r="D2126" s="116">
        <v>316</v>
      </c>
      <c r="E2126" s="116">
        <v>320.10000000000002</v>
      </c>
      <c r="F2126" s="116">
        <v>327</v>
      </c>
      <c r="G2126">
        <v>33478</v>
      </c>
      <c r="H2126" s="116"/>
      <c r="I2126" s="116"/>
      <c r="L2126" s="170">
        <v>45141</v>
      </c>
      <c r="M2126" s="116">
        <v>268.8</v>
      </c>
      <c r="N2126" s="116">
        <v>270.89999999999998</v>
      </c>
      <c r="O2126" s="116">
        <v>266.35000000000002</v>
      </c>
      <c r="P2126" s="116">
        <v>270.89999999999998</v>
      </c>
      <c r="Q2126" s="116">
        <v>268.8</v>
      </c>
      <c r="R2126">
        <v>78663</v>
      </c>
    </row>
    <row r="2127" spans="1:18" x14ac:dyDescent="0.25">
      <c r="A2127" s="170">
        <v>45174</v>
      </c>
      <c r="B2127" s="116">
        <v>332.4</v>
      </c>
      <c r="C2127" s="116">
        <v>322.5</v>
      </c>
      <c r="D2127" s="116">
        <v>320</v>
      </c>
      <c r="E2127" s="116">
        <v>331.65</v>
      </c>
      <c r="F2127" s="116">
        <v>322.5</v>
      </c>
      <c r="G2127">
        <v>24867</v>
      </c>
      <c r="H2127" s="116"/>
      <c r="I2127" s="116"/>
      <c r="L2127" s="170">
        <v>45142</v>
      </c>
      <c r="M2127" s="116">
        <v>257.95</v>
      </c>
      <c r="N2127" s="116">
        <v>275.60000000000002</v>
      </c>
      <c r="O2127" s="116">
        <v>254.15</v>
      </c>
      <c r="P2127" s="116">
        <v>269.85000000000002</v>
      </c>
      <c r="Q2127" s="116">
        <v>257.95</v>
      </c>
      <c r="R2127">
        <v>259980</v>
      </c>
    </row>
    <row r="2128" spans="1:18" x14ac:dyDescent="0.25">
      <c r="A2128" s="170">
        <v>45175</v>
      </c>
      <c r="B2128" s="116">
        <v>369.05</v>
      </c>
      <c r="C2128" s="116">
        <v>365.65</v>
      </c>
      <c r="D2128" s="116">
        <v>315</v>
      </c>
      <c r="E2128" s="116">
        <v>315</v>
      </c>
      <c r="F2128" s="116">
        <v>365.65</v>
      </c>
      <c r="G2128">
        <v>96136</v>
      </c>
      <c r="H2128" s="116"/>
      <c r="I2128" s="116"/>
      <c r="L2128" s="170">
        <v>45145</v>
      </c>
      <c r="M2128" s="116">
        <v>267.7</v>
      </c>
      <c r="N2128" s="116">
        <v>268.60000000000002</v>
      </c>
      <c r="O2128" s="116">
        <v>256.75</v>
      </c>
      <c r="P2128" s="116">
        <v>261.8</v>
      </c>
      <c r="Q2128" s="116">
        <v>267.7</v>
      </c>
      <c r="R2128">
        <v>142276</v>
      </c>
    </row>
    <row r="2129" spans="1:18" x14ac:dyDescent="0.25">
      <c r="A2129" s="170">
        <v>45176</v>
      </c>
      <c r="B2129" s="116">
        <v>390</v>
      </c>
      <c r="C2129" s="116">
        <v>387.75</v>
      </c>
      <c r="D2129" s="116">
        <v>371.75</v>
      </c>
      <c r="E2129" s="116">
        <v>382</v>
      </c>
      <c r="F2129" s="116">
        <v>387.75</v>
      </c>
      <c r="G2129">
        <v>127021</v>
      </c>
      <c r="H2129" s="116"/>
      <c r="I2129" s="116"/>
      <c r="L2129" s="170">
        <v>45146</v>
      </c>
      <c r="M2129" s="116">
        <v>269.14999999999998</v>
      </c>
      <c r="N2129" s="116">
        <v>269.89999999999998</v>
      </c>
      <c r="O2129" s="116">
        <v>267.25</v>
      </c>
      <c r="P2129" s="116">
        <v>267.7</v>
      </c>
      <c r="Q2129" s="116">
        <v>269.14999999999998</v>
      </c>
      <c r="R2129">
        <v>54126</v>
      </c>
    </row>
    <row r="2130" spans="1:18" x14ac:dyDescent="0.25">
      <c r="A2130" s="170">
        <v>45177</v>
      </c>
      <c r="B2130" s="116">
        <v>395</v>
      </c>
      <c r="C2130" s="116">
        <v>374.4</v>
      </c>
      <c r="D2130" s="116">
        <v>370.55</v>
      </c>
      <c r="E2130" s="116">
        <v>390.05</v>
      </c>
      <c r="F2130" s="116">
        <v>374.4</v>
      </c>
      <c r="G2130">
        <v>62822</v>
      </c>
      <c r="H2130" s="116"/>
      <c r="I2130" s="116"/>
      <c r="L2130" s="170">
        <v>45147</v>
      </c>
      <c r="M2130" s="116">
        <v>265.2</v>
      </c>
      <c r="N2130" s="116">
        <v>271.25</v>
      </c>
      <c r="O2130" s="116">
        <v>263.5</v>
      </c>
      <c r="P2130" s="116">
        <v>269.14999999999998</v>
      </c>
      <c r="Q2130" s="116">
        <v>265.2</v>
      </c>
      <c r="R2130">
        <v>56342</v>
      </c>
    </row>
    <row r="2131" spans="1:18" x14ac:dyDescent="0.25">
      <c r="A2131" s="170">
        <v>45180</v>
      </c>
      <c r="B2131" s="116">
        <v>394.95</v>
      </c>
      <c r="C2131" s="116">
        <v>393</v>
      </c>
      <c r="D2131" s="116">
        <v>380.3</v>
      </c>
      <c r="E2131" s="116">
        <v>380.3</v>
      </c>
      <c r="F2131" s="116">
        <v>393</v>
      </c>
      <c r="G2131">
        <v>57764</v>
      </c>
      <c r="H2131" s="116"/>
      <c r="I2131" s="116"/>
      <c r="L2131" s="170">
        <v>45148</v>
      </c>
      <c r="M2131" s="116">
        <v>265.3</v>
      </c>
      <c r="N2131" s="116">
        <v>268.3</v>
      </c>
      <c r="O2131" s="116">
        <v>262.45</v>
      </c>
      <c r="P2131" s="116">
        <v>265.2</v>
      </c>
      <c r="Q2131" s="116">
        <v>265.3</v>
      </c>
      <c r="R2131">
        <v>50826</v>
      </c>
    </row>
    <row r="2132" spans="1:18" x14ac:dyDescent="0.25">
      <c r="A2132" s="170">
        <v>45181</v>
      </c>
      <c r="B2132" s="116">
        <v>421.75</v>
      </c>
      <c r="C2132" s="116">
        <v>387.15</v>
      </c>
      <c r="D2132" s="116">
        <v>376.3</v>
      </c>
      <c r="E2132" s="116">
        <v>411.1</v>
      </c>
      <c r="F2132" s="116">
        <v>387.15</v>
      </c>
      <c r="G2132">
        <v>140062</v>
      </c>
      <c r="H2132" s="116"/>
      <c r="I2132" s="116"/>
      <c r="L2132" s="170">
        <v>45149</v>
      </c>
      <c r="M2132" s="116">
        <v>268.35000000000002</v>
      </c>
      <c r="N2132" s="116">
        <v>269.39999999999998</v>
      </c>
      <c r="O2132" s="116">
        <v>264</v>
      </c>
      <c r="P2132" s="116">
        <v>267</v>
      </c>
      <c r="Q2132" s="116">
        <v>268.35000000000002</v>
      </c>
      <c r="R2132">
        <v>45097</v>
      </c>
    </row>
    <row r="2133" spans="1:18" x14ac:dyDescent="0.25">
      <c r="A2133" s="170">
        <v>45182</v>
      </c>
      <c r="B2133" s="116">
        <v>401.95</v>
      </c>
      <c r="C2133" s="116">
        <v>395.9</v>
      </c>
      <c r="D2133" s="116">
        <v>380</v>
      </c>
      <c r="E2133" s="116">
        <v>386</v>
      </c>
      <c r="F2133" s="116">
        <v>395.9</v>
      </c>
      <c r="G2133">
        <v>44610</v>
      </c>
      <c r="H2133" s="116"/>
      <c r="I2133" s="116"/>
      <c r="L2133" s="170">
        <v>45152</v>
      </c>
      <c r="M2133" s="116">
        <v>264.7</v>
      </c>
      <c r="N2133" s="116">
        <v>268.95</v>
      </c>
      <c r="O2133" s="116">
        <v>261.14999999999998</v>
      </c>
      <c r="P2133" s="116">
        <v>268.95</v>
      </c>
      <c r="Q2133" s="116">
        <v>264.7</v>
      </c>
      <c r="R2133">
        <v>65609</v>
      </c>
    </row>
    <row r="2134" spans="1:18" x14ac:dyDescent="0.25">
      <c r="A2134" s="170">
        <v>45183</v>
      </c>
      <c r="B2134" s="116">
        <v>402.95</v>
      </c>
      <c r="C2134" s="116">
        <v>396.9</v>
      </c>
      <c r="D2134" s="116">
        <v>387</v>
      </c>
      <c r="E2134" s="116">
        <v>402.95</v>
      </c>
      <c r="F2134" s="116">
        <v>396.9</v>
      </c>
      <c r="G2134">
        <v>11529</v>
      </c>
      <c r="H2134" s="116"/>
      <c r="I2134" s="116"/>
      <c r="L2134" s="170">
        <v>45154</v>
      </c>
      <c r="M2134" s="116">
        <v>280.60000000000002</v>
      </c>
      <c r="N2134" s="116">
        <v>282.64999999999998</v>
      </c>
      <c r="O2134" s="116">
        <v>262.3</v>
      </c>
      <c r="P2134" s="116">
        <v>263</v>
      </c>
      <c r="Q2134" s="116">
        <v>280.60000000000002</v>
      </c>
      <c r="R2134">
        <v>314488</v>
      </c>
    </row>
    <row r="2135" spans="1:18" x14ac:dyDescent="0.25">
      <c r="A2135" s="170">
        <v>45184</v>
      </c>
      <c r="B2135" s="116">
        <v>397.45</v>
      </c>
      <c r="C2135" s="116">
        <v>382.4</v>
      </c>
      <c r="D2135" s="116">
        <v>379.1</v>
      </c>
      <c r="E2135" s="116">
        <v>396.7</v>
      </c>
      <c r="F2135" s="116">
        <v>382.4</v>
      </c>
      <c r="G2135">
        <v>69927</v>
      </c>
      <c r="H2135" s="116"/>
      <c r="I2135" s="116"/>
      <c r="L2135" s="170">
        <v>45155</v>
      </c>
      <c r="M2135" s="116">
        <v>288.64999999999998</v>
      </c>
      <c r="N2135" s="116">
        <v>294.39999999999998</v>
      </c>
      <c r="O2135" s="116">
        <v>284.95</v>
      </c>
      <c r="P2135" s="116">
        <v>285</v>
      </c>
      <c r="Q2135" s="116">
        <v>288.64999999999998</v>
      </c>
      <c r="R2135">
        <v>399631</v>
      </c>
    </row>
    <row r="2136" spans="1:18" x14ac:dyDescent="0.25">
      <c r="A2136" s="170">
        <v>45187</v>
      </c>
      <c r="B2136" s="116">
        <v>387</v>
      </c>
      <c r="C2136" s="116">
        <v>374.35</v>
      </c>
      <c r="D2136" s="116">
        <v>372.65</v>
      </c>
      <c r="E2136" s="116">
        <v>378.05</v>
      </c>
      <c r="F2136" s="116">
        <v>374.35</v>
      </c>
      <c r="G2136">
        <v>38197</v>
      </c>
      <c r="H2136" s="116"/>
      <c r="I2136" s="116"/>
      <c r="L2136" s="170">
        <v>45156</v>
      </c>
      <c r="M2136" s="116">
        <v>282.60000000000002</v>
      </c>
      <c r="N2136" s="116">
        <v>292.60000000000002</v>
      </c>
      <c r="O2136" s="116">
        <v>280.95</v>
      </c>
      <c r="P2136" s="116">
        <v>288</v>
      </c>
      <c r="Q2136" s="116">
        <v>282.60000000000002</v>
      </c>
      <c r="R2136">
        <v>147390</v>
      </c>
    </row>
    <row r="2137" spans="1:18" x14ac:dyDescent="0.25">
      <c r="A2137" s="170">
        <v>45189</v>
      </c>
      <c r="B2137" s="116">
        <v>383.95</v>
      </c>
      <c r="C2137" s="116">
        <v>379.3</v>
      </c>
      <c r="D2137" s="116">
        <v>373.3</v>
      </c>
      <c r="E2137" s="116">
        <v>374.35</v>
      </c>
      <c r="F2137" s="116">
        <v>379.3</v>
      </c>
      <c r="G2137">
        <v>19758</v>
      </c>
      <c r="H2137" s="116"/>
      <c r="I2137" s="116"/>
      <c r="L2137" s="170">
        <v>45159</v>
      </c>
      <c r="M2137" s="116">
        <v>290.3</v>
      </c>
      <c r="N2137" s="116">
        <v>293.45</v>
      </c>
      <c r="O2137" s="116">
        <v>281</v>
      </c>
      <c r="P2137" s="116">
        <v>282.85000000000002</v>
      </c>
      <c r="Q2137" s="116">
        <v>290.3</v>
      </c>
      <c r="R2137">
        <v>153142</v>
      </c>
    </row>
    <row r="2138" spans="1:18" x14ac:dyDescent="0.25">
      <c r="A2138" s="170">
        <v>45190</v>
      </c>
      <c r="B2138" s="116">
        <v>381.6</v>
      </c>
      <c r="C2138" s="116">
        <v>373.75</v>
      </c>
      <c r="D2138" s="116">
        <v>368.1</v>
      </c>
      <c r="E2138" s="116">
        <v>379.3</v>
      </c>
      <c r="F2138" s="116">
        <v>373.75</v>
      </c>
      <c r="G2138">
        <v>8012</v>
      </c>
      <c r="H2138" s="116"/>
      <c r="I2138" s="116"/>
      <c r="L2138" s="170">
        <v>45160</v>
      </c>
      <c r="M2138" s="116">
        <v>288.25</v>
      </c>
      <c r="N2138" s="116">
        <v>292.60000000000002</v>
      </c>
      <c r="O2138" s="116">
        <v>286.75</v>
      </c>
      <c r="P2138" s="116">
        <v>292.39999999999998</v>
      </c>
      <c r="Q2138" s="116">
        <v>288.25</v>
      </c>
      <c r="R2138">
        <v>70936</v>
      </c>
    </row>
    <row r="2139" spans="1:18" x14ac:dyDescent="0.25">
      <c r="A2139" s="170">
        <v>45191</v>
      </c>
      <c r="B2139" s="116">
        <v>379.2</v>
      </c>
      <c r="C2139" s="116">
        <v>374.3</v>
      </c>
      <c r="D2139" s="116">
        <v>368.05</v>
      </c>
      <c r="E2139" s="116">
        <v>373.95</v>
      </c>
      <c r="F2139" s="116">
        <v>374.3</v>
      </c>
      <c r="G2139">
        <v>7552</v>
      </c>
      <c r="H2139" s="116"/>
      <c r="I2139" s="116"/>
      <c r="L2139" s="170">
        <v>45161</v>
      </c>
      <c r="M2139" s="116">
        <v>306.55</v>
      </c>
      <c r="N2139" s="116">
        <v>314.89999999999998</v>
      </c>
      <c r="O2139" s="116">
        <v>285.85000000000002</v>
      </c>
      <c r="P2139" s="116">
        <v>288.25</v>
      </c>
      <c r="Q2139" s="116">
        <v>306.55</v>
      </c>
      <c r="R2139">
        <v>736144</v>
      </c>
    </row>
    <row r="2140" spans="1:18" x14ac:dyDescent="0.25">
      <c r="A2140" s="170">
        <v>45194</v>
      </c>
      <c r="B2140" s="116">
        <v>381.45</v>
      </c>
      <c r="C2140" s="116">
        <v>372.1</v>
      </c>
      <c r="D2140" s="116">
        <v>370.5</v>
      </c>
      <c r="E2140" s="116">
        <v>374.4</v>
      </c>
      <c r="F2140" s="116">
        <v>372.1</v>
      </c>
      <c r="G2140">
        <v>5637</v>
      </c>
      <c r="H2140" s="116"/>
      <c r="I2140" s="116"/>
      <c r="L2140" s="170">
        <v>45162</v>
      </c>
      <c r="M2140" s="116">
        <v>313.7</v>
      </c>
      <c r="N2140" s="116">
        <v>316.25</v>
      </c>
      <c r="O2140" s="116">
        <v>308.95</v>
      </c>
      <c r="P2140" s="116">
        <v>311.14999999999998</v>
      </c>
      <c r="Q2140" s="116">
        <v>313.7</v>
      </c>
      <c r="R2140">
        <v>389729</v>
      </c>
    </row>
    <row r="2141" spans="1:18" x14ac:dyDescent="0.25">
      <c r="A2141" s="170">
        <v>45195</v>
      </c>
      <c r="B2141" s="116">
        <v>384.5</v>
      </c>
      <c r="C2141" s="116">
        <v>374.85</v>
      </c>
      <c r="D2141" s="116">
        <v>371</v>
      </c>
      <c r="E2141" s="116">
        <v>379.45</v>
      </c>
      <c r="F2141" s="116">
        <v>374.85</v>
      </c>
      <c r="G2141">
        <v>9747</v>
      </c>
      <c r="H2141" s="116"/>
      <c r="I2141" s="116"/>
      <c r="L2141" s="170">
        <v>45163</v>
      </c>
      <c r="M2141" s="116">
        <v>308.60000000000002</v>
      </c>
      <c r="N2141" s="116">
        <v>318</v>
      </c>
      <c r="O2141" s="116">
        <v>302.55</v>
      </c>
      <c r="P2141" s="116">
        <v>313.7</v>
      </c>
      <c r="Q2141" s="116">
        <v>308.60000000000002</v>
      </c>
      <c r="R2141">
        <v>227160</v>
      </c>
    </row>
    <row r="2142" spans="1:18" x14ac:dyDescent="0.25">
      <c r="A2142" s="170">
        <v>45196</v>
      </c>
      <c r="B2142" s="116">
        <v>381.55</v>
      </c>
      <c r="C2142" s="116">
        <v>380.55</v>
      </c>
      <c r="D2142" s="116">
        <v>374.1</v>
      </c>
      <c r="E2142" s="116">
        <v>375.65</v>
      </c>
      <c r="F2142" s="116">
        <v>380.55</v>
      </c>
      <c r="G2142">
        <v>4311</v>
      </c>
      <c r="H2142" s="116"/>
      <c r="I2142" s="116"/>
      <c r="L2142" s="170">
        <v>45166</v>
      </c>
      <c r="M2142" s="116">
        <v>311.64999999999998</v>
      </c>
      <c r="N2142" s="116">
        <v>316.5</v>
      </c>
      <c r="O2142" s="116">
        <v>305.8</v>
      </c>
      <c r="P2142" s="116">
        <v>311</v>
      </c>
      <c r="Q2142" s="116">
        <v>311.64999999999998</v>
      </c>
      <c r="R2142">
        <v>150936</v>
      </c>
    </row>
    <row r="2143" spans="1:18" x14ac:dyDescent="0.25">
      <c r="A2143" s="170">
        <v>45197</v>
      </c>
      <c r="B2143" s="116">
        <v>387.75</v>
      </c>
      <c r="C2143" s="116">
        <v>382.8</v>
      </c>
      <c r="D2143" s="116">
        <v>377.55</v>
      </c>
      <c r="E2143" s="116">
        <v>385.4</v>
      </c>
      <c r="F2143" s="116">
        <v>382.8</v>
      </c>
      <c r="G2143">
        <v>12874</v>
      </c>
      <c r="H2143" s="116"/>
      <c r="I2143" s="116"/>
      <c r="L2143" s="170">
        <v>45167</v>
      </c>
      <c r="M2143" s="116">
        <v>309.3</v>
      </c>
      <c r="N2143" s="116">
        <v>321</v>
      </c>
      <c r="O2143" s="116">
        <v>307.64999999999998</v>
      </c>
      <c r="P2143" s="116">
        <v>313.25</v>
      </c>
      <c r="Q2143" s="116">
        <v>309.3</v>
      </c>
      <c r="R2143">
        <v>258524</v>
      </c>
    </row>
    <row r="2144" spans="1:18" x14ac:dyDescent="0.25">
      <c r="A2144" s="170">
        <v>45198</v>
      </c>
      <c r="B2144" s="116">
        <v>391.75</v>
      </c>
      <c r="C2144" s="116">
        <v>385.1</v>
      </c>
      <c r="D2144" s="116">
        <v>380</v>
      </c>
      <c r="E2144" s="116">
        <v>391.75</v>
      </c>
      <c r="F2144" s="116">
        <v>385.1</v>
      </c>
      <c r="G2144">
        <v>8020</v>
      </c>
      <c r="H2144" s="116"/>
      <c r="I2144" s="116"/>
      <c r="L2144" s="170">
        <v>45168</v>
      </c>
      <c r="M2144" s="116">
        <v>315.14999999999998</v>
      </c>
      <c r="N2144" s="116">
        <v>319</v>
      </c>
      <c r="O2144" s="116">
        <v>309.8</v>
      </c>
      <c r="P2144" s="116">
        <v>311.95</v>
      </c>
      <c r="Q2144" s="116">
        <v>315.14999999999998</v>
      </c>
      <c r="R2144">
        <v>146987</v>
      </c>
    </row>
    <row r="2145" spans="1:18" x14ac:dyDescent="0.25">
      <c r="A2145" s="170">
        <v>45202</v>
      </c>
      <c r="B2145" s="116">
        <v>388.95</v>
      </c>
      <c r="C2145" s="116">
        <v>382.35</v>
      </c>
      <c r="D2145" s="116">
        <v>380.7</v>
      </c>
      <c r="E2145" s="116">
        <v>388.95</v>
      </c>
      <c r="F2145" s="116">
        <v>382.35</v>
      </c>
      <c r="G2145">
        <v>9237</v>
      </c>
      <c r="H2145" s="116"/>
      <c r="I2145" s="116"/>
      <c r="L2145" s="170">
        <v>45169</v>
      </c>
      <c r="M2145" s="116">
        <v>312.5</v>
      </c>
      <c r="N2145" s="116">
        <v>318.95</v>
      </c>
      <c r="O2145" s="116">
        <v>310.64999999999998</v>
      </c>
      <c r="P2145" s="116">
        <v>316.75</v>
      </c>
      <c r="Q2145" s="116">
        <v>312.5</v>
      </c>
      <c r="R2145">
        <v>132267</v>
      </c>
    </row>
    <row r="2146" spans="1:18" x14ac:dyDescent="0.25">
      <c r="A2146" s="170">
        <v>45203</v>
      </c>
      <c r="B2146" s="116">
        <v>389.9</v>
      </c>
      <c r="C2146" s="116">
        <v>377.9</v>
      </c>
      <c r="D2146" s="116">
        <v>374.6</v>
      </c>
      <c r="E2146" s="116">
        <v>389.9</v>
      </c>
      <c r="F2146" s="116">
        <v>377.9</v>
      </c>
      <c r="G2146">
        <v>9749</v>
      </c>
      <c r="H2146" s="116"/>
      <c r="I2146" s="116"/>
      <c r="L2146" s="170">
        <v>45170</v>
      </c>
      <c r="M2146" s="116">
        <v>320.85000000000002</v>
      </c>
      <c r="N2146" s="116">
        <v>323</v>
      </c>
      <c r="O2146" s="116">
        <v>309.89999999999998</v>
      </c>
      <c r="P2146" s="116">
        <v>314.10000000000002</v>
      </c>
      <c r="Q2146" s="116">
        <v>320.85000000000002</v>
      </c>
      <c r="R2146">
        <v>193387</v>
      </c>
    </row>
    <row r="2147" spans="1:18" x14ac:dyDescent="0.25">
      <c r="A2147" s="170">
        <v>45204</v>
      </c>
      <c r="B2147" s="116">
        <v>386.55</v>
      </c>
      <c r="C2147" s="116">
        <v>379</v>
      </c>
      <c r="D2147" s="116">
        <v>375.5</v>
      </c>
      <c r="E2147" s="116">
        <v>380.95</v>
      </c>
      <c r="F2147" s="116">
        <v>379</v>
      </c>
      <c r="G2147">
        <v>7281</v>
      </c>
      <c r="H2147" s="116"/>
      <c r="I2147" s="116"/>
      <c r="L2147" s="170">
        <v>45173</v>
      </c>
      <c r="M2147" s="116">
        <v>326.60000000000002</v>
      </c>
      <c r="N2147" s="116">
        <v>332.95</v>
      </c>
      <c r="O2147" s="116">
        <v>315.5</v>
      </c>
      <c r="P2147" s="116">
        <v>323</v>
      </c>
      <c r="Q2147" s="116">
        <v>326.60000000000002</v>
      </c>
      <c r="R2147">
        <v>290019</v>
      </c>
    </row>
    <row r="2148" spans="1:18" x14ac:dyDescent="0.25">
      <c r="A2148" s="170">
        <v>45205</v>
      </c>
      <c r="B2148" s="116">
        <v>381.45</v>
      </c>
      <c r="C2148" s="116">
        <v>377.95</v>
      </c>
      <c r="D2148" s="116">
        <v>375.75</v>
      </c>
      <c r="E2148" s="116">
        <v>381.3</v>
      </c>
      <c r="F2148" s="116">
        <v>377.95</v>
      </c>
      <c r="G2148">
        <v>5677</v>
      </c>
      <c r="H2148" s="116"/>
      <c r="I2148" s="116"/>
      <c r="L2148" s="170">
        <v>45174</v>
      </c>
      <c r="M2148" s="116">
        <v>323</v>
      </c>
      <c r="N2148" s="116">
        <v>332.6</v>
      </c>
      <c r="O2148" s="116">
        <v>319.8</v>
      </c>
      <c r="P2148" s="116">
        <v>329.2</v>
      </c>
      <c r="Q2148" s="116">
        <v>323</v>
      </c>
      <c r="R2148">
        <v>134155</v>
      </c>
    </row>
    <row r="2149" spans="1:18" x14ac:dyDescent="0.25">
      <c r="A2149" s="170">
        <v>45208</v>
      </c>
      <c r="B2149" s="116">
        <v>375</v>
      </c>
      <c r="C2149" s="116">
        <v>368.15</v>
      </c>
      <c r="D2149" s="116">
        <v>364.45</v>
      </c>
      <c r="E2149" s="116">
        <v>372.05</v>
      </c>
      <c r="F2149" s="116">
        <v>368.15</v>
      </c>
      <c r="G2149">
        <v>15877</v>
      </c>
      <c r="H2149" s="116"/>
      <c r="I2149" s="116"/>
      <c r="L2149" s="170">
        <v>45175</v>
      </c>
      <c r="M2149" s="116">
        <v>365.3</v>
      </c>
      <c r="N2149" s="116">
        <v>368.95</v>
      </c>
      <c r="O2149" s="116">
        <v>318</v>
      </c>
      <c r="P2149" s="116">
        <v>323.3</v>
      </c>
      <c r="Q2149" s="116">
        <v>365.3</v>
      </c>
      <c r="R2149">
        <v>1716861</v>
      </c>
    </row>
    <row r="2150" spans="1:18" x14ac:dyDescent="0.25">
      <c r="A2150" s="170">
        <v>45209</v>
      </c>
      <c r="B2150" s="116">
        <v>380</v>
      </c>
      <c r="C2150" s="116">
        <v>364.15</v>
      </c>
      <c r="D2150" s="116">
        <v>359.8</v>
      </c>
      <c r="E2150" s="116">
        <v>369.3</v>
      </c>
      <c r="F2150" s="116">
        <v>364.15</v>
      </c>
      <c r="G2150">
        <v>24640</v>
      </c>
      <c r="H2150" s="116"/>
      <c r="I2150" s="116"/>
      <c r="L2150" s="170">
        <v>45176</v>
      </c>
      <c r="M2150" s="116">
        <v>387.45</v>
      </c>
      <c r="N2150" s="116">
        <v>389.9</v>
      </c>
      <c r="O2150" s="116">
        <v>372.85</v>
      </c>
      <c r="P2150" s="116">
        <v>384.4</v>
      </c>
      <c r="Q2150" s="116">
        <v>387.45</v>
      </c>
      <c r="R2150">
        <v>1172168</v>
      </c>
    </row>
    <row r="2151" spans="1:18" x14ac:dyDescent="0.25">
      <c r="A2151" s="170">
        <v>45210</v>
      </c>
      <c r="B2151" s="116">
        <v>387</v>
      </c>
      <c r="C2151" s="116">
        <v>377.85</v>
      </c>
      <c r="D2151" s="116">
        <v>366.4</v>
      </c>
      <c r="E2151" s="116">
        <v>376</v>
      </c>
      <c r="F2151" s="116">
        <v>377.85</v>
      </c>
      <c r="G2151">
        <v>18568</v>
      </c>
      <c r="H2151" s="116"/>
      <c r="I2151" s="116"/>
      <c r="L2151" s="170">
        <v>45177</v>
      </c>
      <c r="M2151" s="116">
        <v>374.4</v>
      </c>
      <c r="N2151" s="116">
        <v>393.95</v>
      </c>
      <c r="O2151" s="116">
        <v>370.8</v>
      </c>
      <c r="P2151" s="116">
        <v>390.95</v>
      </c>
      <c r="Q2151" s="116">
        <v>374.4</v>
      </c>
      <c r="R2151">
        <v>408452</v>
      </c>
    </row>
    <row r="2152" spans="1:18" x14ac:dyDescent="0.25">
      <c r="A2152" s="170">
        <v>45211</v>
      </c>
      <c r="B2152" s="116">
        <v>386.4</v>
      </c>
      <c r="C2152" s="116">
        <v>372.2</v>
      </c>
      <c r="D2152" s="116">
        <v>368.95</v>
      </c>
      <c r="E2152" s="116">
        <v>386.4</v>
      </c>
      <c r="F2152" s="116">
        <v>372.2</v>
      </c>
      <c r="G2152">
        <v>16209</v>
      </c>
      <c r="H2152" s="116"/>
      <c r="I2152" s="116"/>
      <c r="L2152" s="170">
        <v>45180</v>
      </c>
      <c r="M2152" s="116">
        <v>392.75</v>
      </c>
      <c r="N2152" s="116">
        <v>394.9</v>
      </c>
      <c r="O2152" s="116">
        <v>380</v>
      </c>
      <c r="P2152" s="116">
        <v>383.95</v>
      </c>
      <c r="Q2152" s="116">
        <v>392.75</v>
      </c>
      <c r="R2152">
        <v>535534</v>
      </c>
    </row>
    <row r="2153" spans="1:18" x14ac:dyDescent="0.25">
      <c r="A2153" s="170">
        <v>45212</v>
      </c>
      <c r="B2153" s="116">
        <v>379.55</v>
      </c>
      <c r="C2153" s="116">
        <v>368.95</v>
      </c>
      <c r="D2153" s="116">
        <v>367.65</v>
      </c>
      <c r="E2153" s="116">
        <v>379.55</v>
      </c>
      <c r="F2153" s="116">
        <v>368.95</v>
      </c>
      <c r="G2153">
        <v>11622</v>
      </c>
      <c r="H2153" s="116"/>
      <c r="I2153" s="116"/>
      <c r="L2153" s="170">
        <v>45181</v>
      </c>
      <c r="M2153" s="116">
        <v>386.25</v>
      </c>
      <c r="N2153" s="116">
        <v>421.85</v>
      </c>
      <c r="O2153" s="116">
        <v>377.95</v>
      </c>
      <c r="P2153" s="116">
        <v>413.35</v>
      </c>
      <c r="Q2153" s="116">
        <v>386.25</v>
      </c>
      <c r="R2153">
        <v>946314</v>
      </c>
    </row>
    <row r="2154" spans="1:18" x14ac:dyDescent="0.25">
      <c r="A2154" s="170">
        <v>45215</v>
      </c>
      <c r="B2154" s="116">
        <v>374.9</v>
      </c>
      <c r="C2154" s="116">
        <v>366.4</v>
      </c>
      <c r="D2154" s="116">
        <v>365.15</v>
      </c>
      <c r="E2154" s="116">
        <v>369.7</v>
      </c>
      <c r="F2154" s="116">
        <v>366.4</v>
      </c>
      <c r="G2154">
        <v>8893</v>
      </c>
      <c r="H2154" s="116"/>
      <c r="I2154" s="116"/>
      <c r="L2154" s="170">
        <v>45182</v>
      </c>
      <c r="M2154" s="116">
        <v>396</v>
      </c>
      <c r="N2154" s="116">
        <v>401.5</v>
      </c>
      <c r="O2154" s="116">
        <v>376</v>
      </c>
      <c r="P2154" s="116">
        <v>386.25</v>
      </c>
      <c r="Q2154" s="116">
        <v>396</v>
      </c>
      <c r="R2154">
        <v>333948</v>
      </c>
    </row>
    <row r="2155" spans="1:18" x14ac:dyDescent="0.25">
      <c r="A2155" s="170">
        <v>45216</v>
      </c>
      <c r="B2155" s="116">
        <v>377.8</v>
      </c>
      <c r="C2155" s="116">
        <v>373.35</v>
      </c>
      <c r="D2155" s="116">
        <v>365</v>
      </c>
      <c r="E2155" s="116">
        <v>369.3</v>
      </c>
      <c r="F2155" s="116">
        <v>373.35</v>
      </c>
      <c r="G2155">
        <v>15355</v>
      </c>
      <c r="H2155" s="116"/>
      <c r="I2155" s="116"/>
      <c r="L2155" s="170">
        <v>45183</v>
      </c>
      <c r="M2155" s="116">
        <v>395.9</v>
      </c>
      <c r="N2155" s="116">
        <v>402.35</v>
      </c>
      <c r="O2155" s="116">
        <v>386.9</v>
      </c>
      <c r="P2155" s="116">
        <v>399.1</v>
      </c>
      <c r="Q2155" s="116">
        <v>395.9</v>
      </c>
      <c r="R2155">
        <v>207566</v>
      </c>
    </row>
    <row r="2156" spans="1:18" x14ac:dyDescent="0.25">
      <c r="A2156" s="170">
        <v>45217</v>
      </c>
      <c r="B2156" s="116">
        <v>374.9</v>
      </c>
      <c r="C2156" s="116">
        <v>371.85</v>
      </c>
      <c r="D2156" s="116">
        <v>365.2</v>
      </c>
      <c r="E2156" s="116">
        <v>373.15</v>
      </c>
      <c r="F2156" s="116">
        <v>371.85</v>
      </c>
      <c r="G2156">
        <v>3432</v>
      </c>
      <c r="H2156" s="116"/>
      <c r="I2156" s="116"/>
      <c r="L2156" s="170">
        <v>45184</v>
      </c>
      <c r="M2156" s="116">
        <v>382.35</v>
      </c>
      <c r="N2156" s="116">
        <v>397.8</v>
      </c>
      <c r="O2156" s="116">
        <v>378.5</v>
      </c>
      <c r="P2156" s="116">
        <v>394</v>
      </c>
      <c r="Q2156" s="116">
        <v>382.35</v>
      </c>
      <c r="R2156">
        <v>246396</v>
      </c>
    </row>
    <row r="2157" spans="1:18" x14ac:dyDescent="0.25">
      <c r="A2157" s="170">
        <v>45218</v>
      </c>
      <c r="B2157" s="116">
        <v>372.95</v>
      </c>
      <c r="C2157" s="116">
        <v>366.2</v>
      </c>
      <c r="D2157" s="116">
        <v>359</v>
      </c>
      <c r="E2157" s="116">
        <v>372.95</v>
      </c>
      <c r="F2157" s="116">
        <v>366.2</v>
      </c>
      <c r="G2157">
        <v>7313</v>
      </c>
      <c r="H2157" s="116"/>
      <c r="I2157" s="116"/>
      <c r="L2157" s="170">
        <v>45187</v>
      </c>
      <c r="M2157" s="116">
        <v>374.15</v>
      </c>
      <c r="N2157" s="116">
        <v>387.45</v>
      </c>
      <c r="O2157" s="116">
        <v>372.4</v>
      </c>
      <c r="P2157" s="116">
        <v>382</v>
      </c>
      <c r="Q2157" s="116">
        <v>374.15</v>
      </c>
      <c r="R2157">
        <v>150487</v>
      </c>
    </row>
    <row r="2158" spans="1:18" x14ac:dyDescent="0.25">
      <c r="A2158" s="170">
        <v>45219</v>
      </c>
      <c r="B2158" s="116">
        <v>384</v>
      </c>
      <c r="C2158" s="116">
        <v>365.75</v>
      </c>
      <c r="D2158" s="116">
        <v>362.6</v>
      </c>
      <c r="E2158" s="116">
        <v>367.15</v>
      </c>
      <c r="F2158" s="116">
        <v>365.75</v>
      </c>
      <c r="G2158">
        <v>23200</v>
      </c>
      <c r="H2158" s="116"/>
      <c r="I2158" s="116"/>
      <c r="L2158" s="170">
        <v>45189</v>
      </c>
      <c r="M2158" s="116">
        <v>379.6</v>
      </c>
      <c r="N2158" s="116">
        <v>383.5</v>
      </c>
      <c r="O2158" s="116">
        <v>372.4</v>
      </c>
      <c r="P2158" s="116">
        <v>374.15</v>
      </c>
      <c r="Q2158" s="116">
        <v>379.6</v>
      </c>
      <c r="R2158">
        <v>108004</v>
      </c>
    </row>
    <row r="2159" spans="1:18" x14ac:dyDescent="0.25">
      <c r="A2159" s="170">
        <v>45222</v>
      </c>
      <c r="B2159" s="116">
        <v>370.45</v>
      </c>
      <c r="C2159" s="116">
        <v>343.7</v>
      </c>
      <c r="D2159" s="116">
        <v>340</v>
      </c>
      <c r="E2159" s="116">
        <v>368.95</v>
      </c>
      <c r="F2159" s="116">
        <v>343.7</v>
      </c>
      <c r="G2159">
        <v>16970</v>
      </c>
      <c r="H2159" s="116"/>
      <c r="I2159" s="116"/>
      <c r="L2159" s="170">
        <v>45190</v>
      </c>
      <c r="M2159" s="116">
        <v>373.9</v>
      </c>
      <c r="N2159" s="116">
        <v>381.5</v>
      </c>
      <c r="O2159" s="116">
        <v>368.35</v>
      </c>
      <c r="P2159" s="116">
        <v>380</v>
      </c>
      <c r="Q2159" s="116">
        <v>373.9</v>
      </c>
      <c r="R2159">
        <v>79796</v>
      </c>
    </row>
    <row r="2160" spans="1:18" x14ac:dyDescent="0.25">
      <c r="A2160" s="170">
        <v>45224</v>
      </c>
      <c r="B2160" s="116">
        <v>352.1</v>
      </c>
      <c r="C2160" s="116">
        <v>339.7</v>
      </c>
      <c r="D2160" s="116">
        <v>334.55</v>
      </c>
      <c r="E2160" s="116">
        <v>350.4</v>
      </c>
      <c r="F2160" s="116">
        <v>339.7</v>
      </c>
      <c r="G2160">
        <v>9313</v>
      </c>
      <c r="H2160" s="116"/>
      <c r="I2160" s="116"/>
      <c r="L2160" s="170">
        <v>45191</v>
      </c>
      <c r="M2160" s="116">
        <v>374.45</v>
      </c>
      <c r="N2160" s="116">
        <v>379.55</v>
      </c>
      <c r="O2160" s="116">
        <v>367.95</v>
      </c>
      <c r="P2160" s="116">
        <v>372.9</v>
      </c>
      <c r="Q2160" s="116">
        <v>374.45</v>
      </c>
      <c r="R2160">
        <v>108332</v>
      </c>
    </row>
    <row r="2161" spans="1:18" x14ac:dyDescent="0.25">
      <c r="A2161" s="170">
        <v>45225</v>
      </c>
      <c r="B2161" s="116">
        <v>374</v>
      </c>
      <c r="C2161" s="116">
        <v>339.9</v>
      </c>
      <c r="D2161" s="116">
        <v>327.95</v>
      </c>
      <c r="E2161" s="116">
        <v>374</v>
      </c>
      <c r="F2161" s="116">
        <v>339.9</v>
      </c>
      <c r="G2161">
        <v>29315</v>
      </c>
      <c r="H2161" s="116"/>
      <c r="I2161" s="116"/>
      <c r="L2161" s="170">
        <v>45194</v>
      </c>
      <c r="M2161" s="116">
        <v>372</v>
      </c>
      <c r="N2161" s="116">
        <v>381.7</v>
      </c>
      <c r="O2161" s="116">
        <v>370</v>
      </c>
      <c r="P2161" s="116">
        <v>372.4</v>
      </c>
      <c r="Q2161" s="116">
        <v>372</v>
      </c>
      <c r="R2161">
        <v>126573</v>
      </c>
    </row>
    <row r="2162" spans="1:18" x14ac:dyDescent="0.25">
      <c r="A2162" s="170">
        <v>45226</v>
      </c>
      <c r="B2162" s="116">
        <v>355.5</v>
      </c>
      <c r="C2162" s="116">
        <v>352.5</v>
      </c>
      <c r="D2162" s="116">
        <v>345.05</v>
      </c>
      <c r="E2162" s="116">
        <v>345.05</v>
      </c>
      <c r="F2162" s="116">
        <v>352.5</v>
      </c>
      <c r="G2162">
        <v>8327</v>
      </c>
      <c r="H2162" s="116"/>
      <c r="I2162" s="116"/>
      <c r="L2162" s="170">
        <v>45195</v>
      </c>
      <c r="M2162" s="116">
        <v>375.4</v>
      </c>
      <c r="N2162" s="116">
        <v>385</v>
      </c>
      <c r="O2162" s="116">
        <v>372.25</v>
      </c>
      <c r="P2162" s="116">
        <v>374.7</v>
      </c>
      <c r="Q2162" s="116">
        <v>375.4</v>
      </c>
      <c r="R2162">
        <v>88178</v>
      </c>
    </row>
    <row r="2163" spans="1:18" x14ac:dyDescent="0.25">
      <c r="A2163" s="170">
        <v>45229</v>
      </c>
      <c r="B2163" s="116">
        <v>353.8</v>
      </c>
      <c r="C2163" s="116">
        <v>349.8</v>
      </c>
      <c r="D2163" s="116">
        <v>344.6</v>
      </c>
      <c r="E2163" s="116">
        <v>352</v>
      </c>
      <c r="F2163" s="116">
        <v>349.8</v>
      </c>
      <c r="G2163">
        <v>5190</v>
      </c>
      <c r="H2163" s="116"/>
      <c r="I2163" s="116"/>
      <c r="L2163" s="170">
        <v>45196</v>
      </c>
      <c r="M2163" s="116">
        <v>380.6</v>
      </c>
      <c r="N2163" s="116">
        <v>381.6</v>
      </c>
      <c r="O2163" s="116">
        <v>372.9</v>
      </c>
      <c r="P2163" s="116">
        <v>376.3</v>
      </c>
      <c r="Q2163" s="116">
        <v>380.6</v>
      </c>
      <c r="R2163">
        <v>69116</v>
      </c>
    </row>
    <row r="2164" spans="1:18" x14ac:dyDescent="0.25">
      <c r="A2164" s="170">
        <v>45230</v>
      </c>
      <c r="B2164" s="116">
        <v>364.05</v>
      </c>
      <c r="C2164" s="116">
        <v>347.3</v>
      </c>
      <c r="D2164" s="116">
        <v>340.35</v>
      </c>
      <c r="E2164" s="116">
        <v>340.35</v>
      </c>
      <c r="F2164" s="116">
        <v>347.3</v>
      </c>
      <c r="G2164">
        <v>5238</v>
      </c>
      <c r="H2164" s="116"/>
      <c r="I2164" s="116"/>
      <c r="L2164" s="170">
        <v>45197</v>
      </c>
      <c r="M2164" s="116">
        <v>382.85</v>
      </c>
      <c r="N2164" s="116">
        <v>387.9</v>
      </c>
      <c r="O2164" s="116">
        <v>376.65</v>
      </c>
      <c r="P2164" s="116">
        <v>382.6</v>
      </c>
      <c r="Q2164" s="116">
        <v>382.85</v>
      </c>
      <c r="R2164">
        <v>147001</v>
      </c>
    </row>
    <row r="2165" spans="1:18" x14ac:dyDescent="0.25">
      <c r="A2165" s="170">
        <v>45231</v>
      </c>
      <c r="B2165" s="116">
        <v>354.15</v>
      </c>
      <c r="C2165" s="116">
        <v>337.3</v>
      </c>
      <c r="D2165" s="116">
        <v>333.65</v>
      </c>
      <c r="E2165" s="116">
        <v>354.15</v>
      </c>
      <c r="F2165" s="116">
        <v>337.3</v>
      </c>
      <c r="G2165">
        <v>8071</v>
      </c>
      <c r="H2165" s="116"/>
      <c r="I2165" s="116"/>
      <c r="L2165" s="170">
        <v>45198</v>
      </c>
      <c r="M2165" s="116">
        <v>384.45</v>
      </c>
      <c r="N2165" s="116">
        <v>388.65</v>
      </c>
      <c r="O2165" s="116">
        <v>379.65</v>
      </c>
      <c r="P2165" s="116">
        <v>385.85</v>
      </c>
      <c r="Q2165" s="116">
        <v>384.45</v>
      </c>
      <c r="R2165">
        <v>95398</v>
      </c>
    </row>
    <row r="2166" spans="1:18" x14ac:dyDescent="0.25">
      <c r="A2166" s="170">
        <v>45232</v>
      </c>
      <c r="B2166" s="116">
        <v>345.25</v>
      </c>
      <c r="C2166" s="116">
        <v>344.5</v>
      </c>
      <c r="D2166" s="116">
        <v>337.35</v>
      </c>
      <c r="E2166" s="116">
        <v>340.05</v>
      </c>
      <c r="F2166" s="116">
        <v>344.5</v>
      </c>
      <c r="G2166">
        <v>8973</v>
      </c>
      <c r="H2166" s="116"/>
      <c r="I2166" s="116"/>
      <c r="L2166" s="170">
        <v>45202</v>
      </c>
      <c r="M2166" s="116">
        <v>382.6</v>
      </c>
      <c r="N2166" s="116">
        <v>386.4</v>
      </c>
      <c r="O2166" s="116">
        <v>381.05</v>
      </c>
      <c r="P2166" s="116">
        <v>385</v>
      </c>
      <c r="Q2166" s="116">
        <v>382.6</v>
      </c>
      <c r="R2166">
        <v>52669</v>
      </c>
    </row>
    <row r="2167" spans="1:18" x14ac:dyDescent="0.25">
      <c r="A2167" s="170">
        <v>45233</v>
      </c>
      <c r="B2167" s="116">
        <v>350.5</v>
      </c>
      <c r="C2167" s="116">
        <v>348.4</v>
      </c>
      <c r="D2167" s="116">
        <v>342.1</v>
      </c>
      <c r="E2167" s="116">
        <v>342.2</v>
      </c>
      <c r="F2167" s="116">
        <v>348.4</v>
      </c>
      <c r="G2167">
        <v>7509</v>
      </c>
      <c r="H2167" s="116"/>
      <c r="I2167" s="116"/>
      <c r="L2167" s="170">
        <v>45203</v>
      </c>
      <c r="M2167" s="116">
        <v>378.7</v>
      </c>
      <c r="N2167" s="116">
        <v>385.85</v>
      </c>
      <c r="O2167" s="116">
        <v>374.3</v>
      </c>
      <c r="P2167" s="116">
        <v>382.6</v>
      </c>
      <c r="Q2167" s="116">
        <v>378.7</v>
      </c>
      <c r="R2167">
        <v>86681</v>
      </c>
    </row>
    <row r="2168" spans="1:18" x14ac:dyDescent="0.25">
      <c r="A2168" s="170">
        <v>45236</v>
      </c>
      <c r="B2168" s="116">
        <v>341.1</v>
      </c>
      <c r="C2168" s="116">
        <v>329.1</v>
      </c>
      <c r="D2168" s="116">
        <v>327.45</v>
      </c>
      <c r="E2168" s="116">
        <v>336.4</v>
      </c>
      <c r="F2168" s="116">
        <v>329.1</v>
      </c>
      <c r="G2168">
        <v>30208</v>
      </c>
      <c r="H2168" s="116"/>
      <c r="I2168" s="116"/>
      <c r="L2168" s="170">
        <v>45204</v>
      </c>
      <c r="M2168" s="116">
        <v>378.6</v>
      </c>
      <c r="N2168" s="116">
        <v>387</v>
      </c>
      <c r="O2168" s="116">
        <v>375.55</v>
      </c>
      <c r="P2168" s="116">
        <v>379</v>
      </c>
      <c r="Q2168" s="116">
        <v>378.6</v>
      </c>
      <c r="R2168">
        <v>70168</v>
      </c>
    </row>
    <row r="2169" spans="1:18" x14ac:dyDescent="0.25">
      <c r="A2169" s="170">
        <v>45237</v>
      </c>
      <c r="B2169" s="116">
        <v>336.4</v>
      </c>
      <c r="C2169" s="116">
        <v>333.85</v>
      </c>
      <c r="D2169" s="116">
        <v>328.65</v>
      </c>
      <c r="E2169" s="116">
        <v>329.15</v>
      </c>
      <c r="F2169" s="116">
        <v>333.85</v>
      </c>
      <c r="G2169">
        <v>19135</v>
      </c>
      <c r="H2169" s="116"/>
      <c r="I2169" s="116"/>
      <c r="L2169" s="170">
        <v>45205</v>
      </c>
      <c r="M2169" s="116">
        <v>377.75</v>
      </c>
      <c r="N2169" s="116">
        <v>381.4</v>
      </c>
      <c r="O2169" s="116">
        <v>375</v>
      </c>
      <c r="P2169" s="116">
        <v>380.5</v>
      </c>
      <c r="Q2169" s="116">
        <v>377.75</v>
      </c>
      <c r="R2169">
        <v>85624</v>
      </c>
    </row>
    <row r="2170" spans="1:18" x14ac:dyDescent="0.25">
      <c r="A2170" s="170">
        <v>45238</v>
      </c>
      <c r="B2170" s="116">
        <v>338.9</v>
      </c>
      <c r="C2170" s="116">
        <v>337.15</v>
      </c>
      <c r="D2170" s="116">
        <v>329.05</v>
      </c>
      <c r="E2170" s="116">
        <v>329.05</v>
      </c>
      <c r="F2170" s="116">
        <v>337.15</v>
      </c>
      <c r="G2170">
        <v>3738</v>
      </c>
      <c r="H2170" s="116"/>
      <c r="I2170" s="116"/>
      <c r="L2170" s="170">
        <v>45208</v>
      </c>
      <c r="M2170" s="116">
        <v>367.95</v>
      </c>
      <c r="N2170" s="116">
        <v>376</v>
      </c>
      <c r="O2170" s="116">
        <v>363.4</v>
      </c>
      <c r="P2170" s="116">
        <v>376</v>
      </c>
      <c r="Q2170" s="116">
        <v>367.95</v>
      </c>
      <c r="R2170">
        <v>81336</v>
      </c>
    </row>
    <row r="2171" spans="1:18" x14ac:dyDescent="0.25">
      <c r="A2171" s="170">
        <v>45239</v>
      </c>
      <c r="B2171" s="116">
        <v>339.15</v>
      </c>
      <c r="C2171" s="116">
        <v>332.6</v>
      </c>
      <c r="D2171" s="116">
        <v>330</v>
      </c>
      <c r="E2171" s="116">
        <v>339.15</v>
      </c>
      <c r="F2171" s="116">
        <v>332.6</v>
      </c>
      <c r="G2171">
        <v>4217</v>
      </c>
      <c r="H2171" s="116"/>
      <c r="I2171" s="116"/>
      <c r="L2171" s="170">
        <v>45209</v>
      </c>
      <c r="M2171" s="116">
        <v>365.05</v>
      </c>
      <c r="N2171" s="116">
        <v>378.95</v>
      </c>
      <c r="O2171" s="116">
        <v>359.3</v>
      </c>
      <c r="P2171" s="116">
        <v>369</v>
      </c>
      <c r="Q2171" s="116">
        <v>365.05</v>
      </c>
      <c r="R2171">
        <v>260067</v>
      </c>
    </row>
    <row r="2172" spans="1:18" x14ac:dyDescent="0.25">
      <c r="A2172" s="170">
        <v>45240</v>
      </c>
      <c r="B2172" s="116">
        <v>335.35</v>
      </c>
      <c r="C2172" s="116">
        <v>331.15</v>
      </c>
      <c r="D2172" s="116">
        <v>329.35</v>
      </c>
      <c r="E2172" s="116">
        <v>331.6</v>
      </c>
      <c r="F2172" s="116">
        <v>331.15</v>
      </c>
      <c r="G2172">
        <v>8704</v>
      </c>
      <c r="H2172" s="116"/>
      <c r="I2172" s="116"/>
      <c r="L2172" s="170">
        <v>45210</v>
      </c>
      <c r="M2172" s="116">
        <v>377.3</v>
      </c>
      <c r="N2172" s="116">
        <v>387.3</v>
      </c>
      <c r="O2172" s="116">
        <v>365.4</v>
      </c>
      <c r="P2172" s="116">
        <v>367.95</v>
      </c>
      <c r="Q2172" s="116">
        <v>377.3</v>
      </c>
      <c r="R2172">
        <v>293920</v>
      </c>
    </row>
    <row r="2173" spans="1:18" x14ac:dyDescent="0.25">
      <c r="A2173" s="170">
        <v>45242</v>
      </c>
      <c r="B2173" s="116">
        <v>337.9</v>
      </c>
      <c r="C2173" s="116">
        <v>335.2</v>
      </c>
      <c r="D2173" s="116">
        <v>332.5</v>
      </c>
      <c r="E2173" s="116">
        <v>332.5</v>
      </c>
      <c r="F2173" s="116">
        <v>335.2</v>
      </c>
      <c r="G2173">
        <v>4088</v>
      </c>
      <c r="H2173" s="116"/>
      <c r="I2173" s="116"/>
      <c r="L2173" s="170">
        <v>45211</v>
      </c>
      <c r="M2173" s="116">
        <v>372.2</v>
      </c>
      <c r="N2173" s="116">
        <v>381.75</v>
      </c>
      <c r="O2173" s="116">
        <v>368.8</v>
      </c>
      <c r="P2173" s="116">
        <v>380.15</v>
      </c>
      <c r="Q2173" s="116">
        <v>372.2</v>
      </c>
      <c r="R2173">
        <v>120793</v>
      </c>
    </row>
    <row r="2174" spans="1:18" x14ac:dyDescent="0.25">
      <c r="A2174" s="170">
        <v>45243</v>
      </c>
      <c r="B2174" s="116">
        <v>340.9</v>
      </c>
      <c r="C2174" s="116">
        <v>339.05</v>
      </c>
      <c r="D2174" s="116">
        <v>330.55</v>
      </c>
      <c r="E2174" s="116">
        <v>334.35</v>
      </c>
      <c r="F2174" s="116">
        <v>339.05</v>
      </c>
      <c r="G2174">
        <v>1901</v>
      </c>
      <c r="H2174" s="116"/>
      <c r="I2174" s="116"/>
      <c r="L2174" s="170">
        <v>45212</v>
      </c>
      <c r="M2174" s="116">
        <v>369.05</v>
      </c>
      <c r="N2174" s="116">
        <v>374.55</v>
      </c>
      <c r="O2174" s="116">
        <v>367.5</v>
      </c>
      <c r="P2174" s="116">
        <v>370</v>
      </c>
      <c r="Q2174" s="116">
        <v>369.05</v>
      </c>
      <c r="R2174">
        <v>58980</v>
      </c>
    </row>
    <row r="2175" spans="1:18" x14ac:dyDescent="0.25">
      <c r="A2175" s="170">
        <v>45245</v>
      </c>
      <c r="B2175" s="116">
        <v>344.8</v>
      </c>
      <c r="C2175" s="116">
        <v>340.5</v>
      </c>
      <c r="D2175" s="116">
        <v>332.65</v>
      </c>
      <c r="E2175" s="116">
        <v>332.65</v>
      </c>
      <c r="F2175" s="116">
        <v>340.5</v>
      </c>
      <c r="G2175">
        <v>1741</v>
      </c>
      <c r="H2175" s="116"/>
      <c r="I2175" s="116"/>
      <c r="L2175" s="170">
        <v>45215</v>
      </c>
      <c r="M2175" s="116">
        <v>366.35</v>
      </c>
      <c r="N2175" s="116">
        <v>374.3</v>
      </c>
      <c r="O2175" s="116">
        <v>365</v>
      </c>
      <c r="P2175" s="116">
        <v>369.85</v>
      </c>
      <c r="Q2175" s="116">
        <v>366.35</v>
      </c>
      <c r="R2175">
        <v>88990</v>
      </c>
    </row>
    <row r="2176" spans="1:18" x14ac:dyDescent="0.25">
      <c r="A2176" s="170">
        <v>45246</v>
      </c>
      <c r="B2176" s="116">
        <v>349.2</v>
      </c>
      <c r="C2176" s="116">
        <v>343.5</v>
      </c>
      <c r="D2176" s="116">
        <v>338.65</v>
      </c>
      <c r="E2176" s="116">
        <v>340</v>
      </c>
      <c r="F2176" s="116">
        <v>343.5</v>
      </c>
      <c r="G2176">
        <v>11106</v>
      </c>
      <c r="H2176" s="116"/>
      <c r="I2176" s="116"/>
      <c r="L2176" s="170">
        <v>45216</v>
      </c>
      <c r="M2176" s="116">
        <v>373.45</v>
      </c>
      <c r="N2176" s="116">
        <v>378.65</v>
      </c>
      <c r="O2176" s="116">
        <v>368</v>
      </c>
      <c r="P2176" s="116">
        <v>368</v>
      </c>
      <c r="Q2176" s="116">
        <v>373.45</v>
      </c>
      <c r="R2176">
        <v>74519</v>
      </c>
    </row>
    <row r="2177" spans="1:18" x14ac:dyDescent="0.25">
      <c r="A2177" s="170">
        <v>45247</v>
      </c>
      <c r="B2177" s="116">
        <v>342.95</v>
      </c>
      <c r="C2177" s="116">
        <v>330.4</v>
      </c>
      <c r="D2177" s="116">
        <v>327.75</v>
      </c>
      <c r="E2177" s="116">
        <v>342.95</v>
      </c>
      <c r="F2177" s="116">
        <v>330.4</v>
      </c>
      <c r="G2177">
        <v>10242</v>
      </c>
      <c r="H2177" s="116"/>
      <c r="I2177" s="116"/>
      <c r="L2177" s="170">
        <v>45217</v>
      </c>
      <c r="M2177" s="116">
        <v>371.85</v>
      </c>
      <c r="N2177" s="116">
        <v>375</v>
      </c>
      <c r="O2177" s="116">
        <v>365.3</v>
      </c>
      <c r="P2177" s="116">
        <v>374</v>
      </c>
      <c r="Q2177" s="116">
        <v>371.85</v>
      </c>
      <c r="R2177">
        <v>65722</v>
      </c>
    </row>
    <row r="2178" spans="1:18" x14ac:dyDescent="0.25">
      <c r="A2178" s="170">
        <v>45250</v>
      </c>
      <c r="B2178" s="116">
        <v>338.05</v>
      </c>
      <c r="C2178" s="116">
        <v>334.95</v>
      </c>
      <c r="D2178" s="116">
        <v>332.75</v>
      </c>
      <c r="E2178" s="116">
        <v>338.05</v>
      </c>
      <c r="F2178" s="116">
        <v>334.95</v>
      </c>
      <c r="G2178">
        <v>1354</v>
      </c>
      <c r="H2178" s="116"/>
      <c r="I2178" s="116"/>
      <c r="L2178" s="170">
        <v>45218</v>
      </c>
      <c r="M2178" s="116">
        <v>365.55</v>
      </c>
      <c r="N2178" s="116">
        <v>373.25</v>
      </c>
      <c r="O2178" s="116">
        <v>359.1</v>
      </c>
      <c r="P2178" s="116">
        <v>370.45</v>
      </c>
      <c r="Q2178" s="116">
        <v>365.55</v>
      </c>
      <c r="R2178">
        <v>95107</v>
      </c>
    </row>
    <row r="2179" spans="1:18" x14ac:dyDescent="0.25">
      <c r="A2179" s="170">
        <v>45251</v>
      </c>
      <c r="B2179" s="116">
        <v>339.9</v>
      </c>
      <c r="C2179" s="116">
        <v>333.25</v>
      </c>
      <c r="D2179" s="116">
        <v>327.35000000000002</v>
      </c>
      <c r="E2179" s="116">
        <v>339.9</v>
      </c>
      <c r="F2179" s="116">
        <v>333.25</v>
      </c>
      <c r="G2179">
        <v>10170</v>
      </c>
      <c r="H2179" s="116"/>
      <c r="I2179" s="116"/>
      <c r="L2179" s="170">
        <v>45219</v>
      </c>
      <c r="M2179" s="116">
        <v>365.75</v>
      </c>
      <c r="N2179" s="116">
        <v>384.7</v>
      </c>
      <c r="O2179" s="116">
        <v>363</v>
      </c>
      <c r="P2179" s="116">
        <v>365.6</v>
      </c>
      <c r="Q2179" s="116">
        <v>365.75</v>
      </c>
      <c r="R2179">
        <v>269567</v>
      </c>
    </row>
    <row r="2180" spans="1:18" x14ac:dyDescent="0.25">
      <c r="A2180" s="170">
        <v>45252</v>
      </c>
      <c r="B2180" s="116">
        <v>334.1</v>
      </c>
      <c r="C2180" s="116">
        <v>329.85</v>
      </c>
      <c r="D2180" s="116">
        <v>328</v>
      </c>
      <c r="E2180" s="116">
        <v>333.05</v>
      </c>
      <c r="F2180" s="116">
        <v>329.85</v>
      </c>
      <c r="G2180">
        <v>5509</v>
      </c>
      <c r="H2180" s="116"/>
      <c r="I2180" s="116"/>
      <c r="L2180" s="170">
        <v>45222</v>
      </c>
      <c r="M2180" s="116">
        <v>344.2</v>
      </c>
      <c r="N2180" s="116">
        <v>368.6</v>
      </c>
      <c r="O2180" s="116">
        <v>341</v>
      </c>
      <c r="P2180" s="116">
        <v>368.6</v>
      </c>
      <c r="Q2180" s="116">
        <v>344.2</v>
      </c>
      <c r="R2180">
        <v>118554</v>
      </c>
    </row>
    <row r="2181" spans="1:18" x14ac:dyDescent="0.25">
      <c r="A2181" s="170">
        <v>45253</v>
      </c>
      <c r="B2181" s="116">
        <v>334</v>
      </c>
      <c r="C2181" s="116">
        <v>330.65</v>
      </c>
      <c r="D2181" s="116">
        <v>329</v>
      </c>
      <c r="E2181" s="116">
        <v>329.15</v>
      </c>
      <c r="F2181" s="116">
        <v>330.65</v>
      </c>
      <c r="G2181">
        <v>4341</v>
      </c>
      <c r="H2181" s="116"/>
      <c r="I2181" s="116"/>
      <c r="L2181" s="170">
        <v>45224</v>
      </c>
      <c r="M2181" s="116">
        <v>339.7</v>
      </c>
      <c r="N2181" s="116">
        <v>353</v>
      </c>
      <c r="O2181" s="116">
        <v>334.35</v>
      </c>
      <c r="P2181" s="116">
        <v>346.9</v>
      </c>
      <c r="Q2181" s="116">
        <v>339.7</v>
      </c>
      <c r="R2181">
        <v>116306</v>
      </c>
    </row>
    <row r="2182" spans="1:18" x14ac:dyDescent="0.25">
      <c r="A2182" s="170">
        <v>45254</v>
      </c>
      <c r="B2182" s="116">
        <v>333.95</v>
      </c>
      <c r="C2182" s="116">
        <v>326.7</v>
      </c>
      <c r="D2182" s="116">
        <v>326.10000000000002</v>
      </c>
      <c r="E2182" s="116">
        <v>331.8</v>
      </c>
      <c r="F2182" s="116">
        <v>326.7</v>
      </c>
      <c r="G2182">
        <v>5435</v>
      </c>
      <c r="H2182" s="116"/>
      <c r="I2182" s="116"/>
      <c r="L2182" s="170">
        <v>45225</v>
      </c>
      <c r="M2182" s="116">
        <v>340.75</v>
      </c>
      <c r="N2182" s="116">
        <v>347.2</v>
      </c>
      <c r="O2182" s="116">
        <v>327.60000000000002</v>
      </c>
      <c r="P2182" s="116">
        <v>339.7</v>
      </c>
      <c r="Q2182" s="116">
        <v>340.75</v>
      </c>
      <c r="R2182">
        <v>198919</v>
      </c>
    </row>
    <row r="2183" spans="1:18" x14ac:dyDescent="0.25">
      <c r="A2183" s="170">
        <v>45258</v>
      </c>
      <c r="B2183" s="116">
        <v>330.2</v>
      </c>
      <c r="C2183" s="116">
        <v>324.35000000000002</v>
      </c>
      <c r="D2183" s="116">
        <v>323.25</v>
      </c>
      <c r="E2183" s="116">
        <v>327.10000000000002</v>
      </c>
      <c r="F2183" s="116">
        <v>324.35000000000002</v>
      </c>
      <c r="G2183">
        <v>8551</v>
      </c>
      <c r="H2183" s="116"/>
      <c r="I2183" s="116"/>
      <c r="L2183" s="170">
        <v>45226</v>
      </c>
      <c r="M2183" s="116">
        <v>352.1</v>
      </c>
      <c r="N2183" s="116">
        <v>354.5</v>
      </c>
      <c r="O2183" s="116">
        <v>343.55</v>
      </c>
      <c r="P2183" s="116">
        <v>344.35</v>
      </c>
      <c r="Q2183" s="116">
        <v>352.1</v>
      </c>
      <c r="R2183">
        <v>77362</v>
      </c>
    </row>
    <row r="2184" spans="1:18" x14ac:dyDescent="0.25">
      <c r="A2184" s="170">
        <v>45259</v>
      </c>
      <c r="B2184" s="116">
        <v>332.05</v>
      </c>
      <c r="C2184" s="116">
        <v>327.64999999999998</v>
      </c>
      <c r="D2184" s="116">
        <v>325.05</v>
      </c>
      <c r="E2184" s="116">
        <v>327.05</v>
      </c>
      <c r="F2184" s="116">
        <v>327.64999999999998</v>
      </c>
      <c r="G2184">
        <v>2467</v>
      </c>
      <c r="H2184" s="116"/>
      <c r="I2184" s="116"/>
      <c r="L2184" s="170">
        <v>45229</v>
      </c>
      <c r="M2184" s="116">
        <v>349.65</v>
      </c>
      <c r="N2184" s="116">
        <v>354.7</v>
      </c>
      <c r="O2184" s="116">
        <v>345</v>
      </c>
      <c r="P2184" s="116">
        <v>354.7</v>
      </c>
      <c r="Q2184" s="116">
        <v>349.65</v>
      </c>
      <c r="R2184">
        <v>42164</v>
      </c>
    </row>
    <row r="2185" spans="1:18" x14ac:dyDescent="0.25">
      <c r="A2185" s="170">
        <v>45260</v>
      </c>
      <c r="B2185" s="116">
        <v>336.9</v>
      </c>
      <c r="C2185" s="116">
        <v>332.1</v>
      </c>
      <c r="D2185" s="116">
        <v>325</v>
      </c>
      <c r="E2185" s="116">
        <v>327.05</v>
      </c>
      <c r="F2185" s="116">
        <v>332.1</v>
      </c>
      <c r="G2185">
        <v>11798</v>
      </c>
      <c r="H2185" s="116"/>
      <c r="I2185" s="116"/>
      <c r="L2185" s="170">
        <v>45230</v>
      </c>
      <c r="M2185" s="116">
        <v>347.05</v>
      </c>
      <c r="N2185" s="116">
        <v>355.65</v>
      </c>
      <c r="O2185" s="116">
        <v>344.8</v>
      </c>
      <c r="P2185" s="116">
        <v>351.4</v>
      </c>
      <c r="Q2185" s="116">
        <v>347.05</v>
      </c>
      <c r="R2185">
        <v>46513</v>
      </c>
    </row>
    <row r="2186" spans="1:18" x14ac:dyDescent="0.25">
      <c r="A2186" s="170">
        <v>45261</v>
      </c>
      <c r="B2186" s="116">
        <v>339.8</v>
      </c>
      <c r="C2186" s="116">
        <v>336.3</v>
      </c>
      <c r="D2186" s="116">
        <v>325.55</v>
      </c>
      <c r="E2186" s="116">
        <v>325.55</v>
      </c>
      <c r="F2186" s="116">
        <v>336.3</v>
      </c>
      <c r="G2186">
        <v>3508</v>
      </c>
      <c r="H2186" s="116"/>
      <c r="I2186" s="116"/>
      <c r="L2186" s="170">
        <v>45231</v>
      </c>
      <c r="M2186" s="116">
        <v>336.7</v>
      </c>
      <c r="N2186" s="116">
        <v>351.95</v>
      </c>
      <c r="O2186" s="116">
        <v>333.95</v>
      </c>
      <c r="P2186" s="116">
        <v>344.2</v>
      </c>
      <c r="Q2186" s="116">
        <v>336.7</v>
      </c>
      <c r="R2186">
        <v>73629</v>
      </c>
    </row>
    <row r="2187" spans="1:18" x14ac:dyDescent="0.25">
      <c r="A2187" s="170">
        <v>45264</v>
      </c>
      <c r="B2187" s="116">
        <v>346.05</v>
      </c>
      <c r="C2187" s="116">
        <v>340.05</v>
      </c>
      <c r="D2187" s="116">
        <v>336.7</v>
      </c>
      <c r="E2187" s="116">
        <v>346.05</v>
      </c>
      <c r="F2187" s="116">
        <v>340.05</v>
      </c>
      <c r="G2187">
        <v>1727</v>
      </c>
      <c r="H2187" s="116"/>
      <c r="I2187" s="116"/>
      <c r="L2187" s="170">
        <v>45232</v>
      </c>
      <c r="M2187" s="116">
        <v>344.15</v>
      </c>
      <c r="N2187" s="116">
        <v>345</v>
      </c>
      <c r="O2187" s="116">
        <v>340.4</v>
      </c>
      <c r="P2187" s="116">
        <v>340.4</v>
      </c>
      <c r="Q2187" s="116">
        <v>344.15</v>
      </c>
      <c r="R2187">
        <v>40821</v>
      </c>
    </row>
    <row r="2188" spans="1:18" x14ac:dyDescent="0.25">
      <c r="A2188" s="170">
        <v>45265</v>
      </c>
      <c r="B2188" s="116">
        <v>354.2</v>
      </c>
      <c r="C2188" s="116">
        <v>348</v>
      </c>
      <c r="D2188" s="116">
        <v>336.4</v>
      </c>
      <c r="E2188" s="116">
        <v>343</v>
      </c>
      <c r="F2188" s="116">
        <v>348</v>
      </c>
      <c r="G2188">
        <v>29310</v>
      </c>
      <c r="H2188" s="116"/>
      <c r="I2188" s="116"/>
      <c r="L2188" s="170">
        <v>45233</v>
      </c>
      <c r="M2188" s="116">
        <v>348.1</v>
      </c>
      <c r="N2188" s="116">
        <v>350.75</v>
      </c>
      <c r="O2188" s="116">
        <v>341.5</v>
      </c>
      <c r="P2188" s="116">
        <v>341.9</v>
      </c>
      <c r="Q2188" s="116">
        <v>348.1</v>
      </c>
      <c r="R2188">
        <v>59482</v>
      </c>
    </row>
    <row r="2189" spans="1:18" x14ac:dyDescent="0.25">
      <c r="A2189" s="170">
        <v>45266</v>
      </c>
      <c r="B2189" s="116">
        <v>363</v>
      </c>
      <c r="C2189" s="116">
        <v>356.5</v>
      </c>
      <c r="D2189" s="116">
        <v>353.95</v>
      </c>
      <c r="E2189" s="116">
        <v>355</v>
      </c>
      <c r="F2189" s="116">
        <v>356.5</v>
      </c>
      <c r="G2189">
        <v>15145</v>
      </c>
      <c r="H2189" s="116"/>
      <c r="I2189" s="116"/>
      <c r="L2189" s="170">
        <v>45236</v>
      </c>
      <c r="M2189" s="116">
        <v>329</v>
      </c>
      <c r="N2189" s="116">
        <v>341.55</v>
      </c>
      <c r="O2189" s="116">
        <v>327.05</v>
      </c>
      <c r="P2189" s="116">
        <v>341.55</v>
      </c>
      <c r="Q2189" s="116">
        <v>329</v>
      </c>
      <c r="R2189">
        <v>222400</v>
      </c>
    </row>
    <row r="2190" spans="1:18" x14ac:dyDescent="0.25">
      <c r="A2190" s="170">
        <v>45267</v>
      </c>
      <c r="B2190" s="116">
        <v>359.75</v>
      </c>
      <c r="C2190" s="116">
        <v>352.35</v>
      </c>
      <c r="D2190" s="116">
        <v>348.5</v>
      </c>
      <c r="E2190" s="116">
        <v>355.25</v>
      </c>
      <c r="F2190" s="116">
        <v>352.35</v>
      </c>
      <c r="G2190">
        <v>9151</v>
      </c>
      <c r="H2190" s="116"/>
      <c r="I2190" s="116"/>
      <c r="L2190" s="170">
        <v>45237</v>
      </c>
      <c r="M2190" s="116">
        <v>334.45</v>
      </c>
      <c r="N2190" s="116">
        <v>336.6</v>
      </c>
      <c r="O2190" s="116">
        <v>329</v>
      </c>
      <c r="P2190" s="116">
        <v>333.95</v>
      </c>
      <c r="Q2190" s="116">
        <v>334.45</v>
      </c>
      <c r="R2190">
        <v>70439</v>
      </c>
    </row>
    <row r="2191" spans="1:18" x14ac:dyDescent="0.25">
      <c r="A2191" s="170">
        <v>45268</v>
      </c>
      <c r="B2191" s="116">
        <v>358.65</v>
      </c>
      <c r="C2191" s="116">
        <v>351.85</v>
      </c>
      <c r="D2191" s="116">
        <v>346.85</v>
      </c>
      <c r="E2191" s="116">
        <v>352.35</v>
      </c>
      <c r="F2191" s="116">
        <v>351.85</v>
      </c>
      <c r="G2191">
        <v>10957</v>
      </c>
      <c r="H2191" s="116"/>
      <c r="I2191" s="116"/>
      <c r="L2191" s="170">
        <v>45238</v>
      </c>
      <c r="M2191" s="116">
        <v>337.55</v>
      </c>
      <c r="N2191" s="116">
        <v>342</v>
      </c>
      <c r="O2191" s="116">
        <v>332.05</v>
      </c>
      <c r="P2191" s="116">
        <v>337</v>
      </c>
      <c r="Q2191" s="116">
        <v>337.55</v>
      </c>
      <c r="R2191">
        <v>70095</v>
      </c>
    </row>
    <row r="2192" spans="1:18" x14ac:dyDescent="0.25">
      <c r="A2192" s="170">
        <v>45271</v>
      </c>
      <c r="B2192" s="116">
        <v>372</v>
      </c>
      <c r="C2192" s="116">
        <v>369.95</v>
      </c>
      <c r="D2192" s="116">
        <v>351</v>
      </c>
      <c r="E2192" s="116">
        <v>352</v>
      </c>
      <c r="F2192" s="116">
        <v>369.95</v>
      </c>
      <c r="G2192">
        <v>4411</v>
      </c>
      <c r="H2192" s="116"/>
      <c r="I2192" s="116"/>
      <c r="L2192" s="170">
        <v>45239</v>
      </c>
      <c r="M2192" s="116">
        <v>331.6</v>
      </c>
      <c r="N2192" s="116">
        <v>341</v>
      </c>
      <c r="O2192" s="116">
        <v>329</v>
      </c>
      <c r="P2192" s="116">
        <v>340.2</v>
      </c>
      <c r="Q2192" s="116">
        <v>331.6</v>
      </c>
      <c r="R2192">
        <v>50324</v>
      </c>
    </row>
    <row r="2193" spans="1:18" x14ac:dyDescent="0.25">
      <c r="A2193" s="170">
        <v>45272</v>
      </c>
      <c r="B2193" s="116">
        <v>373.35</v>
      </c>
      <c r="C2193" s="116">
        <v>362.9</v>
      </c>
      <c r="D2193" s="116">
        <v>362</v>
      </c>
      <c r="E2193" s="116">
        <v>372.75</v>
      </c>
      <c r="F2193" s="116">
        <v>362.9</v>
      </c>
      <c r="G2193">
        <v>7950</v>
      </c>
      <c r="H2193" s="116"/>
      <c r="I2193" s="116"/>
      <c r="L2193" s="170">
        <v>45240</v>
      </c>
      <c r="M2193" s="116">
        <v>331.1</v>
      </c>
      <c r="N2193" s="116">
        <v>335</v>
      </c>
      <c r="O2193" s="116">
        <v>329.1</v>
      </c>
      <c r="P2193" s="116">
        <v>331.6</v>
      </c>
      <c r="Q2193" s="116">
        <v>331.1</v>
      </c>
      <c r="R2193">
        <v>48789</v>
      </c>
    </row>
    <row r="2194" spans="1:18" x14ac:dyDescent="0.25">
      <c r="A2194" s="170">
        <v>45273</v>
      </c>
      <c r="B2194" s="116">
        <v>374.95</v>
      </c>
      <c r="C2194" s="116">
        <v>358.1</v>
      </c>
      <c r="D2194" s="116">
        <v>357.9</v>
      </c>
      <c r="E2194" s="116">
        <v>374.95</v>
      </c>
      <c r="F2194" s="116">
        <v>358.1</v>
      </c>
      <c r="G2194">
        <v>1447</v>
      </c>
      <c r="H2194" s="116"/>
      <c r="I2194" s="116"/>
      <c r="L2194" s="170">
        <v>45242</v>
      </c>
      <c r="M2194" s="116">
        <v>335.35</v>
      </c>
      <c r="N2194" s="116">
        <v>338.05</v>
      </c>
      <c r="O2194" s="116">
        <v>330.55</v>
      </c>
      <c r="P2194" s="116">
        <v>333.75</v>
      </c>
      <c r="Q2194" s="116">
        <v>335.35</v>
      </c>
      <c r="R2194">
        <v>35843</v>
      </c>
    </row>
    <row r="2195" spans="1:18" x14ac:dyDescent="0.25">
      <c r="A2195" s="170">
        <v>45274</v>
      </c>
      <c r="B2195" s="116">
        <v>370.8</v>
      </c>
      <c r="C2195" s="116">
        <v>354.2</v>
      </c>
      <c r="D2195" s="116">
        <v>353.1</v>
      </c>
      <c r="E2195" s="116">
        <v>370.8</v>
      </c>
      <c r="F2195" s="116">
        <v>354.2</v>
      </c>
      <c r="G2195">
        <v>1610</v>
      </c>
      <c r="H2195" s="116"/>
      <c r="I2195" s="116"/>
      <c r="L2195" s="170">
        <v>45243</v>
      </c>
      <c r="M2195" s="116">
        <v>339.4</v>
      </c>
      <c r="N2195" s="116">
        <v>341.65</v>
      </c>
      <c r="O2195" s="116">
        <v>330.7</v>
      </c>
      <c r="P2195" s="116">
        <v>336.9</v>
      </c>
      <c r="Q2195" s="116">
        <v>339.4</v>
      </c>
      <c r="R2195">
        <v>43069</v>
      </c>
    </row>
    <row r="2196" spans="1:18" x14ac:dyDescent="0.25">
      <c r="A2196" s="170">
        <v>45275</v>
      </c>
      <c r="B2196" s="116">
        <v>356.9</v>
      </c>
      <c r="C2196" s="116">
        <v>351.2</v>
      </c>
      <c r="D2196" s="116">
        <v>349.15</v>
      </c>
      <c r="E2196" s="116">
        <v>354.25</v>
      </c>
      <c r="F2196" s="116">
        <v>351.2</v>
      </c>
      <c r="G2196">
        <v>7401</v>
      </c>
      <c r="H2196" s="116"/>
      <c r="I2196" s="116"/>
      <c r="L2196" s="170">
        <v>45245</v>
      </c>
      <c r="M2196" s="116">
        <v>340.3</v>
      </c>
      <c r="N2196" s="116">
        <v>346</v>
      </c>
      <c r="O2196" s="116">
        <v>336.3</v>
      </c>
      <c r="P2196" s="116">
        <v>341</v>
      </c>
      <c r="Q2196" s="116">
        <v>340.3</v>
      </c>
      <c r="R2196">
        <v>35482</v>
      </c>
    </row>
    <row r="2197" spans="1:18" x14ac:dyDescent="0.25">
      <c r="A2197" s="170">
        <v>45278</v>
      </c>
      <c r="B2197" s="116">
        <v>361.05</v>
      </c>
      <c r="C2197" s="116">
        <v>352.75</v>
      </c>
      <c r="D2197" s="116">
        <v>348.55</v>
      </c>
      <c r="E2197" s="116">
        <v>355.4</v>
      </c>
      <c r="F2197" s="116">
        <v>352.75</v>
      </c>
      <c r="G2197">
        <v>7973</v>
      </c>
      <c r="H2197" s="116"/>
      <c r="I2197" s="116"/>
      <c r="L2197" s="170">
        <v>45246</v>
      </c>
      <c r="M2197" s="116">
        <v>344.15</v>
      </c>
      <c r="N2197" s="116">
        <v>349</v>
      </c>
      <c r="O2197" s="116">
        <v>338.5</v>
      </c>
      <c r="P2197" s="116">
        <v>342.05</v>
      </c>
      <c r="Q2197" s="116">
        <v>344.15</v>
      </c>
      <c r="R2197">
        <v>47139</v>
      </c>
    </row>
    <row r="2198" spans="1:18" x14ac:dyDescent="0.25">
      <c r="A2198" s="170">
        <v>45279</v>
      </c>
      <c r="B2198" s="116">
        <v>355.05</v>
      </c>
      <c r="C2198" s="116">
        <v>350.25</v>
      </c>
      <c r="D2198" s="116">
        <v>350</v>
      </c>
      <c r="E2198" s="116">
        <v>352.15</v>
      </c>
      <c r="F2198" s="116">
        <v>350.25</v>
      </c>
      <c r="G2198">
        <v>10916</v>
      </c>
      <c r="H2198" s="116"/>
      <c r="I2198" s="116"/>
      <c r="L2198" s="170">
        <v>45247</v>
      </c>
      <c r="M2198" s="116">
        <v>331.1</v>
      </c>
      <c r="N2198" s="116">
        <v>342.5</v>
      </c>
      <c r="O2198" s="116">
        <v>327.8</v>
      </c>
      <c r="P2198" s="116">
        <v>340.75</v>
      </c>
      <c r="Q2198" s="116">
        <v>331.1</v>
      </c>
      <c r="R2198">
        <v>205208</v>
      </c>
    </row>
    <row r="2199" spans="1:18" x14ac:dyDescent="0.25">
      <c r="A2199" s="170">
        <v>45280</v>
      </c>
      <c r="B2199" s="116">
        <v>370.85</v>
      </c>
      <c r="C2199" s="116">
        <v>349.15</v>
      </c>
      <c r="D2199" s="116">
        <v>343.1</v>
      </c>
      <c r="E2199" s="116">
        <v>350.25</v>
      </c>
      <c r="F2199" s="116">
        <v>349.15</v>
      </c>
      <c r="G2199">
        <v>11936</v>
      </c>
      <c r="H2199" s="116"/>
      <c r="I2199" s="116"/>
      <c r="L2199" s="170">
        <v>45250</v>
      </c>
      <c r="M2199" s="116">
        <v>334.5</v>
      </c>
      <c r="N2199" s="116">
        <v>337</v>
      </c>
      <c r="O2199" s="116">
        <v>332.8</v>
      </c>
      <c r="P2199" s="116">
        <v>332.8</v>
      </c>
      <c r="Q2199" s="116">
        <v>334.5</v>
      </c>
      <c r="R2199">
        <v>41209</v>
      </c>
    </row>
    <row r="2200" spans="1:18" x14ac:dyDescent="0.25">
      <c r="A2200" s="170">
        <v>45281</v>
      </c>
      <c r="B2200" s="116">
        <v>358.35</v>
      </c>
      <c r="C2200" s="116">
        <v>356.2</v>
      </c>
      <c r="D2200" s="116">
        <v>344.95</v>
      </c>
      <c r="E2200" s="116">
        <v>345</v>
      </c>
      <c r="F2200" s="116">
        <v>356.2</v>
      </c>
      <c r="G2200">
        <v>2279</v>
      </c>
      <c r="H2200" s="116"/>
      <c r="I2200" s="116"/>
      <c r="L2200" s="170">
        <v>45251</v>
      </c>
      <c r="M2200" s="116">
        <v>333.05</v>
      </c>
      <c r="N2200" s="116">
        <v>337.8</v>
      </c>
      <c r="O2200" s="116">
        <v>331</v>
      </c>
      <c r="P2200" s="116">
        <v>336.2</v>
      </c>
      <c r="Q2200" s="116">
        <v>333.05</v>
      </c>
      <c r="R2200">
        <v>43102</v>
      </c>
    </row>
    <row r="2201" spans="1:18" x14ac:dyDescent="0.25">
      <c r="A2201" s="170">
        <v>45282</v>
      </c>
      <c r="B2201" s="116">
        <v>363.35</v>
      </c>
      <c r="C2201" s="116">
        <v>355.65</v>
      </c>
      <c r="D2201" s="116">
        <v>348.75</v>
      </c>
      <c r="E2201" s="116">
        <v>363.35</v>
      </c>
      <c r="F2201" s="116">
        <v>355.65</v>
      </c>
      <c r="G2201">
        <v>8308</v>
      </c>
      <c r="H2201" s="116"/>
      <c r="I2201" s="116"/>
      <c r="L2201" s="170">
        <v>45252</v>
      </c>
      <c r="M2201" s="116">
        <v>329.3</v>
      </c>
      <c r="N2201" s="116">
        <v>334.35</v>
      </c>
      <c r="O2201" s="116">
        <v>328</v>
      </c>
      <c r="P2201" s="116">
        <v>332</v>
      </c>
      <c r="Q2201" s="116">
        <v>329.3</v>
      </c>
      <c r="R2201">
        <v>39969</v>
      </c>
    </row>
    <row r="2202" spans="1:18" x14ac:dyDescent="0.25">
      <c r="A2202" s="170">
        <v>45286</v>
      </c>
      <c r="B2202" s="116">
        <v>362.05</v>
      </c>
      <c r="C2202" s="116">
        <v>352.2</v>
      </c>
      <c r="D2202" s="116">
        <v>350.6</v>
      </c>
      <c r="E2202" s="116">
        <v>354.15</v>
      </c>
      <c r="F2202" s="116">
        <v>352.2</v>
      </c>
      <c r="G2202">
        <v>8377</v>
      </c>
      <c r="H2202" s="116"/>
      <c r="I2202" s="116"/>
      <c r="L2202" s="170">
        <v>45253</v>
      </c>
      <c r="M2202" s="116">
        <v>330.8</v>
      </c>
      <c r="N2202" s="116">
        <v>332.9</v>
      </c>
      <c r="O2202" s="116">
        <v>329.35</v>
      </c>
      <c r="P2202" s="116">
        <v>330.95</v>
      </c>
      <c r="Q2202" s="116">
        <v>330.8</v>
      </c>
      <c r="R2202">
        <v>26177</v>
      </c>
    </row>
    <row r="2203" spans="1:18" x14ac:dyDescent="0.25">
      <c r="A2203" s="170">
        <v>45287</v>
      </c>
      <c r="B2203" s="116">
        <v>366.2</v>
      </c>
      <c r="C2203" s="116">
        <v>358.7</v>
      </c>
      <c r="D2203" s="116">
        <v>356.4</v>
      </c>
      <c r="E2203" s="116">
        <v>359.25</v>
      </c>
      <c r="F2203" s="116">
        <v>358.7</v>
      </c>
      <c r="G2203">
        <v>4376</v>
      </c>
      <c r="H2203" s="116"/>
      <c r="I2203" s="116"/>
      <c r="L2203" s="170">
        <v>45254</v>
      </c>
      <c r="M2203" s="116">
        <v>327.05</v>
      </c>
      <c r="N2203" s="116">
        <v>334.05</v>
      </c>
      <c r="O2203" s="116">
        <v>326</v>
      </c>
      <c r="P2203" s="116">
        <v>332.5</v>
      </c>
      <c r="Q2203" s="116">
        <v>327.05</v>
      </c>
      <c r="R2203">
        <v>49089</v>
      </c>
    </row>
    <row r="2204" spans="1:18" x14ac:dyDescent="0.25">
      <c r="A2204" s="170">
        <v>45288</v>
      </c>
      <c r="B2204" s="116">
        <v>363.25</v>
      </c>
      <c r="C2204" s="116">
        <v>356.65</v>
      </c>
      <c r="D2204" s="116">
        <v>354.9</v>
      </c>
      <c r="E2204" s="116">
        <v>362.85</v>
      </c>
      <c r="F2204" s="116">
        <v>356.65</v>
      </c>
      <c r="G2204">
        <v>978</v>
      </c>
      <c r="H2204" s="116"/>
      <c r="I2204" s="116"/>
      <c r="L2204" s="170">
        <v>45258</v>
      </c>
      <c r="M2204" s="116">
        <v>325.05</v>
      </c>
      <c r="N2204" s="116">
        <v>329.45</v>
      </c>
      <c r="O2204" s="116">
        <v>323.14999999999998</v>
      </c>
      <c r="P2204" s="116">
        <v>327.75</v>
      </c>
      <c r="Q2204" s="116">
        <v>325.05</v>
      </c>
      <c r="R2204">
        <v>47969</v>
      </c>
    </row>
    <row r="2205" spans="1:18" x14ac:dyDescent="0.25">
      <c r="A2205" s="170">
        <v>45289</v>
      </c>
      <c r="B2205" s="116">
        <v>357.9</v>
      </c>
      <c r="C2205" s="116">
        <v>352.6</v>
      </c>
      <c r="D2205" s="116">
        <v>348.55</v>
      </c>
      <c r="E2205" s="116">
        <v>354.95</v>
      </c>
      <c r="F2205" s="116">
        <v>352.6</v>
      </c>
      <c r="G2205">
        <v>5687</v>
      </c>
      <c r="H2205" s="116"/>
      <c r="I2205" s="116"/>
      <c r="L2205" s="170">
        <v>45259</v>
      </c>
      <c r="M2205" s="116">
        <v>327.14999999999998</v>
      </c>
      <c r="N2205" s="116">
        <v>331.55</v>
      </c>
      <c r="O2205" s="116">
        <v>325.10000000000002</v>
      </c>
      <c r="P2205" s="116">
        <v>325.8</v>
      </c>
      <c r="Q2205" s="116">
        <v>327.14999999999998</v>
      </c>
      <c r="R2205">
        <v>37698</v>
      </c>
    </row>
    <row r="2206" spans="1:18" x14ac:dyDescent="0.25">
      <c r="A2206" s="170">
        <v>45292</v>
      </c>
      <c r="B2206" s="116">
        <v>358.75</v>
      </c>
      <c r="C2206" s="116">
        <v>355.65</v>
      </c>
      <c r="D2206" s="116">
        <v>353</v>
      </c>
      <c r="E2206" s="116">
        <v>355.8</v>
      </c>
      <c r="F2206" s="116">
        <v>355.65</v>
      </c>
      <c r="G2206">
        <v>4191</v>
      </c>
      <c r="H2206" s="116"/>
      <c r="I2206" s="116"/>
      <c r="L2206" s="170">
        <v>45260</v>
      </c>
      <c r="M2206" s="116">
        <v>333.3</v>
      </c>
      <c r="N2206" s="116">
        <v>337.4</v>
      </c>
      <c r="O2206" s="116">
        <v>324.89999999999998</v>
      </c>
      <c r="P2206" s="116">
        <v>328</v>
      </c>
      <c r="Q2206" s="116">
        <v>333.3</v>
      </c>
      <c r="R2206">
        <v>70472</v>
      </c>
    </row>
    <row r="2207" spans="1:18" x14ac:dyDescent="0.25">
      <c r="A2207" s="170">
        <v>45293</v>
      </c>
      <c r="B2207" s="116">
        <v>357</v>
      </c>
      <c r="C2207" s="116">
        <v>351.9</v>
      </c>
      <c r="D2207" s="116">
        <v>342.95</v>
      </c>
      <c r="E2207" s="116">
        <v>354</v>
      </c>
      <c r="F2207" s="116">
        <v>351.9</v>
      </c>
      <c r="G2207">
        <v>11922</v>
      </c>
      <c r="H2207" s="116"/>
      <c r="I2207" s="116"/>
      <c r="L2207" s="170">
        <v>45261</v>
      </c>
      <c r="M2207" s="116">
        <v>336.4</v>
      </c>
      <c r="N2207" s="116">
        <v>339.45</v>
      </c>
      <c r="O2207" s="116">
        <v>332.85</v>
      </c>
      <c r="P2207" s="116">
        <v>334.95</v>
      </c>
      <c r="Q2207" s="116">
        <v>336.4</v>
      </c>
      <c r="R2207">
        <v>51401</v>
      </c>
    </row>
    <row r="2208" spans="1:18" x14ac:dyDescent="0.25">
      <c r="A2208" s="170">
        <v>45294</v>
      </c>
      <c r="B2208" s="116">
        <v>354.2</v>
      </c>
      <c r="C2208" s="116">
        <v>353</v>
      </c>
      <c r="D2208" s="116">
        <v>347.8</v>
      </c>
      <c r="E2208" s="116">
        <v>352.65</v>
      </c>
      <c r="F2208" s="116">
        <v>353</v>
      </c>
      <c r="G2208">
        <v>6941</v>
      </c>
      <c r="H2208" s="116"/>
      <c r="I2208" s="116"/>
      <c r="L2208" s="170">
        <v>45264</v>
      </c>
      <c r="M2208" s="116">
        <v>339.95</v>
      </c>
      <c r="N2208" s="116">
        <v>341.45</v>
      </c>
      <c r="O2208" s="116">
        <v>335.55</v>
      </c>
      <c r="P2208" s="116">
        <v>338.25</v>
      </c>
      <c r="Q2208" s="116">
        <v>339.95</v>
      </c>
      <c r="R2208">
        <v>53247</v>
      </c>
    </row>
    <row r="2209" spans="1:18" x14ac:dyDescent="0.25">
      <c r="A2209" s="170">
        <v>45295</v>
      </c>
      <c r="B2209" s="116">
        <v>366</v>
      </c>
      <c r="C2209" s="116">
        <v>359.8</v>
      </c>
      <c r="D2209" s="116">
        <v>352.05</v>
      </c>
      <c r="E2209" s="116">
        <v>359.6</v>
      </c>
      <c r="F2209" s="116">
        <v>359.8</v>
      </c>
      <c r="G2209">
        <v>14198</v>
      </c>
      <c r="H2209" s="116"/>
      <c r="I2209" s="116"/>
      <c r="L2209" s="170">
        <v>45265</v>
      </c>
      <c r="M2209" s="116">
        <v>348.3</v>
      </c>
      <c r="N2209" s="116">
        <v>354.95</v>
      </c>
      <c r="O2209" s="116">
        <v>335.8</v>
      </c>
      <c r="P2209" s="116">
        <v>339.95</v>
      </c>
      <c r="Q2209" s="116">
        <v>348.3</v>
      </c>
      <c r="R2209">
        <v>228789</v>
      </c>
    </row>
    <row r="2210" spans="1:18" x14ac:dyDescent="0.25">
      <c r="A2210" s="170">
        <v>45296</v>
      </c>
      <c r="B2210" s="116">
        <v>366</v>
      </c>
      <c r="C2210" s="116">
        <v>360.1</v>
      </c>
      <c r="D2210" s="116">
        <v>348.5</v>
      </c>
      <c r="E2210" s="116">
        <v>366</v>
      </c>
      <c r="F2210" s="116">
        <v>360.1</v>
      </c>
      <c r="G2210">
        <v>17387</v>
      </c>
      <c r="H2210" s="116"/>
      <c r="I2210" s="116"/>
      <c r="L2210" s="170">
        <v>45266</v>
      </c>
      <c r="M2210" s="116">
        <v>355.3</v>
      </c>
      <c r="N2210" s="116">
        <v>364</v>
      </c>
      <c r="O2210" s="116">
        <v>353.8</v>
      </c>
      <c r="P2210" s="116">
        <v>353.8</v>
      </c>
      <c r="Q2210" s="116">
        <v>355.3</v>
      </c>
      <c r="R2210">
        <v>266799</v>
      </c>
    </row>
    <row r="2211" spans="1:18" x14ac:dyDescent="0.25">
      <c r="A2211" s="170">
        <v>45299</v>
      </c>
      <c r="B2211" s="116">
        <v>368</v>
      </c>
      <c r="C2211" s="116">
        <v>360.7</v>
      </c>
      <c r="D2211" s="116">
        <v>351.3</v>
      </c>
      <c r="E2211" s="116">
        <v>361.2</v>
      </c>
      <c r="F2211" s="116">
        <v>360.7</v>
      </c>
      <c r="G2211">
        <v>3278</v>
      </c>
      <c r="H2211" s="116"/>
      <c r="I2211" s="116"/>
      <c r="L2211" s="170">
        <v>45267</v>
      </c>
      <c r="M2211" s="116">
        <v>351.1</v>
      </c>
      <c r="N2211" s="116">
        <v>357.5</v>
      </c>
      <c r="O2211" s="116">
        <v>348</v>
      </c>
      <c r="P2211" s="116">
        <v>357.5</v>
      </c>
      <c r="Q2211" s="116">
        <v>351.1</v>
      </c>
      <c r="R2211">
        <v>80768</v>
      </c>
    </row>
    <row r="2212" spans="1:18" x14ac:dyDescent="0.25">
      <c r="A2212" s="170">
        <v>45300</v>
      </c>
      <c r="B2212" s="116">
        <v>366.65</v>
      </c>
      <c r="C2212" s="116">
        <v>359.45</v>
      </c>
      <c r="D2212" s="116">
        <v>355.95</v>
      </c>
      <c r="E2212" s="116">
        <v>360.55</v>
      </c>
      <c r="F2212" s="116">
        <v>359.45</v>
      </c>
      <c r="G2212">
        <v>7936</v>
      </c>
      <c r="H2212" s="116"/>
      <c r="I2212" s="116"/>
      <c r="L2212" s="170">
        <v>45268</v>
      </c>
      <c r="M2212" s="116">
        <v>352.2</v>
      </c>
      <c r="N2212" s="116">
        <v>358.3</v>
      </c>
      <c r="O2212" s="116">
        <v>345.95</v>
      </c>
      <c r="P2212" s="116">
        <v>349.15</v>
      </c>
      <c r="Q2212" s="116">
        <v>352.2</v>
      </c>
      <c r="R2212">
        <v>82740</v>
      </c>
    </row>
    <row r="2213" spans="1:18" x14ac:dyDescent="0.25">
      <c r="A2213" s="170">
        <v>45301</v>
      </c>
      <c r="B2213" s="116">
        <v>366.25</v>
      </c>
      <c r="C2213" s="116">
        <v>365</v>
      </c>
      <c r="D2213" s="116">
        <v>354.45</v>
      </c>
      <c r="E2213" s="116">
        <v>357.95</v>
      </c>
      <c r="F2213" s="116">
        <v>365</v>
      </c>
      <c r="G2213">
        <v>3853</v>
      </c>
      <c r="H2213" s="116"/>
      <c r="I2213" s="116"/>
      <c r="L2213" s="170">
        <v>45271</v>
      </c>
      <c r="M2213" s="116">
        <v>369.45</v>
      </c>
      <c r="N2213" s="116">
        <v>372.05</v>
      </c>
      <c r="O2213" s="116">
        <v>348.9</v>
      </c>
      <c r="P2213" s="116">
        <v>348.9</v>
      </c>
      <c r="Q2213" s="116">
        <v>369.45</v>
      </c>
      <c r="R2213">
        <v>206734</v>
      </c>
    </row>
    <row r="2214" spans="1:18" x14ac:dyDescent="0.25">
      <c r="A2214" s="170">
        <v>45302</v>
      </c>
      <c r="B2214" s="116">
        <v>375</v>
      </c>
      <c r="C2214" s="116">
        <v>363.25</v>
      </c>
      <c r="D2214" s="116">
        <v>363</v>
      </c>
      <c r="E2214" s="116">
        <v>371.55</v>
      </c>
      <c r="F2214" s="116">
        <v>363.25</v>
      </c>
      <c r="G2214">
        <v>4256</v>
      </c>
      <c r="H2214" s="116"/>
      <c r="I2214" s="116"/>
      <c r="L2214" s="170">
        <v>45272</v>
      </c>
      <c r="M2214" s="116">
        <v>363.45</v>
      </c>
      <c r="N2214" s="116">
        <v>372.85</v>
      </c>
      <c r="O2214" s="116">
        <v>362</v>
      </c>
      <c r="P2214" s="116">
        <v>371.55</v>
      </c>
      <c r="Q2214" s="116">
        <v>363.45</v>
      </c>
      <c r="R2214">
        <v>58753</v>
      </c>
    </row>
    <row r="2215" spans="1:18" x14ac:dyDescent="0.25">
      <c r="A2215" s="170">
        <v>45303</v>
      </c>
      <c r="B2215" s="116">
        <v>370.55</v>
      </c>
      <c r="C2215" s="116">
        <v>364.1</v>
      </c>
      <c r="D2215" s="116">
        <v>359.55</v>
      </c>
      <c r="E2215" s="116">
        <v>364.1</v>
      </c>
      <c r="F2215" s="116">
        <v>364.1</v>
      </c>
      <c r="G2215">
        <v>2875</v>
      </c>
      <c r="H2215" s="116"/>
      <c r="I2215" s="116"/>
      <c r="L2215" s="170">
        <v>45273</v>
      </c>
      <c r="M2215" s="116">
        <v>358.7</v>
      </c>
      <c r="N2215" s="116">
        <v>365.3</v>
      </c>
      <c r="O2215" s="116">
        <v>357.5</v>
      </c>
      <c r="P2215" s="116">
        <v>365.3</v>
      </c>
      <c r="Q2215" s="116">
        <v>358.7</v>
      </c>
      <c r="R2215">
        <v>44384</v>
      </c>
    </row>
    <row r="2216" spans="1:18" x14ac:dyDescent="0.25">
      <c r="A2216" s="170">
        <v>45306</v>
      </c>
      <c r="B2216" s="116">
        <v>382</v>
      </c>
      <c r="C2216" s="116">
        <v>373.2</v>
      </c>
      <c r="D2216" s="116">
        <v>360.7</v>
      </c>
      <c r="E2216" s="116">
        <v>364.25</v>
      </c>
      <c r="F2216" s="116">
        <v>373.2</v>
      </c>
      <c r="G2216">
        <v>12832</v>
      </c>
      <c r="H2216" s="116"/>
      <c r="I2216" s="116"/>
      <c r="L2216" s="170">
        <v>45274</v>
      </c>
      <c r="M2216" s="116">
        <v>354.1</v>
      </c>
      <c r="N2216" s="116">
        <v>365.8</v>
      </c>
      <c r="O2216" s="116">
        <v>352.4</v>
      </c>
      <c r="P2216" s="116">
        <v>360.5</v>
      </c>
      <c r="Q2216" s="116">
        <v>354.1</v>
      </c>
      <c r="R2216">
        <v>53564</v>
      </c>
    </row>
    <row r="2217" spans="1:18" x14ac:dyDescent="0.25">
      <c r="A2217" s="170">
        <v>45307</v>
      </c>
      <c r="B2217" s="116">
        <v>382</v>
      </c>
      <c r="C2217" s="116">
        <v>360.7</v>
      </c>
      <c r="D2217" s="116">
        <v>358.8</v>
      </c>
      <c r="E2217" s="116">
        <v>374.05</v>
      </c>
      <c r="F2217" s="116">
        <v>360.7</v>
      </c>
      <c r="G2217">
        <v>5893</v>
      </c>
      <c r="H2217" s="116"/>
      <c r="I2217" s="116"/>
      <c r="L2217" s="170">
        <v>45275</v>
      </c>
      <c r="M2217" s="116">
        <v>351.5</v>
      </c>
      <c r="N2217" s="116">
        <v>357.8</v>
      </c>
      <c r="O2217" s="116">
        <v>348.15</v>
      </c>
      <c r="P2217" s="116">
        <v>357.8</v>
      </c>
      <c r="Q2217" s="116">
        <v>351.5</v>
      </c>
      <c r="R2217">
        <v>36757</v>
      </c>
    </row>
    <row r="2218" spans="1:18" x14ac:dyDescent="0.25">
      <c r="A2218" s="170">
        <v>45308</v>
      </c>
      <c r="B2218" s="116">
        <v>364.7</v>
      </c>
      <c r="C2218" s="116">
        <v>359.75</v>
      </c>
      <c r="D2218" s="116">
        <v>358.25</v>
      </c>
      <c r="E2218" s="116">
        <v>361.2</v>
      </c>
      <c r="F2218" s="116">
        <v>359.75</v>
      </c>
      <c r="G2218">
        <v>2154</v>
      </c>
      <c r="H2218" s="116"/>
      <c r="I2218" s="116"/>
      <c r="L2218" s="170">
        <v>45278</v>
      </c>
      <c r="M2218" s="116">
        <v>351.15</v>
      </c>
      <c r="N2218" s="116">
        <v>362.5</v>
      </c>
      <c r="O2218" s="116">
        <v>349.15</v>
      </c>
      <c r="P2218" s="116">
        <v>354.3</v>
      </c>
      <c r="Q2218" s="116">
        <v>351.15</v>
      </c>
      <c r="R2218">
        <v>88778</v>
      </c>
    </row>
    <row r="2219" spans="1:18" x14ac:dyDescent="0.25">
      <c r="A2219" s="170">
        <v>45309</v>
      </c>
      <c r="B2219" s="116">
        <v>363.15</v>
      </c>
      <c r="C2219" s="116">
        <v>356.3</v>
      </c>
      <c r="D2219" s="116">
        <v>345.15</v>
      </c>
      <c r="E2219" s="116">
        <v>360.15</v>
      </c>
      <c r="F2219" s="116">
        <v>356.3</v>
      </c>
      <c r="G2219">
        <v>11727</v>
      </c>
      <c r="H2219" s="116"/>
      <c r="I2219" s="116"/>
      <c r="L2219" s="170">
        <v>45279</v>
      </c>
      <c r="M2219" s="116">
        <v>350.95</v>
      </c>
      <c r="N2219" s="116">
        <v>355.95</v>
      </c>
      <c r="O2219" s="116">
        <v>350.05</v>
      </c>
      <c r="P2219" s="116">
        <v>352</v>
      </c>
      <c r="Q2219" s="116">
        <v>350.95</v>
      </c>
      <c r="R2219">
        <v>34319</v>
      </c>
    </row>
    <row r="2220" spans="1:18" x14ac:dyDescent="0.25">
      <c r="A2220" s="170">
        <v>45310</v>
      </c>
      <c r="B2220" s="116">
        <v>373.05</v>
      </c>
      <c r="C2220" s="116">
        <v>367.2</v>
      </c>
      <c r="D2220" s="116">
        <v>361.05</v>
      </c>
      <c r="E2220" s="116">
        <v>363.45</v>
      </c>
      <c r="F2220" s="116">
        <v>367.2</v>
      </c>
      <c r="G2220">
        <v>4743</v>
      </c>
      <c r="H2220" s="116"/>
      <c r="I2220" s="116"/>
      <c r="L2220" s="170">
        <v>45280</v>
      </c>
      <c r="M2220" s="116">
        <v>350.95</v>
      </c>
      <c r="N2220" s="116">
        <v>370.2</v>
      </c>
      <c r="O2220" s="116">
        <v>343.35</v>
      </c>
      <c r="P2220" s="116">
        <v>351.1</v>
      </c>
      <c r="Q2220" s="116">
        <v>350.95</v>
      </c>
      <c r="R2220">
        <v>348121</v>
      </c>
    </row>
    <row r="2221" spans="1:18" x14ac:dyDescent="0.25">
      <c r="A2221" s="170">
        <v>45311</v>
      </c>
      <c r="B2221" s="116">
        <v>376.05</v>
      </c>
      <c r="C2221" s="116">
        <v>355.95</v>
      </c>
      <c r="D2221" s="116">
        <v>338.2</v>
      </c>
      <c r="E2221" s="116">
        <v>372.75</v>
      </c>
      <c r="F2221" s="116">
        <v>355.95</v>
      </c>
      <c r="G2221">
        <v>36358</v>
      </c>
      <c r="H2221" s="116"/>
      <c r="I2221" s="116"/>
      <c r="L2221" s="170">
        <v>45281</v>
      </c>
      <c r="M2221" s="116">
        <v>354.9</v>
      </c>
      <c r="N2221" s="116">
        <v>359.4</v>
      </c>
      <c r="O2221" s="116">
        <v>343</v>
      </c>
      <c r="P2221" s="116">
        <v>347</v>
      </c>
      <c r="Q2221" s="116">
        <v>354.9</v>
      </c>
      <c r="R2221">
        <v>79992</v>
      </c>
    </row>
    <row r="2222" spans="1:18" x14ac:dyDescent="0.25">
      <c r="A2222" s="170">
        <v>45314</v>
      </c>
      <c r="B2222" s="116">
        <v>350.6</v>
      </c>
      <c r="C2222" s="116">
        <v>330.15</v>
      </c>
      <c r="D2222" s="116">
        <v>325.2</v>
      </c>
      <c r="E2222" s="116">
        <v>350.5</v>
      </c>
      <c r="F2222" s="116">
        <v>330.15</v>
      </c>
      <c r="G2222">
        <v>39360</v>
      </c>
      <c r="H2222" s="116"/>
      <c r="I2222" s="116"/>
      <c r="L2222" s="170">
        <v>45282</v>
      </c>
      <c r="M2222" s="116">
        <v>355.95</v>
      </c>
      <c r="N2222" s="116">
        <v>359.5</v>
      </c>
      <c r="O2222" s="116">
        <v>348.55</v>
      </c>
      <c r="P2222" s="116">
        <v>358.4</v>
      </c>
      <c r="Q2222" s="116">
        <v>355.95</v>
      </c>
      <c r="R2222">
        <v>52011</v>
      </c>
    </row>
    <row r="2223" spans="1:18" x14ac:dyDescent="0.25">
      <c r="A2223" s="170">
        <v>45315</v>
      </c>
      <c r="B2223" s="116">
        <v>335.9</v>
      </c>
      <c r="C2223" s="116">
        <v>326.85000000000002</v>
      </c>
      <c r="D2223" s="116">
        <v>324</v>
      </c>
      <c r="E2223" s="116">
        <v>335.75</v>
      </c>
      <c r="F2223" s="116">
        <v>326.85000000000002</v>
      </c>
      <c r="G2223">
        <v>8340</v>
      </c>
      <c r="H2223" s="116"/>
      <c r="I2223" s="116"/>
      <c r="L2223" s="170">
        <v>45286</v>
      </c>
      <c r="M2223" s="116">
        <v>354.3</v>
      </c>
      <c r="N2223" s="116">
        <v>362.95</v>
      </c>
      <c r="O2223" s="116">
        <v>352.9</v>
      </c>
      <c r="P2223" s="116">
        <v>357.75</v>
      </c>
      <c r="Q2223" s="116">
        <v>354.3</v>
      </c>
      <c r="R2223">
        <v>79972</v>
      </c>
    </row>
    <row r="2224" spans="1:18" x14ac:dyDescent="0.25">
      <c r="A2224" s="170">
        <v>45316</v>
      </c>
      <c r="B2224" s="116">
        <v>335.2</v>
      </c>
      <c r="C2224" s="116">
        <v>330.75</v>
      </c>
      <c r="D2224" s="116">
        <v>327</v>
      </c>
      <c r="E2224" s="116">
        <v>327</v>
      </c>
      <c r="F2224" s="116">
        <v>330.75</v>
      </c>
      <c r="G2224">
        <v>5446</v>
      </c>
      <c r="H2224" s="116"/>
      <c r="I2224" s="116"/>
      <c r="L2224" s="170">
        <v>45287</v>
      </c>
      <c r="M2224" s="116">
        <v>358.9</v>
      </c>
      <c r="N2224" s="116">
        <v>366.7</v>
      </c>
      <c r="O2224" s="116">
        <v>355.75</v>
      </c>
      <c r="P2224" s="116">
        <v>356.1</v>
      </c>
      <c r="Q2224" s="116">
        <v>358.9</v>
      </c>
      <c r="R2224">
        <v>159076</v>
      </c>
    </row>
    <row r="2225" spans="1:18" x14ac:dyDescent="0.25">
      <c r="A2225" s="170">
        <v>45320</v>
      </c>
      <c r="B2225" s="116">
        <v>340</v>
      </c>
      <c r="C2225" s="116">
        <v>338.3</v>
      </c>
      <c r="D2225" s="116">
        <v>333.3</v>
      </c>
      <c r="E2225" s="116">
        <v>337.4</v>
      </c>
      <c r="F2225" s="116">
        <v>338.3</v>
      </c>
      <c r="G2225">
        <v>2941</v>
      </c>
      <c r="H2225" s="116"/>
      <c r="I2225" s="116"/>
      <c r="L2225" s="170">
        <v>45288</v>
      </c>
      <c r="M2225" s="116">
        <v>356.05</v>
      </c>
      <c r="N2225" s="116">
        <v>362.85</v>
      </c>
      <c r="O2225" s="116">
        <v>355.05</v>
      </c>
      <c r="P2225" s="116">
        <v>360.7</v>
      </c>
      <c r="Q2225" s="116">
        <v>356.05</v>
      </c>
      <c r="R2225">
        <v>44323</v>
      </c>
    </row>
    <row r="2226" spans="1:18" x14ac:dyDescent="0.25">
      <c r="A2226" s="170">
        <v>45321</v>
      </c>
      <c r="B2226" s="116">
        <v>352.7</v>
      </c>
      <c r="C2226" s="116">
        <v>345.75</v>
      </c>
      <c r="D2226" s="116">
        <v>340.05</v>
      </c>
      <c r="E2226" s="116">
        <v>343.35</v>
      </c>
      <c r="F2226" s="116">
        <v>345.75</v>
      </c>
      <c r="G2226">
        <v>5741</v>
      </c>
      <c r="H2226" s="116"/>
      <c r="I2226" s="116"/>
      <c r="L2226" s="170">
        <v>45289</v>
      </c>
      <c r="M2226" s="116">
        <v>354.15</v>
      </c>
      <c r="N2226" s="116">
        <v>359.4</v>
      </c>
      <c r="O2226" s="116">
        <v>347</v>
      </c>
      <c r="P2226" s="116">
        <v>357</v>
      </c>
      <c r="Q2226" s="116">
        <v>354.15</v>
      </c>
      <c r="R2226">
        <v>56954</v>
      </c>
    </row>
    <row r="2227" spans="1:18" x14ac:dyDescent="0.25">
      <c r="A2227" s="170">
        <v>45322</v>
      </c>
      <c r="B2227" s="116">
        <v>353</v>
      </c>
      <c r="C2227" s="116">
        <v>346.5</v>
      </c>
      <c r="D2227" s="116">
        <v>342.25</v>
      </c>
      <c r="E2227" s="116">
        <v>346.1</v>
      </c>
      <c r="F2227" s="116">
        <v>346.5</v>
      </c>
      <c r="G2227">
        <v>10450</v>
      </c>
      <c r="H2227" s="116"/>
      <c r="I2227" s="116"/>
      <c r="L2227" s="170">
        <v>45292</v>
      </c>
      <c r="M2227" s="116">
        <v>355.55</v>
      </c>
      <c r="N2227" s="116">
        <v>359</v>
      </c>
      <c r="O2227" s="116">
        <v>352.85</v>
      </c>
      <c r="P2227" s="116">
        <v>353.1</v>
      </c>
      <c r="Q2227" s="116">
        <v>355.55</v>
      </c>
      <c r="R2227">
        <v>41156</v>
      </c>
    </row>
    <row r="2228" spans="1:18" x14ac:dyDescent="0.25">
      <c r="A2228" s="170">
        <v>45323</v>
      </c>
      <c r="B2228" s="116">
        <v>346</v>
      </c>
      <c r="C2228" s="116">
        <v>341.9</v>
      </c>
      <c r="D2228" s="116">
        <v>338.7</v>
      </c>
      <c r="E2228" s="116">
        <v>346</v>
      </c>
      <c r="F2228" s="116">
        <v>341.9</v>
      </c>
      <c r="G2228">
        <v>11626</v>
      </c>
      <c r="H2228" s="116"/>
      <c r="I2228" s="116"/>
      <c r="L2228" s="170">
        <v>45293</v>
      </c>
      <c r="M2228" s="116">
        <v>351.4</v>
      </c>
      <c r="N2228" s="116">
        <v>357.1</v>
      </c>
      <c r="O2228" s="116">
        <v>345.35</v>
      </c>
      <c r="P2228" s="116">
        <v>355.55</v>
      </c>
      <c r="Q2228" s="116">
        <v>351.4</v>
      </c>
      <c r="R2228">
        <v>57688</v>
      </c>
    </row>
    <row r="2229" spans="1:18" x14ac:dyDescent="0.25">
      <c r="A2229" s="170">
        <v>45324</v>
      </c>
      <c r="B2229" s="116">
        <v>342.55</v>
      </c>
      <c r="C2229" s="116">
        <v>336.15</v>
      </c>
      <c r="D2229" s="116">
        <v>334.35</v>
      </c>
      <c r="E2229" s="116">
        <v>342.55</v>
      </c>
      <c r="F2229" s="116">
        <v>336.15</v>
      </c>
      <c r="G2229">
        <v>10604</v>
      </c>
      <c r="H2229" s="116"/>
      <c r="I2229" s="116"/>
      <c r="L2229" s="170">
        <v>45294</v>
      </c>
      <c r="M2229" s="116">
        <v>352.55</v>
      </c>
      <c r="N2229" s="116">
        <v>354.2</v>
      </c>
      <c r="O2229" s="116">
        <v>348.8</v>
      </c>
      <c r="P2229" s="116">
        <v>351.1</v>
      </c>
      <c r="Q2229" s="116">
        <v>352.55</v>
      </c>
      <c r="R2229">
        <v>41267</v>
      </c>
    </row>
    <row r="2230" spans="1:18" x14ac:dyDescent="0.25">
      <c r="A2230" s="170">
        <v>45327</v>
      </c>
      <c r="B2230" s="116">
        <v>343.05</v>
      </c>
      <c r="C2230" s="116">
        <v>326.5</v>
      </c>
      <c r="D2230" s="116">
        <v>322.39999999999998</v>
      </c>
      <c r="E2230" s="116">
        <v>339.3</v>
      </c>
      <c r="F2230" s="116">
        <v>326.5</v>
      </c>
      <c r="G2230">
        <v>7463</v>
      </c>
      <c r="H2230" s="116"/>
      <c r="I2230" s="116"/>
      <c r="L2230" s="170">
        <v>45295</v>
      </c>
      <c r="M2230" s="116">
        <v>359.05</v>
      </c>
      <c r="N2230" s="116">
        <v>366.65</v>
      </c>
      <c r="O2230" s="116">
        <v>352.55</v>
      </c>
      <c r="P2230" s="116">
        <v>354.35</v>
      </c>
      <c r="Q2230" s="116">
        <v>359.05</v>
      </c>
      <c r="R2230">
        <v>95199</v>
      </c>
    </row>
    <row r="2231" spans="1:18" x14ac:dyDescent="0.25">
      <c r="A2231" s="170">
        <v>45328</v>
      </c>
      <c r="B2231" s="116">
        <v>340</v>
      </c>
      <c r="C2231" s="116">
        <v>337.5</v>
      </c>
      <c r="D2231" s="116">
        <v>326.14999999999998</v>
      </c>
      <c r="E2231" s="116">
        <v>333.05</v>
      </c>
      <c r="F2231" s="116">
        <v>337.5</v>
      </c>
      <c r="G2231">
        <v>7386</v>
      </c>
      <c r="H2231" s="116"/>
      <c r="I2231" s="116"/>
      <c r="L2231" s="170">
        <v>45296</v>
      </c>
      <c r="M2231" s="116">
        <v>361.2</v>
      </c>
      <c r="N2231" s="116">
        <v>368</v>
      </c>
      <c r="O2231" s="116">
        <v>355.05</v>
      </c>
      <c r="P2231" s="116">
        <v>364.25</v>
      </c>
      <c r="Q2231" s="116">
        <v>361.2</v>
      </c>
      <c r="R2231">
        <v>77614</v>
      </c>
    </row>
    <row r="2232" spans="1:18" x14ac:dyDescent="0.25">
      <c r="A2232" s="170">
        <v>45329</v>
      </c>
      <c r="B2232" s="116">
        <v>339.35</v>
      </c>
      <c r="C2232" s="116">
        <v>336.15</v>
      </c>
      <c r="D2232" s="116">
        <v>332.8</v>
      </c>
      <c r="E2232" s="116">
        <v>337.5</v>
      </c>
      <c r="F2232" s="116">
        <v>336.15</v>
      </c>
      <c r="G2232">
        <v>6739</v>
      </c>
      <c r="H2232" s="116"/>
      <c r="I2232" s="116"/>
      <c r="L2232" s="170">
        <v>45299</v>
      </c>
      <c r="M2232" s="116">
        <v>360</v>
      </c>
      <c r="N2232" s="116">
        <v>368.15</v>
      </c>
      <c r="O2232" s="116">
        <v>350.25</v>
      </c>
      <c r="P2232" s="116">
        <v>363.05</v>
      </c>
      <c r="Q2232" s="116">
        <v>360</v>
      </c>
      <c r="R2232">
        <v>61599</v>
      </c>
    </row>
    <row r="2233" spans="1:18" x14ac:dyDescent="0.25">
      <c r="A2233" s="170">
        <v>45330</v>
      </c>
      <c r="B2233" s="116">
        <v>339.5</v>
      </c>
      <c r="C2233" s="116">
        <v>333.55</v>
      </c>
      <c r="D2233" s="116">
        <v>330.55</v>
      </c>
      <c r="E2233" s="116">
        <v>330.55</v>
      </c>
      <c r="F2233" s="116">
        <v>333.55</v>
      </c>
      <c r="G2233">
        <v>1696</v>
      </c>
      <c r="H2233" s="116"/>
      <c r="I2233" s="116"/>
      <c r="L2233" s="170">
        <v>45300</v>
      </c>
      <c r="M2233" s="116">
        <v>360.1</v>
      </c>
      <c r="N2233" s="116">
        <v>367.2</v>
      </c>
      <c r="O2233" s="116">
        <v>357.05</v>
      </c>
      <c r="P2233" s="116">
        <v>361.8</v>
      </c>
      <c r="Q2233" s="116">
        <v>360.1</v>
      </c>
      <c r="R2233">
        <v>46110</v>
      </c>
    </row>
    <row r="2234" spans="1:18" x14ac:dyDescent="0.25">
      <c r="A2234" s="170">
        <v>45331</v>
      </c>
      <c r="B2234" s="116">
        <v>336.45</v>
      </c>
      <c r="C2234" s="116">
        <v>329.45</v>
      </c>
      <c r="D2234" s="116">
        <v>328.1</v>
      </c>
      <c r="E2234" s="116">
        <v>328.6</v>
      </c>
      <c r="F2234" s="116">
        <v>329.45</v>
      </c>
      <c r="G2234">
        <v>3321</v>
      </c>
      <c r="H2234" s="116"/>
      <c r="I2234" s="116"/>
      <c r="L2234" s="170">
        <v>45301</v>
      </c>
      <c r="M2234" s="116">
        <v>365.15</v>
      </c>
      <c r="N2234" s="116">
        <v>366.5</v>
      </c>
      <c r="O2234" s="116">
        <v>354.15</v>
      </c>
      <c r="P2234" s="116">
        <v>360</v>
      </c>
      <c r="Q2234" s="116">
        <v>365.15</v>
      </c>
      <c r="R2234">
        <v>86224</v>
      </c>
    </row>
    <row r="2235" spans="1:18" x14ac:dyDescent="0.25">
      <c r="A2235" s="170">
        <v>45334</v>
      </c>
      <c r="B2235" s="116">
        <v>331.1</v>
      </c>
      <c r="C2235" s="116">
        <v>324.55</v>
      </c>
      <c r="D2235" s="116">
        <v>322.5</v>
      </c>
      <c r="E2235" s="116">
        <v>325.14999999999998</v>
      </c>
      <c r="F2235" s="116">
        <v>324.55</v>
      </c>
      <c r="G2235">
        <v>7460</v>
      </c>
      <c r="H2235" s="116"/>
      <c r="I2235" s="116"/>
      <c r="L2235" s="170">
        <v>45302</v>
      </c>
      <c r="M2235" s="116">
        <v>364.4</v>
      </c>
      <c r="N2235" s="116">
        <v>375.5</v>
      </c>
      <c r="O2235" s="116">
        <v>362.4</v>
      </c>
      <c r="P2235" s="116">
        <v>367</v>
      </c>
      <c r="Q2235" s="116">
        <v>364.4</v>
      </c>
      <c r="R2235">
        <v>83962</v>
      </c>
    </row>
    <row r="2236" spans="1:18" x14ac:dyDescent="0.25">
      <c r="A2236" s="170">
        <v>45335</v>
      </c>
      <c r="B2236" s="116">
        <v>325.95</v>
      </c>
      <c r="C2236" s="116">
        <v>324.75</v>
      </c>
      <c r="D2236" s="116">
        <v>314.7</v>
      </c>
      <c r="E2236" s="116">
        <v>325.05</v>
      </c>
      <c r="F2236" s="116">
        <v>324.75</v>
      </c>
      <c r="G2236">
        <v>6261</v>
      </c>
      <c r="H2236" s="116"/>
      <c r="I2236" s="116"/>
      <c r="L2236" s="170">
        <v>45303</v>
      </c>
      <c r="M2236" s="116">
        <v>364.25</v>
      </c>
      <c r="N2236" s="116">
        <v>371</v>
      </c>
      <c r="O2236" s="116">
        <v>359</v>
      </c>
      <c r="P2236" s="116">
        <v>366.9</v>
      </c>
      <c r="Q2236" s="116">
        <v>364.25</v>
      </c>
      <c r="R2236">
        <v>51237</v>
      </c>
    </row>
    <row r="2237" spans="1:18" x14ac:dyDescent="0.25">
      <c r="A2237" s="170">
        <v>45336</v>
      </c>
      <c r="B2237" s="116">
        <v>328</v>
      </c>
      <c r="C2237" s="116">
        <v>323.89999999999998</v>
      </c>
      <c r="D2237" s="116">
        <v>320.05</v>
      </c>
      <c r="E2237" s="116">
        <v>322.5</v>
      </c>
      <c r="F2237" s="116">
        <v>323.89999999999998</v>
      </c>
      <c r="G2237">
        <v>4341</v>
      </c>
      <c r="H2237" s="116"/>
      <c r="I2237" s="116"/>
      <c r="L2237" s="170">
        <v>45306</v>
      </c>
      <c r="M2237" s="116">
        <v>374.2</v>
      </c>
      <c r="N2237" s="116">
        <v>383.3</v>
      </c>
      <c r="O2237" s="116">
        <v>361.05</v>
      </c>
      <c r="P2237" s="116">
        <v>365</v>
      </c>
      <c r="Q2237" s="116">
        <v>374.2</v>
      </c>
      <c r="R2237">
        <v>304833</v>
      </c>
    </row>
    <row r="2238" spans="1:18" x14ac:dyDescent="0.25">
      <c r="A2238" s="170">
        <v>45337</v>
      </c>
      <c r="B2238" s="116">
        <v>334</v>
      </c>
      <c r="C2238" s="116">
        <v>332</v>
      </c>
      <c r="D2238" s="116">
        <v>323.39999999999998</v>
      </c>
      <c r="E2238" s="116">
        <v>325</v>
      </c>
      <c r="F2238" s="116">
        <v>332</v>
      </c>
      <c r="G2238">
        <v>2967</v>
      </c>
      <c r="H2238" s="116"/>
      <c r="I2238" s="116"/>
      <c r="L2238" s="170">
        <v>45307</v>
      </c>
      <c r="M2238" s="116">
        <v>363.5</v>
      </c>
      <c r="N2238" s="116">
        <v>383</v>
      </c>
      <c r="O2238" s="116">
        <v>357.1</v>
      </c>
      <c r="P2238" s="116">
        <v>378.8</v>
      </c>
      <c r="Q2238" s="116">
        <v>363.5</v>
      </c>
      <c r="R2238">
        <v>172146</v>
      </c>
    </row>
    <row r="2239" spans="1:18" x14ac:dyDescent="0.25">
      <c r="A2239" s="170">
        <v>45338</v>
      </c>
      <c r="B2239" s="116">
        <v>335.55</v>
      </c>
      <c r="C2239" s="116">
        <v>329.5</v>
      </c>
      <c r="D2239" s="116">
        <v>326.5</v>
      </c>
      <c r="E2239" s="116">
        <v>332.3</v>
      </c>
      <c r="F2239" s="116">
        <v>329.5</v>
      </c>
      <c r="G2239">
        <v>4402</v>
      </c>
      <c r="H2239" s="116"/>
      <c r="I2239" s="116"/>
      <c r="L2239" s="170">
        <v>45308</v>
      </c>
      <c r="M2239" s="116">
        <v>359.5</v>
      </c>
      <c r="N2239" s="116">
        <v>365.3</v>
      </c>
      <c r="O2239" s="116">
        <v>357.95</v>
      </c>
      <c r="P2239" s="116">
        <v>363.5</v>
      </c>
      <c r="Q2239" s="116">
        <v>359.5</v>
      </c>
      <c r="R2239">
        <v>56737</v>
      </c>
    </row>
    <row r="2240" spans="1:18" x14ac:dyDescent="0.25">
      <c r="A2240" s="170">
        <v>45341</v>
      </c>
      <c r="B2240" s="116">
        <v>330</v>
      </c>
      <c r="C2240" s="116">
        <v>325.2</v>
      </c>
      <c r="D2240" s="116">
        <v>323</v>
      </c>
      <c r="E2240" s="116">
        <v>330</v>
      </c>
      <c r="F2240" s="116">
        <v>325.2</v>
      </c>
      <c r="G2240">
        <v>7329</v>
      </c>
      <c r="H2240" s="116"/>
      <c r="I2240" s="116"/>
      <c r="L2240" s="170">
        <v>45309</v>
      </c>
      <c r="M2240" s="116">
        <v>357.8</v>
      </c>
      <c r="N2240" s="116">
        <v>363.4</v>
      </c>
      <c r="O2240" s="116">
        <v>346.55</v>
      </c>
      <c r="P2240" s="116">
        <v>358.05</v>
      </c>
      <c r="Q2240" s="116">
        <v>357.8</v>
      </c>
      <c r="R2240">
        <v>61619</v>
      </c>
    </row>
    <row r="2241" spans="1:18" x14ac:dyDescent="0.25">
      <c r="A2241" s="170">
        <v>45342</v>
      </c>
      <c r="B2241" s="116">
        <v>338.75</v>
      </c>
      <c r="C2241" s="116">
        <v>337.2</v>
      </c>
      <c r="D2241" s="116">
        <v>326.05</v>
      </c>
      <c r="E2241" s="116">
        <v>332.05</v>
      </c>
      <c r="F2241" s="116">
        <v>337.2</v>
      </c>
      <c r="G2241">
        <v>5575</v>
      </c>
      <c r="H2241" s="116"/>
      <c r="I2241" s="116"/>
      <c r="L2241" s="170">
        <v>45310</v>
      </c>
      <c r="M2241" s="116">
        <v>366.8</v>
      </c>
      <c r="N2241" s="116">
        <v>372.9</v>
      </c>
      <c r="O2241" s="116">
        <v>359.6</v>
      </c>
      <c r="P2241" s="116">
        <v>359.6</v>
      </c>
      <c r="Q2241" s="116">
        <v>366.8</v>
      </c>
      <c r="R2241">
        <v>127145</v>
      </c>
    </row>
    <row r="2242" spans="1:18" x14ac:dyDescent="0.25">
      <c r="A2242" s="170">
        <v>45343</v>
      </c>
      <c r="B2242" s="116">
        <v>375.8</v>
      </c>
      <c r="C2242" s="116">
        <v>339.55</v>
      </c>
      <c r="D2242" s="116">
        <v>334.45</v>
      </c>
      <c r="E2242" s="116">
        <v>375.8</v>
      </c>
      <c r="F2242" s="116">
        <v>339.55</v>
      </c>
      <c r="G2242">
        <v>2996</v>
      </c>
      <c r="H2242" s="116"/>
      <c r="I2242" s="116"/>
      <c r="L2242" s="170">
        <v>45311</v>
      </c>
      <c r="M2242" s="116">
        <v>353.15</v>
      </c>
      <c r="N2242" s="116">
        <v>375.95</v>
      </c>
      <c r="O2242" s="116">
        <v>327.7</v>
      </c>
      <c r="P2242" s="116">
        <v>371</v>
      </c>
      <c r="Q2242" s="116">
        <v>353.15</v>
      </c>
      <c r="R2242">
        <v>333446</v>
      </c>
    </row>
    <row r="2243" spans="1:18" x14ac:dyDescent="0.25">
      <c r="A2243" s="170">
        <v>45344</v>
      </c>
      <c r="B2243" s="116">
        <v>348</v>
      </c>
      <c r="C2243" s="116">
        <v>346.25</v>
      </c>
      <c r="D2243" s="116">
        <v>335</v>
      </c>
      <c r="E2243" s="116">
        <v>346.35</v>
      </c>
      <c r="F2243" s="116">
        <v>346.25</v>
      </c>
      <c r="G2243">
        <v>13262</v>
      </c>
      <c r="H2243" s="116"/>
      <c r="I2243" s="116"/>
      <c r="L2243" s="170">
        <v>45314</v>
      </c>
      <c r="M2243" s="116">
        <v>329.85</v>
      </c>
      <c r="N2243" s="116">
        <v>352.2</v>
      </c>
      <c r="O2243" s="116">
        <v>326.25</v>
      </c>
      <c r="P2243" s="116">
        <v>350.95</v>
      </c>
      <c r="Q2243" s="116">
        <v>329.85</v>
      </c>
      <c r="R2243">
        <v>239212</v>
      </c>
    </row>
    <row r="2244" spans="1:18" x14ac:dyDescent="0.25">
      <c r="A2244" s="170">
        <v>45345</v>
      </c>
      <c r="B2244" s="116">
        <v>347.75</v>
      </c>
      <c r="C2244" s="116">
        <v>341.4</v>
      </c>
      <c r="D2244" s="116">
        <v>339.4</v>
      </c>
      <c r="E2244" s="116">
        <v>346.2</v>
      </c>
      <c r="F2244" s="116">
        <v>341.4</v>
      </c>
      <c r="G2244">
        <v>4983</v>
      </c>
      <c r="H2244" s="116"/>
      <c r="I2244" s="116"/>
      <c r="L2244" s="170">
        <v>45315</v>
      </c>
      <c r="M2244" s="116">
        <v>327.25</v>
      </c>
      <c r="N2244" s="116">
        <v>337.2</v>
      </c>
      <c r="O2244" s="116">
        <v>323.55</v>
      </c>
      <c r="P2244" s="116">
        <v>330</v>
      </c>
      <c r="Q2244" s="116">
        <v>327.25</v>
      </c>
      <c r="R2244">
        <v>103619</v>
      </c>
    </row>
    <row r="2245" spans="1:18" x14ac:dyDescent="0.25">
      <c r="A2245" s="170">
        <v>45348</v>
      </c>
      <c r="B2245" s="116">
        <v>345.85</v>
      </c>
      <c r="C2245" s="116">
        <v>344.25</v>
      </c>
      <c r="D2245" s="116">
        <v>335</v>
      </c>
      <c r="E2245" s="116">
        <v>335</v>
      </c>
      <c r="F2245" s="116">
        <v>344.25</v>
      </c>
      <c r="G2245">
        <v>2321</v>
      </c>
      <c r="H2245" s="116"/>
      <c r="I2245" s="116"/>
      <c r="L2245" s="170">
        <v>45316</v>
      </c>
      <c r="M2245" s="116">
        <v>330.95</v>
      </c>
      <c r="N2245" s="116">
        <v>335.65</v>
      </c>
      <c r="O2245" s="116">
        <v>326.85000000000002</v>
      </c>
      <c r="P2245" s="116">
        <v>327</v>
      </c>
      <c r="Q2245" s="116">
        <v>330.95</v>
      </c>
      <c r="R2245">
        <v>103268</v>
      </c>
    </row>
    <row r="2246" spans="1:18" x14ac:dyDescent="0.25">
      <c r="A2246" s="170">
        <v>45349</v>
      </c>
      <c r="B2246" s="116">
        <v>347.75</v>
      </c>
      <c r="C2246" s="116">
        <v>340.8</v>
      </c>
      <c r="D2246" s="116">
        <v>339.2</v>
      </c>
      <c r="E2246" s="116">
        <v>342.7</v>
      </c>
      <c r="F2246" s="116">
        <v>340.8</v>
      </c>
      <c r="G2246">
        <v>4134</v>
      </c>
      <c r="H2246" s="116"/>
      <c r="I2246" s="116"/>
      <c r="L2246" s="170">
        <v>45320</v>
      </c>
      <c r="M2246" s="116">
        <v>338.55</v>
      </c>
      <c r="N2246" s="116">
        <v>341.35</v>
      </c>
      <c r="O2246" s="116">
        <v>332.3</v>
      </c>
      <c r="P2246" s="116">
        <v>332.4</v>
      </c>
      <c r="Q2246" s="116">
        <v>338.55</v>
      </c>
      <c r="R2246">
        <v>99613</v>
      </c>
    </row>
    <row r="2247" spans="1:18" x14ac:dyDescent="0.25">
      <c r="A2247" s="170">
        <v>45350</v>
      </c>
      <c r="B2247" s="116">
        <v>342</v>
      </c>
      <c r="C2247" s="116">
        <v>330.1</v>
      </c>
      <c r="D2247" s="116">
        <v>325</v>
      </c>
      <c r="E2247" s="116">
        <v>338.55</v>
      </c>
      <c r="F2247" s="116">
        <v>330.1</v>
      </c>
      <c r="G2247">
        <v>7974</v>
      </c>
      <c r="H2247" s="116"/>
      <c r="I2247" s="116"/>
      <c r="L2247" s="170">
        <v>45321</v>
      </c>
      <c r="M2247" s="116">
        <v>345.25</v>
      </c>
      <c r="N2247" s="116">
        <v>354</v>
      </c>
      <c r="O2247" s="116">
        <v>338.55</v>
      </c>
      <c r="P2247" s="116">
        <v>338.55</v>
      </c>
      <c r="Q2247" s="116">
        <v>345.25</v>
      </c>
      <c r="R2247">
        <v>165805</v>
      </c>
    </row>
    <row r="2248" spans="1:18" x14ac:dyDescent="0.25">
      <c r="A2248" s="170">
        <v>45351</v>
      </c>
      <c r="B2248" s="116">
        <v>332.55</v>
      </c>
      <c r="C2248" s="116">
        <v>329.35</v>
      </c>
      <c r="D2248" s="116">
        <v>325</v>
      </c>
      <c r="E2248" s="116">
        <v>332.55</v>
      </c>
      <c r="F2248" s="116">
        <v>329.35</v>
      </c>
      <c r="G2248">
        <v>2552</v>
      </c>
      <c r="H2248" s="116"/>
      <c r="I2248" s="116"/>
      <c r="L2248" s="170">
        <v>45322</v>
      </c>
      <c r="M2248" s="116">
        <v>345.2</v>
      </c>
      <c r="N2248" s="116">
        <v>352.8</v>
      </c>
      <c r="O2248" s="116">
        <v>341.1</v>
      </c>
      <c r="P2248" s="116">
        <v>347.7</v>
      </c>
      <c r="Q2248" s="116">
        <v>345.2</v>
      </c>
      <c r="R2248">
        <v>74047</v>
      </c>
    </row>
    <row r="2249" spans="1:18" x14ac:dyDescent="0.25">
      <c r="A2249" s="170">
        <v>45352</v>
      </c>
      <c r="B2249" s="116">
        <v>332.45</v>
      </c>
      <c r="C2249" s="116">
        <v>331.75</v>
      </c>
      <c r="D2249" s="116">
        <v>329.05</v>
      </c>
      <c r="E2249" s="116">
        <v>331.1</v>
      </c>
      <c r="F2249" s="116">
        <v>331.75</v>
      </c>
      <c r="G2249">
        <v>3279</v>
      </c>
      <c r="H2249" s="116"/>
      <c r="I2249" s="116"/>
      <c r="L2249" s="170">
        <v>45323</v>
      </c>
      <c r="M2249" s="116">
        <v>341.3</v>
      </c>
      <c r="N2249" s="116">
        <v>347</v>
      </c>
      <c r="O2249" s="116">
        <v>339.25</v>
      </c>
      <c r="P2249" s="116">
        <v>343.55</v>
      </c>
      <c r="Q2249" s="116">
        <v>341.3</v>
      </c>
      <c r="R2249">
        <v>41501</v>
      </c>
    </row>
    <row r="2250" spans="1:18" x14ac:dyDescent="0.25">
      <c r="A2250" s="170">
        <v>45353</v>
      </c>
      <c r="B2250" s="116">
        <v>338.25</v>
      </c>
      <c r="C2250" s="116">
        <v>336.95</v>
      </c>
      <c r="D2250" s="116">
        <v>326</v>
      </c>
      <c r="E2250" s="116">
        <v>336.7</v>
      </c>
      <c r="F2250" s="116">
        <v>336.95</v>
      </c>
      <c r="G2250">
        <v>514</v>
      </c>
      <c r="H2250" s="116"/>
      <c r="I2250" s="116"/>
      <c r="L2250" s="170">
        <v>45324</v>
      </c>
      <c r="M2250" s="116">
        <v>336.85</v>
      </c>
      <c r="N2250" s="116">
        <v>343.05</v>
      </c>
      <c r="O2250" s="116">
        <v>335</v>
      </c>
      <c r="P2250" s="116">
        <v>343.05</v>
      </c>
      <c r="Q2250" s="116">
        <v>336.85</v>
      </c>
      <c r="R2250">
        <v>35872</v>
      </c>
    </row>
    <row r="2251" spans="1:18" x14ac:dyDescent="0.25">
      <c r="A2251" s="170">
        <v>45355</v>
      </c>
      <c r="B2251" s="116">
        <v>340.4</v>
      </c>
      <c r="C2251" s="116">
        <v>340.25</v>
      </c>
      <c r="D2251" s="116">
        <v>333.9</v>
      </c>
      <c r="E2251" s="116">
        <v>334.6</v>
      </c>
      <c r="F2251" s="116">
        <v>340.25</v>
      </c>
      <c r="G2251">
        <v>2047</v>
      </c>
      <c r="H2251" s="116"/>
      <c r="I2251" s="116"/>
      <c r="L2251" s="170">
        <v>45327</v>
      </c>
      <c r="M2251" s="116">
        <v>326.64999999999998</v>
      </c>
      <c r="N2251" s="116">
        <v>341.4</v>
      </c>
      <c r="O2251" s="116">
        <v>322.75</v>
      </c>
      <c r="P2251" s="116">
        <v>337.05</v>
      </c>
      <c r="Q2251" s="116">
        <v>326.64999999999998</v>
      </c>
      <c r="R2251">
        <v>92430</v>
      </c>
    </row>
    <row r="2252" spans="1:18" x14ac:dyDescent="0.25">
      <c r="A2252" s="170">
        <v>45356</v>
      </c>
      <c r="B2252" s="116">
        <v>347.9</v>
      </c>
      <c r="C2252" s="116">
        <v>347.55</v>
      </c>
      <c r="D2252" s="116">
        <v>333.55</v>
      </c>
      <c r="E2252" s="116">
        <v>339.15</v>
      </c>
      <c r="F2252" s="116">
        <v>347.55</v>
      </c>
      <c r="G2252">
        <v>14878</v>
      </c>
      <c r="H2252" s="116"/>
      <c r="I2252" s="116"/>
      <c r="L2252" s="170">
        <v>45328</v>
      </c>
      <c r="M2252" s="116">
        <v>337.35</v>
      </c>
      <c r="N2252" s="116">
        <v>340.45</v>
      </c>
      <c r="O2252" s="116">
        <v>326.05</v>
      </c>
      <c r="P2252" s="116">
        <v>328.3</v>
      </c>
      <c r="Q2252" s="116">
        <v>337.35</v>
      </c>
      <c r="R2252">
        <v>69274</v>
      </c>
    </row>
    <row r="2253" spans="1:18" x14ac:dyDescent="0.25">
      <c r="A2253" s="170">
        <v>45357</v>
      </c>
      <c r="B2253" s="116">
        <v>347.9</v>
      </c>
      <c r="C2253" s="116">
        <v>331.55</v>
      </c>
      <c r="D2253" s="116">
        <v>327.2</v>
      </c>
      <c r="E2253" s="116">
        <v>347.9</v>
      </c>
      <c r="F2253" s="116">
        <v>331.55</v>
      </c>
      <c r="G2253">
        <v>12563</v>
      </c>
      <c r="H2253" s="116"/>
      <c r="I2253" s="116"/>
      <c r="L2253" s="170">
        <v>45329</v>
      </c>
      <c r="M2253" s="116">
        <v>336.2</v>
      </c>
      <c r="N2253" s="116">
        <v>340.85</v>
      </c>
      <c r="O2253" s="116">
        <v>332</v>
      </c>
      <c r="P2253" s="116">
        <v>339.2</v>
      </c>
      <c r="Q2253" s="116">
        <v>336.2</v>
      </c>
      <c r="R2253">
        <v>32137</v>
      </c>
    </row>
    <row r="2254" spans="1:18" x14ac:dyDescent="0.25">
      <c r="A2254" s="170">
        <v>45358</v>
      </c>
      <c r="B2254" s="116">
        <v>338.2</v>
      </c>
      <c r="C2254" s="116">
        <v>334.5</v>
      </c>
      <c r="D2254" s="116">
        <v>332</v>
      </c>
      <c r="E2254" s="116">
        <v>338.2</v>
      </c>
      <c r="F2254" s="116">
        <v>334.5</v>
      </c>
      <c r="G2254">
        <v>1695</v>
      </c>
      <c r="H2254" s="116"/>
      <c r="I2254" s="116"/>
      <c r="L2254" s="170">
        <v>45330</v>
      </c>
      <c r="M2254" s="116">
        <v>333.7</v>
      </c>
      <c r="N2254" s="116">
        <v>336.15</v>
      </c>
      <c r="O2254" s="116">
        <v>331</v>
      </c>
      <c r="P2254" s="116">
        <v>334.1</v>
      </c>
      <c r="Q2254" s="116">
        <v>333.7</v>
      </c>
      <c r="R2254">
        <v>38196</v>
      </c>
    </row>
    <row r="2255" spans="1:18" x14ac:dyDescent="0.25">
      <c r="A2255" s="170">
        <v>45362</v>
      </c>
      <c r="B2255" s="116">
        <v>332.8</v>
      </c>
      <c r="C2255" s="116">
        <v>330.4</v>
      </c>
      <c r="D2255" s="116">
        <v>326</v>
      </c>
      <c r="E2255" s="116">
        <v>326.10000000000002</v>
      </c>
      <c r="F2255" s="116">
        <v>330.4</v>
      </c>
      <c r="G2255">
        <v>3522</v>
      </c>
      <c r="H2255" s="116"/>
      <c r="I2255" s="116"/>
      <c r="L2255" s="170">
        <v>45331</v>
      </c>
      <c r="M2255" s="116">
        <v>330.1</v>
      </c>
      <c r="N2255" s="116">
        <v>336</v>
      </c>
      <c r="O2255" s="116">
        <v>328</v>
      </c>
      <c r="P2255" s="116">
        <v>330.6</v>
      </c>
      <c r="Q2255" s="116">
        <v>330.1</v>
      </c>
      <c r="R2255">
        <v>68613</v>
      </c>
    </row>
    <row r="2256" spans="1:18" x14ac:dyDescent="0.25">
      <c r="A2256" s="170">
        <v>45363</v>
      </c>
      <c r="B2256" s="116">
        <v>336.25</v>
      </c>
      <c r="C2256" s="116">
        <v>328.35</v>
      </c>
      <c r="D2256" s="116">
        <v>322.75</v>
      </c>
      <c r="E2256" s="116">
        <v>330.6</v>
      </c>
      <c r="F2256" s="116">
        <v>328.35</v>
      </c>
      <c r="G2256">
        <v>6839</v>
      </c>
      <c r="H2256" s="116"/>
      <c r="I2256" s="116"/>
      <c r="L2256" s="170">
        <v>45334</v>
      </c>
      <c r="M2256" s="116">
        <v>323.64999999999998</v>
      </c>
      <c r="N2256" s="116">
        <v>333.6</v>
      </c>
      <c r="O2256" s="116">
        <v>321.3</v>
      </c>
      <c r="P2256" s="116">
        <v>330.1</v>
      </c>
      <c r="Q2256" s="116">
        <v>323.64999999999998</v>
      </c>
      <c r="R2256">
        <v>47709</v>
      </c>
    </row>
    <row r="2257" spans="1:18" x14ac:dyDescent="0.25">
      <c r="A2257" s="170">
        <v>45364</v>
      </c>
      <c r="B2257" s="116">
        <v>327.39999999999998</v>
      </c>
      <c r="C2257" s="116">
        <v>304.75</v>
      </c>
      <c r="D2257" s="116">
        <v>300.10000000000002</v>
      </c>
      <c r="E2257" s="116">
        <v>325.10000000000002</v>
      </c>
      <c r="F2257" s="116">
        <v>304.75</v>
      </c>
      <c r="G2257">
        <v>12958</v>
      </c>
      <c r="H2257" s="116"/>
      <c r="I2257" s="116"/>
      <c r="L2257" s="170">
        <v>45335</v>
      </c>
      <c r="M2257" s="116">
        <v>324.60000000000002</v>
      </c>
      <c r="N2257" s="116">
        <v>325.2</v>
      </c>
      <c r="O2257" s="116">
        <v>315.10000000000002</v>
      </c>
      <c r="P2257" s="116">
        <v>323.8</v>
      </c>
      <c r="Q2257" s="116">
        <v>324.60000000000002</v>
      </c>
      <c r="R2257">
        <v>37856</v>
      </c>
    </row>
    <row r="2258" spans="1:18" x14ac:dyDescent="0.25">
      <c r="A2258" s="170">
        <v>45365</v>
      </c>
      <c r="B2258" s="116">
        <v>320.10000000000002</v>
      </c>
      <c r="C2258" s="116">
        <v>318.10000000000002</v>
      </c>
      <c r="D2258" s="116">
        <v>300</v>
      </c>
      <c r="E2258" s="116">
        <v>304.05</v>
      </c>
      <c r="F2258" s="116">
        <v>318.10000000000002</v>
      </c>
      <c r="G2258">
        <v>4664</v>
      </c>
      <c r="H2258" s="116"/>
      <c r="I2258" s="116"/>
      <c r="L2258" s="170">
        <v>45336</v>
      </c>
      <c r="M2258" s="116">
        <v>323.45</v>
      </c>
      <c r="N2258" s="116">
        <v>327.85</v>
      </c>
      <c r="O2258" s="116">
        <v>321</v>
      </c>
      <c r="P2258" s="116">
        <v>324.60000000000002</v>
      </c>
      <c r="Q2258" s="116">
        <v>323.45</v>
      </c>
      <c r="R2258">
        <v>21747</v>
      </c>
    </row>
    <row r="2259" spans="1:18" x14ac:dyDescent="0.25">
      <c r="A2259" s="170">
        <v>45366</v>
      </c>
      <c r="B2259" s="116">
        <v>319.89999999999998</v>
      </c>
      <c r="C2259" s="116">
        <v>317.60000000000002</v>
      </c>
      <c r="D2259" s="116">
        <v>311.5</v>
      </c>
      <c r="E2259" s="116">
        <v>318.89999999999998</v>
      </c>
      <c r="F2259" s="116">
        <v>317.60000000000002</v>
      </c>
      <c r="G2259">
        <v>2884</v>
      </c>
      <c r="H2259" s="116"/>
      <c r="I2259" s="116"/>
      <c r="L2259" s="170">
        <v>45337</v>
      </c>
      <c r="M2259" s="116">
        <v>332</v>
      </c>
      <c r="N2259" s="116">
        <v>334.7</v>
      </c>
      <c r="O2259" s="116">
        <v>324.10000000000002</v>
      </c>
      <c r="P2259" s="116">
        <v>325.10000000000002</v>
      </c>
      <c r="Q2259" s="116">
        <v>332</v>
      </c>
      <c r="R2259">
        <v>44805</v>
      </c>
    </row>
    <row r="2260" spans="1:18" x14ac:dyDescent="0.25">
      <c r="A2260" s="170">
        <v>45369</v>
      </c>
      <c r="B2260" s="116">
        <v>318</v>
      </c>
      <c r="C2260" s="116">
        <v>312.55</v>
      </c>
      <c r="D2260" s="116">
        <v>310.85000000000002</v>
      </c>
      <c r="E2260" s="116">
        <v>311.3</v>
      </c>
      <c r="F2260" s="116">
        <v>312.55</v>
      </c>
      <c r="G2260">
        <v>7677</v>
      </c>
      <c r="H2260" s="116"/>
      <c r="I2260" s="116"/>
      <c r="L2260" s="170">
        <v>45338</v>
      </c>
      <c r="M2260" s="116">
        <v>328.8</v>
      </c>
      <c r="N2260" s="116">
        <v>335.6</v>
      </c>
      <c r="O2260" s="116">
        <v>326.95</v>
      </c>
      <c r="P2260" s="116">
        <v>332</v>
      </c>
      <c r="Q2260" s="116">
        <v>328.8</v>
      </c>
      <c r="R2260">
        <v>39667</v>
      </c>
    </row>
    <row r="2261" spans="1:18" x14ac:dyDescent="0.25">
      <c r="A2261" s="170">
        <v>45370</v>
      </c>
      <c r="B2261" s="116">
        <v>314.95</v>
      </c>
      <c r="C2261" s="116">
        <v>310.95</v>
      </c>
      <c r="D2261" s="116">
        <v>307.75</v>
      </c>
      <c r="E2261" s="116">
        <v>312.55</v>
      </c>
      <c r="F2261" s="116">
        <v>310.95</v>
      </c>
      <c r="G2261">
        <v>4030</v>
      </c>
      <c r="H2261" s="116"/>
      <c r="I2261" s="116"/>
      <c r="L2261" s="170">
        <v>45341</v>
      </c>
      <c r="M2261" s="116">
        <v>325.55</v>
      </c>
      <c r="N2261" s="116">
        <v>330</v>
      </c>
      <c r="O2261" s="116">
        <v>323.5</v>
      </c>
      <c r="P2261" s="116">
        <v>330</v>
      </c>
      <c r="Q2261" s="116">
        <v>325.55</v>
      </c>
      <c r="R2261">
        <v>59943</v>
      </c>
    </row>
    <row r="2262" spans="1:18" x14ac:dyDescent="0.25">
      <c r="A2262" s="170">
        <v>45371</v>
      </c>
      <c r="B2262" s="116">
        <v>317.2</v>
      </c>
      <c r="C2262" s="116">
        <v>300.95</v>
      </c>
      <c r="D2262" s="116">
        <v>300</v>
      </c>
      <c r="E2262" s="116">
        <v>317.2</v>
      </c>
      <c r="F2262" s="116">
        <v>300.95</v>
      </c>
      <c r="G2262">
        <v>4861</v>
      </c>
      <c r="H2262" s="116"/>
      <c r="I2262" s="116"/>
      <c r="L2262" s="170">
        <v>45342</v>
      </c>
      <c r="M2262" s="116">
        <v>337.65</v>
      </c>
      <c r="N2262" s="116">
        <v>339.25</v>
      </c>
      <c r="O2262" s="116">
        <v>324.55</v>
      </c>
      <c r="P2262" s="116">
        <v>327.2</v>
      </c>
      <c r="Q2262" s="116">
        <v>337.65</v>
      </c>
      <c r="R2262">
        <v>85412</v>
      </c>
    </row>
    <row r="2263" spans="1:18" x14ac:dyDescent="0.25">
      <c r="A2263" s="170">
        <v>45372</v>
      </c>
      <c r="B2263" s="116">
        <v>312.8</v>
      </c>
      <c r="C2263" s="116">
        <v>310.10000000000002</v>
      </c>
      <c r="D2263" s="116">
        <v>301.14999999999998</v>
      </c>
      <c r="E2263" s="116">
        <v>301.14999999999998</v>
      </c>
      <c r="F2263" s="116">
        <v>310.10000000000002</v>
      </c>
      <c r="G2263">
        <v>1290</v>
      </c>
      <c r="H2263" s="116"/>
      <c r="I2263" s="116"/>
      <c r="L2263" s="170">
        <v>45343</v>
      </c>
      <c r="M2263" s="116">
        <v>339</v>
      </c>
      <c r="N2263" s="116">
        <v>341</v>
      </c>
      <c r="O2263" s="116">
        <v>334</v>
      </c>
      <c r="P2263" s="116">
        <v>339</v>
      </c>
      <c r="Q2263" s="116">
        <v>339</v>
      </c>
      <c r="R2263">
        <v>70949</v>
      </c>
    </row>
    <row r="2264" spans="1:18" x14ac:dyDescent="0.25">
      <c r="A2264" s="170">
        <v>45373</v>
      </c>
      <c r="B2264" s="116">
        <v>314.2</v>
      </c>
      <c r="C2264" s="116">
        <v>312.64999999999998</v>
      </c>
      <c r="D2264" s="116">
        <v>308.05</v>
      </c>
      <c r="E2264" s="116">
        <v>310.10000000000002</v>
      </c>
      <c r="F2264" s="116">
        <v>312.64999999999998</v>
      </c>
      <c r="G2264">
        <v>1358</v>
      </c>
      <c r="H2264" s="116"/>
      <c r="I2264" s="116"/>
      <c r="L2264" s="170">
        <v>45344</v>
      </c>
      <c r="M2264" s="116">
        <v>346.15</v>
      </c>
      <c r="N2264" s="116">
        <v>350</v>
      </c>
      <c r="O2264" s="116">
        <v>334.7</v>
      </c>
      <c r="P2264" s="116">
        <v>340.7</v>
      </c>
      <c r="Q2264" s="116">
        <v>346.15</v>
      </c>
      <c r="R2264">
        <v>96338</v>
      </c>
    </row>
    <row r="2265" spans="1:18" x14ac:dyDescent="0.25">
      <c r="A2265" s="170">
        <v>45377</v>
      </c>
      <c r="B2265" s="116">
        <v>307.55</v>
      </c>
      <c r="C2265" s="116">
        <v>299.39999999999998</v>
      </c>
      <c r="D2265" s="116">
        <v>290.3</v>
      </c>
      <c r="E2265" s="116">
        <v>290.3</v>
      </c>
      <c r="F2265" s="116">
        <v>299.39999999999998</v>
      </c>
      <c r="G2265">
        <v>67814</v>
      </c>
      <c r="H2265" s="116"/>
      <c r="I2265" s="116"/>
      <c r="L2265" s="170">
        <v>45345</v>
      </c>
      <c r="M2265" s="116">
        <v>342.35</v>
      </c>
      <c r="N2265" s="116">
        <v>347</v>
      </c>
      <c r="O2265" s="116">
        <v>338.75</v>
      </c>
      <c r="P2265" s="116">
        <v>345</v>
      </c>
      <c r="Q2265" s="116">
        <v>342.35</v>
      </c>
      <c r="R2265">
        <v>71493</v>
      </c>
    </row>
    <row r="2266" spans="1:18" x14ac:dyDescent="0.25">
      <c r="A2266" s="170">
        <v>45378</v>
      </c>
      <c r="B2266" s="116">
        <v>303</v>
      </c>
      <c r="C2266" s="116">
        <v>291.3</v>
      </c>
      <c r="D2266" s="116">
        <v>289</v>
      </c>
      <c r="E2266" s="116">
        <v>299.45</v>
      </c>
      <c r="F2266" s="116">
        <v>291.3</v>
      </c>
      <c r="G2266">
        <v>12919</v>
      </c>
      <c r="H2266" s="116"/>
      <c r="I2266" s="116"/>
      <c r="L2266" s="170">
        <v>45348</v>
      </c>
      <c r="M2266" s="116">
        <v>344.45</v>
      </c>
      <c r="N2266" s="116">
        <v>345.7</v>
      </c>
      <c r="O2266" s="116">
        <v>339</v>
      </c>
      <c r="P2266" s="116">
        <v>342.4</v>
      </c>
      <c r="Q2266" s="116">
        <v>344.45</v>
      </c>
      <c r="R2266">
        <v>38742</v>
      </c>
    </row>
    <row r="2267" spans="1:18" x14ac:dyDescent="0.25">
      <c r="A2267" s="170">
        <v>45379</v>
      </c>
      <c r="B2267" s="116">
        <v>302.5</v>
      </c>
      <c r="C2267" s="116">
        <v>294.5</v>
      </c>
      <c r="D2267" s="116">
        <v>290</v>
      </c>
      <c r="E2267" s="116">
        <v>294.5</v>
      </c>
      <c r="F2267" s="116">
        <v>294.5</v>
      </c>
      <c r="G2267">
        <v>16624</v>
      </c>
      <c r="H2267" s="116"/>
      <c r="I2267" s="116"/>
      <c r="L2267" s="170">
        <v>45349</v>
      </c>
      <c r="M2267" s="116">
        <v>340.25</v>
      </c>
      <c r="N2267" s="116">
        <v>346</v>
      </c>
      <c r="O2267" s="116">
        <v>338.1</v>
      </c>
      <c r="P2267" s="116">
        <v>344.45</v>
      </c>
      <c r="Q2267" s="116">
        <v>340.25</v>
      </c>
      <c r="R2267">
        <v>38833</v>
      </c>
    </row>
    <row r="2268" spans="1:18" x14ac:dyDescent="0.25">
      <c r="A2268" s="170">
        <v>45383</v>
      </c>
      <c r="B2268" s="116">
        <v>309.95</v>
      </c>
      <c r="C2268" s="116">
        <v>306.89999999999998</v>
      </c>
      <c r="D2268" s="116">
        <v>290.75</v>
      </c>
      <c r="E2268" s="116">
        <v>290.75</v>
      </c>
      <c r="F2268" s="116">
        <v>306.89999999999998</v>
      </c>
      <c r="G2268">
        <v>4165</v>
      </c>
      <c r="H2268" s="116"/>
      <c r="I2268" s="116"/>
      <c r="L2268" s="170">
        <v>45350</v>
      </c>
      <c r="M2268" s="116">
        <v>330.65</v>
      </c>
      <c r="N2268" s="116">
        <v>343.15</v>
      </c>
      <c r="O2268" s="116">
        <v>324.35000000000002</v>
      </c>
      <c r="P2268" s="116">
        <v>341.1</v>
      </c>
      <c r="Q2268" s="116">
        <v>330.65</v>
      </c>
      <c r="R2268">
        <v>80529</v>
      </c>
    </row>
    <row r="2269" spans="1:18" x14ac:dyDescent="0.25">
      <c r="A2269" s="170">
        <v>45384</v>
      </c>
      <c r="B2269" s="116">
        <v>317.45</v>
      </c>
      <c r="C2269" s="116">
        <v>315.7</v>
      </c>
      <c r="D2269" s="116">
        <v>309.95</v>
      </c>
      <c r="E2269" s="116">
        <v>309.95</v>
      </c>
      <c r="F2269" s="116">
        <v>315.7</v>
      </c>
      <c r="G2269">
        <v>3347</v>
      </c>
      <c r="H2269" s="116"/>
      <c r="I2269" s="116"/>
      <c r="L2269" s="170">
        <v>45351</v>
      </c>
      <c r="M2269" s="116">
        <v>329.3</v>
      </c>
      <c r="N2269" s="116">
        <v>333.5</v>
      </c>
      <c r="O2269" s="116">
        <v>325.05</v>
      </c>
      <c r="P2269" s="116">
        <v>332.35</v>
      </c>
      <c r="Q2269" s="116">
        <v>329.3</v>
      </c>
      <c r="R2269">
        <v>31963</v>
      </c>
    </row>
    <row r="2270" spans="1:18" x14ac:dyDescent="0.25">
      <c r="A2270" s="170">
        <v>45385</v>
      </c>
      <c r="B2270" s="116">
        <v>320.95</v>
      </c>
      <c r="C2270" s="116">
        <v>317.60000000000002</v>
      </c>
      <c r="D2270" s="116">
        <v>315</v>
      </c>
      <c r="E2270" s="116">
        <v>317.35000000000002</v>
      </c>
      <c r="F2270" s="116">
        <v>317.60000000000002</v>
      </c>
      <c r="G2270">
        <v>528</v>
      </c>
      <c r="H2270" s="116"/>
      <c r="I2270" s="116"/>
      <c r="L2270" s="170">
        <v>45352</v>
      </c>
      <c r="M2270" s="116">
        <v>332</v>
      </c>
      <c r="N2270" s="116">
        <v>332.6</v>
      </c>
      <c r="O2270" s="116">
        <v>328.4</v>
      </c>
      <c r="P2270" s="116">
        <v>328.4</v>
      </c>
      <c r="Q2270" s="116">
        <v>332</v>
      </c>
      <c r="R2270">
        <v>16993</v>
      </c>
    </row>
    <row r="2271" spans="1:18" x14ac:dyDescent="0.25">
      <c r="A2271" s="170">
        <v>45386</v>
      </c>
      <c r="B2271" s="116">
        <v>327</v>
      </c>
      <c r="C2271" s="116">
        <v>322.35000000000002</v>
      </c>
      <c r="D2271" s="116">
        <v>320</v>
      </c>
      <c r="E2271" s="116">
        <v>322.89999999999998</v>
      </c>
      <c r="F2271" s="116">
        <v>322.35000000000002</v>
      </c>
      <c r="G2271">
        <v>1279</v>
      </c>
      <c r="H2271" s="116"/>
      <c r="I2271" s="116"/>
      <c r="L2271" s="170">
        <v>45353</v>
      </c>
      <c r="M2271" s="116">
        <v>336.4</v>
      </c>
      <c r="N2271" s="116">
        <v>337.8</v>
      </c>
      <c r="O2271" s="116">
        <v>316.85000000000002</v>
      </c>
      <c r="P2271" s="116">
        <v>332</v>
      </c>
      <c r="Q2271" s="116">
        <v>336.4</v>
      </c>
      <c r="R2271">
        <v>10855</v>
      </c>
    </row>
    <row r="2272" spans="1:18" x14ac:dyDescent="0.25">
      <c r="A2272" s="170">
        <v>45387</v>
      </c>
      <c r="B2272" s="116">
        <v>324.89999999999998</v>
      </c>
      <c r="C2272" s="116">
        <v>322.25</v>
      </c>
      <c r="D2272" s="116">
        <v>317.5</v>
      </c>
      <c r="E2272" s="116">
        <v>324.35000000000002</v>
      </c>
      <c r="F2272" s="116">
        <v>322.25</v>
      </c>
      <c r="G2272">
        <v>3248</v>
      </c>
      <c r="H2272" s="116"/>
      <c r="I2272" s="116"/>
      <c r="L2272" s="170">
        <v>45355</v>
      </c>
      <c r="M2272" s="116">
        <v>339.6</v>
      </c>
      <c r="N2272" s="116">
        <v>340.65</v>
      </c>
      <c r="O2272" s="116">
        <v>334.6</v>
      </c>
      <c r="P2272" s="116">
        <v>336.4</v>
      </c>
      <c r="Q2272" s="116">
        <v>339.6</v>
      </c>
      <c r="R2272">
        <v>24456</v>
      </c>
    </row>
    <row r="2273" spans="1:18" x14ac:dyDescent="0.25">
      <c r="A2273" s="170">
        <v>45390</v>
      </c>
      <c r="B2273" s="116">
        <v>331.5</v>
      </c>
      <c r="C2273" s="116">
        <v>328.55</v>
      </c>
      <c r="D2273" s="116">
        <v>311.05</v>
      </c>
      <c r="E2273" s="116">
        <v>311.05</v>
      </c>
      <c r="F2273" s="116">
        <v>328.55</v>
      </c>
      <c r="G2273">
        <v>7791</v>
      </c>
      <c r="H2273" s="116"/>
      <c r="I2273" s="116"/>
      <c r="L2273" s="170">
        <v>45356</v>
      </c>
      <c r="M2273" s="116">
        <v>347.5</v>
      </c>
      <c r="N2273" s="116">
        <v>348.9</v>
      </c>
      <c r="O2273" s="116">
        <v>334</v>
      </c>
      <c r="P2273" s="116">
        <v>340.65</v>
      </c>
      <c r="Q2273" s="116">
        <v>347.5</v>
      </c>
      <c r="R2273">
        <v>96252</v>
      </c>
    </row>
    <row r="2274" spans="1:18" x14ac:dyDescent="0.25">
      <c r="A2274" s="170">
        <v>45391</v>
      </c>
      <c r="B2274" s="116">
        <v>330.3</v>
      </c>
      <c r="C2274" s="116">
        <v>322.10000000000002</v>
      </c>
      <c r="D2274" s="116">
        <v>321.75</v>
      </c>
      <c r="E2274" s="116">
        <v>329</v>
      </c>
      <c r="F2274" s="116">
        <v>322.10000000000002</v>
      </c>
      <c r="G2274">
        <v>741</v>
      </c>
      <c r="H2274" s="116"/>
      <c r="I2274" s="116"/>
      <c r="L2274" s="170">
        <v>45357</v>
      </c>
      <c r="M2274" s="116">
        <v>331.85</v>
      </c>
      <c r="N2274" s="116">
        <v>347.45</v>
      </c>
      <c r="O2274" s="116">
        <v>327.10000000000002</v>
      </c>
      <c r="P2274" s="116">
        <v>347.45</v>
      </c>
      <c r="Q2274" s="116">
        <v>331.85</v>
      </c>
      <c r="R2274">
        <v>95859</v>
      </c>
    </row>
    <row r="2275" spans="1:18" x14ac:dyDescent="0.25">
      <c r="A2275" s="170">
        <v>45392</v>
      </c>
      <c r="B2275" s="116">
        <v>332.95</v>
      </c>
      <c r="C2275" s="116">
        <v>327.5</v>
      </c>
      <c r="D2275" s="116">
        <v>321.45</v>
      </c>
      <c r="E2275" s="116">
        <v>321.45</v>
      </c>
      <c r="F2275" s="116">
        <v>327.5</v>
      </c>
      <c r="G2275">
        <v>1577</v>
      </c>
      <c r="H2275" s="116"/>
      <c r="I2275" s="116"/>
      <c r="L2275" s="170">
        <v>45358</v>
      </c>
      <c r="M2275" s="116">
        <v>334.25</v>
      </c>
      <c r="N2275" s="116">
        <v>336.45</v>
      </c>
      <c r="O2275" s="116">
        <v>331.1</v>
      </c>
      <c r="P2275" s="116">
        <v>335.15</v>
      </c>
      <c r="Q2275" s="116">
        <v>334.25</v>
      </c>
      <c r="R2275">
        <v>23105</v>
      </c>
    </row>
    <row r="2276" spans="1:18" x14ac:dyDescent="0.25">
      <c r="A2276" s="170">
        <v>45394</v>
      </c>
      <c r="B2276" s="116">
        <v>328.35</v>
      </c>
      <c r="C2276" s="116">
        <v>322.05</v>
      </c>
      <c r="D2276" s="116">
        <v>320.7</v>
      </c>
      <c r="E2276" s="116">
        <v>327.55</v>
      </c>
      <c r="F2276" s="116">
        <v>322.05</v>
      </c>
      <c r="G2276">
        <v>5531</v>
      </c>
      <c r="H2276" s="116"/>
      <c r="I2276" s="116"/>
      <c r="L2276" s="170">
        <v>45362</v>
      </c>
      <c r="M2276" s="116">
        <v>330.4</v>
      </c>
      <c r="N2276" s="116">
        <v>334.25</v>
      </c>
      <c r="O2276" s="116">
        <v>328.4</v>
      </c>
      <c r="P2276" s="116">
        <v>334.2</v>
      </c>
      <c r="Q2276" s="116">
        <v>330.4</v>
      </c>
      <c r="R2276">
        <v>38509</v>
      </c>
    </row>
    <row r="2277" spans="1:18" x14ac:dyDescent="0.25">
      <c r="A2277" s="170">
        <v>45397</v>
      </c>
      <c r="B2277" s="116">
        <v>320</v>
      </c>
      <c r="C2277" s="116">
        <v>315.2</v>
      </c>
      <c r="D2277" s="116">
        <v>300.05</v>
      </c>
      <c r="E2277" s="116">
        <v>300.05</v>
      </c>
      <c r="F2277" s="116">
        <v>315.2</v>
      </c>
      <c r="G2277">
        <v>11317</v>
      </c>
      <c r="H2277" s="116"/>
      <c r="I2277" s="116"/>
      <c r="L2277" s="170">
        <v>45363</v>
      </c>
      <c r="M2277" s="116">
        <v>327.85</v>
      </c>
      <c r="N2277" s="116">
        <v>333.3</v>
      </c>
      <c r="O2277" s="116">
        <v>322.7</v>
      </c>
      <c r="P2277" s="116">
        <v>330.4</v>
      </c>
      <c r="Q2277" s="116">
        <v>327.85</v>
      </c>
      <c r="R2277">
        <v>37912</v>
      </c>
    </row>
    <row r="2278" spans="1:18" x14ac:dyDescent="0.25">
      <c r="A2278" s="170">
        <v>45398</v>
      </c>
      <c r="B2278" s="116">
        <v>320.95</v>
      </c>
      <c r="C2278" s="116">
        <v>315.45</v>
      </c>
      <c r="D2278" s="116">
        <v>315.39999999999998</v>
      </c>
      <c r="E2278" s="116">
        <v>316.5</v>
      </c>
      <c r="F2278" s="116">
        <v>315.45</v>
      </c>
      <c r="G2278">
        <v>4846</v>
      </c>
      <c r="H2278" s="116"/>
      <c r="I2278" s="116"/>
      <c r="L2278" s="170">
        <v>45364</v>
      </c>
      <c r="M2278" s="116">
        <v>304.55</v>
      </c>
      <c r="N2278" s="116">
        <v>327.95</v>
      </c>
      <c r="O2278" s="116">
        <v>300.35000000000002</v>
      </c>
      <c r="P2278" s="116">
        <v>325.05</v>
      </c>
      <c r="Q2278" s="116">
        <v>304.55</v>
      </c>
      <c r="R2278">
        <v>64110</v>
      </c>
    </row>
    <row r="2279" spans="1:18" x14ac:dyDescent="0.25">
      <c r="A2279" s="170">
        <v>45400</v>
      </c>
      <c r="B2279" s="116">
        <v>321</v>
      </c>
      <c r="C2279" s="116">
        <v>311.39999999999998</v>
      </c>
      <c r="D2279" s="116">
        <v>308.35000000000002</v>
      </c>
      <c r="E2279" s="116">
        <v>308.55</v>
      </c>
      <c r="F2279" s="116">
        <v>311.39999999999998</v>
      </c>
      <c r="G2279">
        <v>2202</v>
      </c>
      <c r="H2279" s="116"/>
      <c r="I2279" s="116"/>
      <c r="L2279" s="170">
        <v>45365</v>
      </c>
      <c r="M2279" s="116">
        <v>316.60000000000002</v>
      </c>
      <c r="N2279" s="116">
        <v>320.14999999999998</v>
      </c>
      <c r="O2279" s="116">
        <v>300.05</v>
      </c>
      <c r="P2279" s="116">
        <v>304.5</v>
      </c>
      <c r="Q2279" s="116">
        <v>316.60000000000002</v>
      </c>
      <c r="R2279">
        <v>53704</v>
      </c>
    </row>
    <row r="2280" spans="1:18" x14ac:dyDescent="0.25">
      <c r="A2280" s="170">
        <v>45401</v>
      </c>
      <c r="B2280" s="116">
        <v>326.2</v>
      </c>
      <c r="C2280" s="116">
        <v>314.60000000000002</v>
      </c>
      <c r="D2280" s="116">
        <v>307.39999999999998</v>
      </c>
      <c r="E2280" s="116">
        <v>311.39999999999998</v>
      </c>
      <c r="F2280" s="116">
        <v>314.60000000000002</v>
      </c>
      <c r="G2280">
        <v>4091</v>
      </c>
      <c r="H2280" s="116"/>
      <c r="I2280" s="116"/>
      <c r="L2280" s="170">
        <v>45366</v>
      </c>
      <c r="M2280" s="116">
        <v>318</v>
      </c>
      <c r="N2280" s="116">
        <v>319.95</v>
      </c>
      <c r="O2280" s="116">
        <v>312.14999999999998</v>
      </c>
      <c r="P2280" s="116">
        <v>318</v>
      </c>
      <c r="Q2280" s="116">
        <v>318</v>
      </c>
      <c r="R2280">
        <v>18618</v>
      </c>
    </row>
    <row r="2281" spans="1:18" x14ac:dyDescent="0.25">
      <c r="A2281" s="170">
        <v>45404</v>
      </c>
      <c r="B2281" s="116">
        <v>324.3</v>
      </c>
      <c r="C2281" s="116">
        <v>321.3</v>
      </c>
      <c r="D2281" s="116">
        <v>318.35000000000002</v>
      </c>
      <c r="E2281" s="116">
        <v>320.89999999999998</v>
      </c>
      <c r="F2281" s="116">
        <v>321.3</v>
      </c>
      <c r="G2281">
        <v>3574</v>
      </c>
      <c r="H2281" s="116"/>
      <c r="I2281" s="116"/>
      <c r="L2281" s="170">
        <v>45369</v>
      </c>
      <c r="M2281" s="116">
        <v>311.95</v>
      </c>
      <c r="N2281" s="116">
        <v>318.8</v>
      </c>
      <c r="O2281" s="116">
        <v>310</v>
      </c>
      <c r="P2281" s="116">
        <v>318</v>
      </c>
      <c r="Q2281" s="116">
        <v>311.95</v>
      </c>
      <c r="R2281">
        <v>39290</v>
      </c>
    </row>
    <row r="2282" spans="1:18" x14ac:dyDescent="0.25">
      <c r="A2282" s="170">
        <v>45405</v>
      </c>
      <c r="B2282" s="116">
        <v>324.39999999999998</v>
      </c>
      <c r="C2282" s="116">
        <v>322.35000000000002</v>
      </c>
      <c r="D2282" s="116">
        <v>319</v>
      </c>
      <c r="E2282" s="116">
        <v>320.95</v>
      </c>
      <c r="F2282" s="116">
        <v>322.35000000000002</v>
      </c>
      <c r="G2282">
        <v>1529</v>
      </c>
      <c r="H2282" s="116"/>
      <c r="I2282" s="116"/>
      <c r="L2282" s="170">
        <v>45370</v>
      </c>
      <c r="M2282" s="116">
        <v>310.5</v>
      </c>
      <c r="N2282" s="116">
        <v>314.89999999999998</v>
      </c>
      <c r="O2282" s="116">
        <v>308</v>
      </c>
      <c r="P2282" s="116">
        <v>313.55</v>
      </c>
      <c r="Q2282" s="116">
        <v>310.5</v>
      </c>
      <c r="R2282">
        <v>17887</v>
      </c>
    </row>
    <row r="2283" spans="1:18" x14ac:dyDescent="0.25">
      <c r="A2283" s="170">
        <v>45406</v>
      </c>
      <c r="B2283" s="116">
        <v>330.3</v>
      </c>
      <c r="C2283" s="116">
        <v>324</v>
      </c>
      <c r="D2283" s="116">
        <v>322.45</v>
      </c>
      <c r="E2283" s="116">
        <v>325.7</v>
      </c>
      <c r="F2283" s="116">
        <v>324</v>
      </c>
      <c r="G2283">
        <v>2551</v>
      </c>
      <c r="H2283" s="116"/>
      <c r="I2283" s="116"/>
      <c r="L2283" s="170">
        <v>45371</v>
      </c>
      <c r="M2283" s="116">
        <v>301.55</v>
      </c>
      <c r="N2283" s="116">
        <v>312.10000000000002</v>
      </c>
      <c r="O2283" s="116">
        <v>296.55</v>
      </c>
      <c r="P2283" s="116">
        <v>312</v>
      </c>
      <c r="Q2283" s="116">
        <v>301.55</v>
      </c>
      <c r="R2283">
        <v>46142</v>
      </c>
    </row>
    <row r="2284" spans="1:18" x14ac:dyDescent="0.25">
      <c r="A2284" s="170">
        <v>45407</v>
      </c>
      <c r="B2284" s="116">
        <v>331</v>
      </c>
      <c r="C2284" s="116">
        <v>327.85</v>
      </c>
      <c r="D2284" s="116">
        <v>323.89999999999998</v>
      </c>
      <c r="E2284" s="116">
        <v>328.3</v>
      </c>
      <c r="F2284" s="116">
        <v>327.85</v>
      </c>
      <c r="G2284">
        <v>5906</v>
      </c>
      <c r="H2284" s="116"/>
      <c r="I2284" s="116"/>
      <c r="L2284" s="170">
        <v>45372</v>
      </c>
      <c r="M2284" s="116">
        <v>310.45</v>
      </c>
      <c r="N2284" s="116">
        <v>315.2</v>
      </c>
      <c r="O2284" s="116">
        <v>303.75</v>
      </c>
      <c r="P2284" s="116">
        <v>303.75</v>
      </c>
      <c r="Q2284" s="116">
        <v>310.45</v>
      </c>
      <c r="R2284">
        <v>45759</v>
      </c>
    </row>
    <row r="2285" spans="1:18" x14ac:dyDescent="0.25">
      <c r="A2285" s="170">
        <v>45408</v>
      </c>
      <c r="B2285" s="116">
        <v>354</v>
      </c>
      <c r="C2285" s="116">
        <v>349.15</v>
      </c>
      <c r="D2285" s="116">
        <v>329.75</v>
      </c>
      <c r="E2285" s="116">
        <v>329.75</v>
      </c>
      <c r="F2285" s="116">
        <v>349.15</v>
      </c>
      <c r="G2285">
        <v>30155</v>
      </c>
      <c r="H2285" s="116"/>
      <c r="I2285" s="116"/>
      <c r="L2285" s="170">
        <v>45373</v>
      </c>
      <c r="M2285" s="116">
        <v>312.14999999999998</v>
      </c>
      <c r="N2285" s="116">
        <v>315</v>
      </c>
      <c r="O2285" s="116">
        <v>308.39999999999998</v>
      </c>
      <c r="P2285" s="116">
        <v>311.85000000000002</v>
      </c>
      <c r="Q2285" s="116">
        <v>312.14999999999998</v>
      </c>
      <c r="R2285">
        <v>18511</v>
      </c>
    </row>
    <row r="2286" spans="1:18" x14ac:dyDescent="0.25">
      <c r="A2286" s="170">
        <v>45411</v>
      </c>
      <c r="B2286" s="116">
        <v>343.2</v>
      </c>
      <c r="C2286" s="116">
        <v>335.05</v>
      </c>
      <c r="D2286" s="116">
        <v>330.45</v>
      </c>
      <c r="E2286" s="116">
        <v>343.2</v>
      </c>
      <c r="F2286" s="116">
        <v>335.05</v>
      </c>
      <c r="G2286">
        <v>19928</v>
      </c>
      <c r="H2286" s="116"/>
      <c r="I2286" s="116"/>
      <c r="L2286" s="170">
        <v>45377</v>
      </c>
      <c r="M2286" s="116">
        <v>299.3</v>
      </c>
      <c r="N2286" s="116">
        <v>307.10000000000002</v>
      </c>
      <c r="O2286" s="116">
        <v>298</v>
      </c>
      <c r="P2286" s="116">
        <v>302.14999999999998</v>
      </c>
      <c r="Q2286" s="116">
        <v>299.3</v>
      </c>
      <c r="R2286">
        <v>106196</v>
      </c>
    </row>
    <row r="2287" spans="1:18" x14ac:dyDescent="0.25">
      <c r="A2287" s="170">
        <v>45412</v>
      </c>
      <c r="B2287" s="116">
        <v>340</v>
      </c>
      <c r="C2287" s="116">
        <v>334.9</v>
      </c>
      <c r="D2287" s="116">
        <v>333.9</v>
      </c>
      <c r="E2287" s="116">
        <v>335.7</v>
      </c>
      <c r="F2287" s="116">
        <v>334.9</v>
      </c>
      <c r="G2287">
        <v>5851</v>
      </c>
      <c r="H2287" s="116"/>
      <c r="I2287" s="116"/>
      <c r="L2287" s="170">
        <v>45378</v>
      </c>
      <c r="M2287" s="116">
        <v>290.8</v>
      </c>
      <c r="N2287" s="116">
        <v>302.89999999999998</v>
      </c>
      <c r="O2287" s="116">
        <v>286.2</v>
      </c>
      <c r="P2287" s="116">
        <v>302.25</v>
      </c>
      <c r="Q2287" s="116">
        <v>290.8</v>
      </c>
      <c r="R2287">
        <v>104198</v>
      </c>
    </row>
    <row r="2288" spans="1:18" x14ac:dyDescent="0.25">
      <c r="A2288" s="170">
        <v>45414</v>
      </c>
      <c r="B2288" s="116">
        <v>345.6</v>
      </c>
      <c r="C2288" s="116">
        <v>336.4</v>
      </c>
      <c r="D2288" s="116">
        <v>334</v>
      </c>
      <c r="E2288" s="116">
        <v>334</v>
      </c>
      <c r="F2288" s="116">
        <v>336.4</v>
      </c>
      <c r="G2288">
        <v>6048</v>
      </c>
      <c r="H2288" s="116"/>
      <c r="I2288" s="116"/>
      <c r="L2288" s="170">
        <v>45379</v>
      </c>
      <c r="M2288" s="116">
        <v>294.25</v>
      </c>
      <c r="N2288" s="116">
        <v>303</v>
      </c>
      <c r="O2288" s="116">
        <v>290</v>
      </c>
      <c r="P2288" s="116">
        <v>291.60000000000002</v>
      </c>
      <c r="Q2288" s="116">
        <v>294.25</v>
      </c>
      <c r="R2288">
        <v>91170</v>
      </c>
    </row>
    <row r="2289" spans="1:18" x14ac:dyDescent="0.25">
      <c r="A2289" s="170">
        <v>45415</v>
      </c>
      <c r="B2289" s="116">
        <v>337.9</v>
      </c>
      <c r="C2289" s="116">
        <v>333.4</v>
      </c>
      <c r="D2289" s="116">
        <v>332.4</v>
      </c>
      <c r="E2289" s="116">
        <v>337.5</v>
      </c>
      <c r="F2289" s="116">
        <v>333.4</v>
      </c>
      <c r="G2289">
        <v>2665</v>
      </c>
      <c r="H2289" s="116"/>
      <c r="I2289" s="116"/>
      <c r="L2289" s="170">
        <v>45383</v>
      </c>
      <c r="M2289" s="116">
        <v>306.89999999999998</v>
      </c>
      <c r="N2289" s="116">
        <v>309.95</v>
      </c>
      <c r="O2289" s="116">
        <v>294</v>
      </c>
      <c r="P2289" s="116">
        <v>294</v>
      </c>
      <c r="Q2289" s="116">
        <v>306.89999999999998</v>
      </c>
      <c r="R2289">
        <v>56399</v>
      </c>
    </row>
    <row r="2290" spans="1:18" x14ac:dyDescent="0.25">
      <c r="A2290" s="170">
        <v>45418</v>
      </c>
      <c r="B2290" s="116">
        <v>336.6</v>
      </c>
      <c r="C2290" s="116">
        <v>331.05</v>
      </c>
      <c r="D2290" s="116">
        <v>324.55</v>
      </c>
      <c r="E2290" s="116">
        <v>324.55</v>
      </c>
      <c r="F2290" s="116">
        <v>331.05</v>
      </c>
      <c r="G2290">
        <v>7338</v>
      </c>
      <c r="H2290" s="116"/>
      <c r="I2290" s="116"/>
      <c r="L2290" s="170">
        <v>45384</v>
      </c>
      <c r="M2290" s="116">
        <v>316.10000000000002</v>
      </c>
      <c r="N2290" s="116">
        <v>318.60000000000002</v>
      </c>
      <c r="O2290" s="116">
        <v>305.3</v>
      </c>
      <c r="P2290" s="116">
        <v>307.95</v>
      </c>
      <c r="Q2290" s="116">
        <v>316.10000000000002</v>
      </c>
      <c r="R2290">
        <v>51040</v>
      </c>
    </row>
    <row r="2291" spans="1:18" x14ac:dyDescent="0.25">
      <c r="A2291" s="170">
        <v>45419</v>
      </c>
      <c r="B2291" s="116">
        <v>333.45</v>
      </c>
      <c r="C2291" s="116">
        <v>320.60000000000002</v>
      </c>
      <c r="D2291" s="116">
        <v>315.3</v>
      </c>
      <c r="E2291" s="116">
        <v>330</v>
      </c>
      <c r="F2291" s="116">
        <v>320.60000000000002</v>
      </c>
      <c r="G2291">
        <v>9560</v>
      </c>
      <c r="H2291" s="116"/>
      <c r="I2291" s="116"/>
      <c r="L2291" s="170">
        <v>45385</v>
      </c>
      <c r="M2291" s="116">
        <v>318.14999999999998</v>
      </c>
      <c r="N2291" s="116">
        <v>320.75</v>
      </c>
      <c r="O2291" s="116">
        <v>315</v>
      </c>
      <c r="P2291" s="116">
        <v>315.95</v>
      </c>
      <c r="Q2291" s="116">
        <v>318.14999999999998</v>
      </c>
      <c r="R2291">
        <v>38711</v>
      </c>
    </row>
    <row r="2292" spans="1:18" x14ac:dyDescent="0.25">
      <c r="A2292" s="170">
        <v>45420</v>
      </c>
      <c r="B2292" s="116">
        <v>324.95</v>
      </c>
      <c r="C2292" s="116">
        <v>324.05</v>
      </c>
      <c r="D2292" s="116">
        <v>315.55</v>
      </c>
      <c r="E2292" s="116">
        <v>315.55</v>
      </c>
      <c r="F2292" s="116">
        <v>324.05</v>
      </c>
      <c r="G2292">
        <v>1669</v>
      </c>
      <c r="H2292" s="116"/>
      <c r="I2292" s="116"/>
      <c r="L2292" s="170">
        <v>45386</v>
      </c>
      <c r="M2292" s="116">
        <v>321.3</v>
      </c>
      <c r="N2292" s="116">
        <v>328.9</v>
      </c>
      <c r="O2292" s="116">
        <v>319</v>
      </c>
      <c r="P2292" s="116">
        <v>320</v>
      </c>
      <c r="Q2292" s="116">
        <v>321.3</v>
      </c>
      <c r="R2292">
        <v>49494</v>
      </c>
    </row>
    <row r="2293" spans="1:18" x14ac:dyDescent="0.25">
      <c r="A2293" s="170">
        <v>45421</v>
      </c>
      <c r="B2293" s="116">
        <v>323.8</v>
      </c>
      <c r="C2293" s="116">
        <v>314.60000000000002</v>
      </c>
      <c r="D2293" s="116">
        <v>311</v>
      </c>
      <c r="E2293" s="116">
        <v>323.8</v>
      </c>
      <c r="F2293" s="116">
        <v>314.60000000000002</v>
      </c>
      <c r="G2293">
        <v>5974</v>
      </c>
      <c r="H2293" s="116"/>
      <c r="I2293" s="116"/>
      <c r="L2293" s="170">
        <v>45387</v>
      </c>
      <c r="M2293" s="116">
        <v>321.45</v>
      </c>
      <c r="N2293" s="116">
        <v>324.2</v>
      </c>
      <c r="O2293" s="116">
        <v>318.3</v>
      </c>
      <c r="P2293" s="116">
        <v>320</v>
      </c>
      <c r="Q2293" s="116">
        <v>321.45</v>
      </c>
      <c r="R2293">
        <v>26902</v>
      </c>
    </row>
    <row r="2294" spans="1:18" x14ac:dyDescent="0.25">
      <c r="A2294" s="170">
        <v>45422</v>
      </c>
      <c r="B2294" s="116">
        <v>323</v>
      </c>
      <c r="C2294" s="116">
        <v>322.2</v>
      </c>
      <c r="D2294" s="116">
        <v>314.5</v>
      </c>
      <c r="E2294" s="116">
        <v>314.89999999999998</v>
      </c>
      <c r="F2294" s="116">
        <v>322.2</v>
      </c>
      <c r="G2294">
        <v>2981</v>
      </c>
      <c r="H2294" s="116"/>
      <c r="I2294" s="116"/>
      <c r="L2294" s="170">
        <v>45390</v>
      </c>
      <c r="M2294" s="116">
        <v>328.6</v>
      </c>
      <c r="N2294" s="116">
        <v>330.6</v>
      </c>
      <c r="O2294" s="116">
        <v>324.05</v>
      </c>
      <c r="P2294" s="116">
        <v>324.05</v>
      </c>
      <c r="Q2294" s="116">
        <v>328.6</v>
      </c>
      <c r="R2294">
        <v>65382</v>
      </c>
    </row>
    <row r="2295" spans="1:18" x14ac:dyDescent="0.25">
      <c r="A2295" s="170">
        <v>45425</v>
      </c>
      <c r="B2295" s="116">
        <v>326.39999999999998</v>
      </c>
      <c r="C2295" s="116">
        <v>324.75</v>
      </c>
      <c r="D2295" s="116">
        <v>316.25</v>
      </c>
      <c r="E2295" s="116">
        <v>320</v>
      </c>
      <c r="F2295" s="116">
        <v>324.75</v>
      </c>
      <c r="G2295">
        <v>4206</v>
      </c>
      <c r="H2295" s="116"/>
      <c r="I2295" s="116"/>
      <c r="L2295" s="170">
        <v>45391</v>
      </c>
      <c r="M2295" s="116">
        <v>323.10000000000002</v>
      </c>
      <c r="N2295" s="116">
        <v>330</v>
      </c>
      <c r="O2295" s="116">
        <v>322</v>
      </c>
      <c r="P2295" s="116">
        <v>329</v>
      </c>
      <c r="Q2295" s="116">
        <v>323.10000000000002</v>
      </c>
      <c r="R2295">
        <v>26543</v>
      </c>
    </row>
    <row r="2296" spans="1:18" x14ac:dyDescent="0.25">
      <c r="A2296" s="170">
        <v>45426</v>
      </c>
      <c r="B2296" s="116">
        <v>327.60000000000002</v>
      </c>
      <c r="C2296" s="116">
        <v>326.8</v>
      </c>
      <c r="D2296" s="116">
        <v>320.95</v>
      </c>
      <c r="E2296" s="116">
        <v>326</v>
      </c>
      <c r="F2296" s="116">
        <v>326.8</v>
      </c>
      <c r="G2296">
        <v>1362</v>
      </c>
      <c r="H2296" s="116"/>
      <c r="I2296" s="116"/>
      <c r="L2296" s="170">
        <v>45392</v>
      </c>
      <c r="M2296" s="116">
        <v>327.25</v>
      </c>
      <c r="N2296" s="116">
        <v>333.6</v>
      </c>
      <c r="O2296" s="116">
        <v>322.75</v>
      </c>
      <c r="P2296" s="116">
        <v>323.10000000000002</v>
      </c>
      <c r="Q2296" s="116">
        <v>327.25</v>
      </c>
      <c r="R2296">
        <v>36496</v>
      </c>
    </row>
    <row r="2297" spans="1:18" x14ac:dyDescent="0.25">
      <c r="A2297" s="170">
        <v>45427</v>
      </c>
      <c r="B2297" s="116">
        <v>327.3</v>
      </c>
      <c r="C2297" s="116">
        <v>323.55</v>
      </c>
      <c r="D2297" s="116">
        <v>322.5</v>
      </c>
      <c r="E2297" s="116">
        <v>324.95</v>
      </c>
      <c r="F2297" s="116">
        <v>323.55</v>
      </c>
      <c r="G2297">
        <v>6558</v>
      </c>
      <c r="H2297" s="116"/>
      <c r="I2297" s="116"/>
      <c r="L2297" s="170">
        <v>45394</v>
      </c>
      <c r="M2297" s="116">
        <v>321.89999999999998</v>
      </c>
      <c r="N2297" s="116">
        <v>328.9</v>
      </c>
      <c r="O2297" s="116">
        <v>321.3</v>
      </c>
      <c r="P2297" s="116">
        <v>328.9</v>
      </c>
      <c r="Q2297" s="116">
        <v>321.89999999999998</v>
      </c>
      <c r="R2297">
        <v>23058</v>
      </c>
    </row>
    <row r="2298" spans="1:18" x14ac:dyDescent="0.25">
      <c r="A2298" s="170">
        <v>45428</v>
      </c>
      <c r="B2298" s="116">
        <v>326.25</v>
      </c>
      <c r="C2298" s="116">
        <v>321.75</v>
      </c>
      <c r="D2298" s="116">
        <v>320.25</v>
      </c>
      <c r="E2298" s="116">
        <v>325</v>
      </c>
      <c r="F2298" s="116">
        <v>321.75</v>
      </c>
      <c r="G2298">
        <v>1787</v>
      </c>
      <c r="H2298" s="116"/>
      <c r="I2298" s="116"/>
      <c r="L2298" s="170">
        <v>45397</v>
      </c>
      <c r="M2298" s="116">
        <v>314.8</v>
      </c>
      <c r="N2298" s="116">
        <v>321.05</v>
      </c>
      <c r="O2298" s="116">
        <v>311</v>
      </c>
      <c r="P2298" s="116">
        <v>321.05</v>
      </c>
      <c r="Q2298" s="116">
        <v>314.8</v>
      </c>
      <c r="R2298">
        <v>41247</v>
      </c>
    </row>
    <row r="2299" spans="1:18" x14ac:dyDescent="0.25">
      <c r="A2299" s="170">
        <v>45429</v>
      </c>
      <c r="B2299" s="116">
        <v>333.15</v>
      </c>
      <c r="C2299" s="116">
        <v>330.1</v>
      </c>
      <c r="D2299" s="116">
        <v>323.2</v>
      </c>
      <c r="E2299" s="116">
        <v>333.15</v>
      </c>
      <c r="F2299" s="116">
        <v>330.1</v>
      </c>
      <c r="G2299">
        <v>1561</v>
      </c>
      <c r="H2299" s="116"/>
      <c r="I2299" s="116"/>
      <c r="L2299" s="170">
        <v>45398</v>
      </c>
      <c r="M2299" s="116">
        <v>316.14999999999998</v>
      </c>
      <c r="N2299" s="116">
        <v>321</v>
      </c>
      <c r="O2299" s="116">
        <v>314.8</v>
      </c>
      <c r="P2299" s="116">
        <v>314.8</v>
      </c>
      <c r="Q2299" s="116">
        <v>316.14999999999998</v>
      </c>
      <c r="R2299">
        <v>17947</v>
      </c>
    </row>
    <row r="2300" spans="1:18" x14ac:dyDescent="0.25">
      <c r="A2300" s="170">
        <v>45430</v>
      </c>
      <c r="B2300" s="116">
        <v>332</v>
      </c>
      <c r="C2300" s="116">
        <v>332</v>
      </c>
      <c r="D2300" s="116">
        <v>331</v>
      </c>
      <c r="E2300" s="116">
        <v>331</v>
      </c>
      <c r="F2300" s="116">
        <v>332</v>
      </c>
      <c r="G2300">
        <v>849</v>
      </c>
      <c r="H2300" s="116"/>
      <c r="I2300" s="116"/>
      <c r="L2300" s="170">
        <v>45400</v>
      </c>
      <c r="M2300" s="116">
        <v>312.55</v>
      </c>
      <c r="N2300" s="116">
        <v>321</v>
      </c>
      <c r="O2300" s="116">
        <v>308</v>
      </c>
      <c r="P2300" s="116">
        <v>317.7</v>
      </c>
      <c r="Q2300" s="116">
        <v>312.55</v>
      </c>
      <c r="R2300">
        <v>46871</v>
      </c>
    </row>
    <row r="2301" spans="1:18" x14ac:dyDescent="0.25">
      <c r="A2301" s="170">
        <v>45433</v>
      </c>
      <c r="B2301" s="116">
        <v>340.45</v>
      </c>
      <c r="C2301" s="116">
        <v>334.2</v>
      </c>
      <c r="D2301" s="116">
        <v>323.89999999999998</v>
      </c>
      <c r="E2301" s="116">
        <v>340.45</v>
      </c>
      <c r="F2301" s="116">
        <v>334.2</v>
      </c>
      <c r="G2301">
        <v>5369</v>
      </c>
      <c r="H2301" s="116"/>
      <c r="I2301" s="116"/>
      <c r="L2301" s="170">
        <v>45401</v>
      </c>
      <c r="M2301" s="116">
        <v>314.95</v>
      </c>
      <c r="N2301" s="116">
        <v>325.39999999999998</v>
      </c>
      <c r="O2301" s="116">
        <v>307</v>
      </c>
      <c r="P2301" s="116">
        <v>307</v>
      </c>
      <c r="Q2301" s="116">
        <v>314.95</v>
      </c>
      <c r="R2301">
        <v>102523</v>
      </c>
    </row>
    <row r="2302" spans="1:18" x14ac:dyDescent="0.25">
      <c r="A2302" s="170">
        <v>45434</v>
      </c>
      <c r="B2302" s="116">
        <v>335</v>
      </c>
      <c r="C2302" s="116">
        <v>332</v>
      </c>
      <c r="D2302" s="116">
        <v>325.05</v>
      </c>
      <c r="E2302" s="116">
        <v>331.85</v>
      </c>
      <c r="F2302" s="116">
        <v>332</v>
      </c>
      <c r="G2302">
        <v>5513</v>
      </c>
      <c r="H2302" s="116"/>
      <c r="I2302" s="116"/>
      <c r="L2302" s="170">
        <v>45404</v>
      </c>
      <c r="M2302" s="116">
        <v>321.35000000000002</v>
      </c>
      <c r="N2302" s="116">
        <v>324.89999999999998</v>
      </c>
      <c r="O2302" s="116">
        <v>316.35000000000002</v>
      </c>
      <c r="P2302" s="116">
        <v>317.05</v>
      </c>
      <c r="Q2302" s="116">
        <v>321.35000000000002</v>
      </c>
      <c r="R2302">
        <v>32663</v>
      </c>
    </row>
    <row r="2303" spans="1:18" x14ac:dyDescent="0.25">
      <c r="A2303" s="170">
        <v>45435</v>
      </c>
      <c r="B2303" s="116">
        <v>339.85</v>
      </c>
      <c r="C2303" s="116">
        <v>337.4</v>
      </c>
      <c r="D2303" s="116">
        <v>329.85</v>
      </c>
      <c r="E2303" s="116">
        <v>335.95</v>
      </c>
      <c r="F2303" s="116">
        <v>337.4</v>
      </c>
      <c r="G2303">
        <v>4235</v>
      </c>
      <c r="H2303" s="116"/>
      <c r="I2303" s="116"/>
      <c r="L2303" s="170">
        <v>45405</v>
      </c>
      <c r="M2303" s="116">
        <v>323.85000000000002</v>
      </c>
      <c r="N2303" s="116">
        <v>326</v>
      </c>
      <c r="O2303" s="116">
        <v>319.10000000000002</v>
      </c>
      <c r="P2303" s="116">
        <v>322.64999999999998</v>
      </c>
      <c r="Q2303" s="116">
        <v>323.85000000000002</v>
      </c>
      <c r="R2303">
        <v>43516</v>
      </c>
    </row>
    <row r="2304" spans="1:18" x14ac:dyDescent="0.25">
      <c r="A2304" s="170">
        <v>45436</v>
      </c>
      <c r="B2304" s="116">
        <v>337.4</v>
      </c>
      <c r="C2304" s="116">
        <v>328.75</v>
      </c>
      <c r="D2304" s="116">
        <v>328</v>
      </c>
      <c r="E2304" s="116">
        <v>336.65</v>
      </c>
      <c r="F2304" s="116">
        <v>328.75</v>
      </c>
      <c r="G2304">
        <v>6637</v>
      </c>
      <c r="H2304" s="116"/>
      <c r="I2304" s="116"/>
      <c r="L2304" s="170">
        <v>45406</v>
      </c>
      <c r="M2304" s="116">
        <v>324.60000000000002</v>
      </c>
      <c r="N2304" s="116">
        <v>331.9</v>
      </c>
      <c r="O2304" s="116">
        <v>322.35000000000002</v>
      </c>
      <c r="P2304" s="116">
        <v>324.5</v>
      </c>
      <c r="Q2304" s="116">
        <v>324.60000000000002</v>
      </c>
      <c r="R2304">
        <v>67744</v>
      </c>
    </row>
    <row r="2305" spans="1:18" x14ac:dyDescent="0.25">
      <c r="A2305" s="170">
        <v>45439</v>
      </c>
      <c r="B2305" s="116">
        <v>330.6</v>
      </c>
      <c r="C2305" s="116">
        <v>327.14999999999998</v>
      </c>
      <c r="D2305" s="116">
        <v>324.45</v>
      </c>
      <c r="E2305" s="116">
        <v>330</v>
      </c>
      <c r="F2305" s="116">
        <v>327.14999999999998</v>
      </c>
      <c r="G2305">
        <v>4965</v>
      </c>
      <c r="H2305" s="116"/>
      <c r="I2305" s="116"/>
      <c r="L2305" s="170">
        <v>45407</v>
      </c>
      <c r="M2305" s="116">
        <v>328.5</v>
      </c>
      <c r="N2305" s="116">
        <v>331.3</v>
      </c>
      <c r="O2305" s="116">
        <v>322.35000000000002</v>
      </c>
      <c r="P2305" s="116">
        <v>326</v>
      </c>
      <c r="Q2305" s="116">
        <v>328.5</v>
      </c>
      <c r="R2305">
        <v>77707</v>
      </c>
    </row>
    <row r="2306" spans="1:18" x14ac:dyDescent="0.25">
      <c r="A2306" s="170">
        <v>45440</v>
      </c>
      <c r="B2306" s="116">
        <v>327</v>
      </c>
      <c r="C2306" s="116">
        <v>319.35000000000002</v>
      </c>
      <c r="D2306" s="116">
        <v>316.85000000000002</v>
      </c>
      <c r="E2306" s="116">
        <v>327</v>
      </c>
      <c r="F2306" s="116">
        <v>319.35000000000002</v>
      </c>
      <c r="G2306">
        <v>7092</v>
      </c>
      <c r="H2306" s="116"/>
      <c r="I2306" s="116"/>
      <c r="L2306" s="170">
        <v>45408</v>
      </c>
      <c r="M2306" s="116">
        <v>347.5</v>
      </c>
      <c r="N2306" s="116">
        <v>354</v>
      </c>
      <c r="O2306" s="116">
        <v>328.8</v>
      </c>
      <c r="P2306" s="116">
        <v>330</v>
      </c>
      <c r="Q2306" s="116">
        <v>347.5</v>
      </c>
      <c r="R2306">
        <v>647586</v>
      </c>
    </row>
    <row r="2307" spans="1:18" x14ac:dyDescent="0.25">
      <c r="A2307" s="170">
        <v>45441</v>
      </c>
      <c r="B2307" s="116">
        <v>319.10000000000002</v>
      </c>
      <c r="C2307" s="116">
        <v>316.60000000000002</v>
      </c>
      <c r="D2307" s="116">
        <v>316.35000000000002</v>
      </c>
      <c r="E2307" s="116">
        <v>318.75</v>
      </c>
      <c r="F2307" s="116">
        <v>316.60000000000002</v>
      </c>
      <c r="G2307">
        <v>460</v>
      </c>
      <c r="H2307" s="116"/>
      <c r="I2307" s="116"/>
      <c r="L2307" s="170">
        <v>45411</v>
      </c>
      <c r="M2307" s="116">
        <v>335.1</v>
      </c>
      <c r="N2307" s="116">
        <v>343.45</v>
      </c>
      <c r="O2307" s="116">
        <v>330</v>
      </c>
      <c r="P2307" s="116">
        <v>340</v>
      </c>
      <c r="Q2307" s="116">
        <v>335.1</v>
      </c>
      <c r="R2307">
        <v>216989</v>
      </c>
    </row>
    <row r="2308" spans="1:18" x14ac:dyDescent="0.25">
      <c r="A2308" s="170">
        <v>45442</v>
      </c>
      <c r="B2308" s="116">
        <v>322.95</v>
      </c>
      <c r="C2308" s="116">
        <v>316.95</v>
      </c>
      <c r="D2308" s="116">
        <v>314.45</v>
      </c>
      <c r="E2308" s="116">
        <v>322.95</v>
      </c>
      <c r="F2308" s="116">
        <v>316.95</v>
      </c>
      <c r="G2308">
        <v>2000</v>
      </c>
      <c r="H2308" s="116"/>
      <c r="I2308" s="116"/>
      <c r="L2308" s="170">
        <v>45412</v>
      </c>
      <c r="M2308" s="116">
        <v>335.85</v>
      </c>
      <c r="N2308" s="116">
        <v>339.9</v>
      </c>
      <c r="O2308" s="116">
        <v>333</v>
      </c>
      <c r="P2308" s="116">
        <v>333.35</v>
      </c>
      <c r="Q2308" s="116">
        <v>335.85</v>
      </c>
      <c r="R2308">
        <v>80927</v>
      </c>
    </row>
    <row r="2309" spans="1:18" x14ac:dyDescent="0.25">
      <c r="A2309" s="170">
        <v>45443</v>
      </c>
      <c r="B2309" s="116">
        <v>328.4</v>
      </c>
      <c r="C2309" s="116">
        <v>320.7</v>
      </c>
      <c r="D2309" s="116">
        <v>314.95</v>
      </c>
      <c r="E2309" s="116">
        <v>316.95</v>
      </c>
      <c r="F2309" s="116">
        <v>320.7</v>
      </c>
      <c r="G2309">
        <v>2402</v>
      </c>
      <c r="H2309" s="116"/>
      <c r="I2309" s="116"/>
      <c r="L2309" s="170">
        <v>45414</v>
      </c>
      <c r="M2309" s="116">
        <v>336.55</v>
      </c>
      <c r="N2309" s="116">
        <v>345.9</v>
      </c>
      <c r="O2309" s="116">
        <v>333.5</v>
      </c>
      <c r="P2309" s="116">
        <v>333.5</v>
      </c>
      <c r="Q2309" s="116">
        <v>336.55</v>
      </c>
      <c r="R2309">
        <v>80448</v>
      </c>
    </row>
    <row r="2310" spans="1:18" x14ac:dyDescent="0.25">
      <c r="A2310" s="170">
        <v>45446</v>
      </c>
      <c r="B2310" s="116">
        <v>328</v>
      </c>
      <c r="C2310" s="116">
        <v>315.3</v>
      </c>
      <c r="D2310" s="116">
        <v>310.8</v>
      </c>
      <c r="E2310" s="116">
        <v>328</v>
      </c>
      <c r="F2310" s="116">
        <v>315.3</v>
      </c>
      <c r="G2310">
        <v>11741</v>
      </c>
      <c r="H2310" s="116"/>
      <c r="I2310" s="116"/>
      <c r="L2310" s="170">
        <v>45415</v>
      </c>
      <c r="M2310" s="116">
        <v>333.3</v>
      </c>
      <c r="N2310" s="116">
        <v>339.6</v>
      </c>
      <c r="O2310" s="116">
        <v>331.85</v>
      </c>
      <c r="P2310" s="116">
        <v>338.25</v>
      </c>
      <c r="Q2310" s="116">
        <v>333.3</v>
      </c>
      <c r="R2310">
        <v>35565</v>
      </c>
    </row>
    <row r="2311" spans="1:18" x14ac:dyDescent="0.25">
      <c r="A2311" s="170">
        <v>45447</v>
      </c>
      <c r="B2311" s="116">
        <v>315</v>
      </c>
      <c r="C2311" s="116">
        <v>302.85000000000002</v>
      </c>
      <c r="D2311" s="116">
        <v>280.5</v>
      </c>
      <c r="E2311" s="116">
        <v>315</v>
      </c>
      <c r="F2311" s="116">
        <v>302.85000000000002</v>
      </c>
      <c r="G2311">
        <v>11238</v>
      </c>
      <c r="H2311" s="116"/>
      <c r="I2311" s="116"/>
      <c r="L2311" s="170">
        <v>45418</v>
      </c>
      <c r="M2311" s="116">
        <v>330.35</v>
      </c>
      <c r="N2311" s="116">
        <v>336.9</v>
      </c>
      <c r="O2311" s="116">
        <v>328.5</v>
      </c>
      <c r="P2311" s="116">
        <v>335</v>
      </c>
      <c r="Q2311" s="116">
        <v>330.35</v>
      </c>
      <c r="R2311">
        <v>48601</v>
      </c>
    </row>
    <row r="2312" spans="1:18" x14ac:dyDescent="0.25">
      <c r="A2312" s="170">
        <v>45448</v>
      </c>
      <c r="B2312" s="116">
        <v>317.64999999999998</v>
      </c>
      <c r="C2312" s="116">
        <v>312.14999999999998</v>
      </c>
      <c r="D2312" s="116">
        <v>293.95</v>
      </c>
      <c r="E2312" s="116">
        <v>306</v>
      </c>
      <c r="F2312" s="116">
        <v>312.14999999999998</v>
      </c>
      <c r="G2312">
        <v>3481</v>
      </c>
      <c r="H2312" s="116"/>
      <c r="I2312" s="116"/>
      <c r="L2312" s="170">
        <v>45419</v>
      </c>
      <c r="M2312" s="116">
        <v>320.89999999999998</v>
      </c>
      <c r="N2312" s="116">
        <v>333.65</v>
      </c>
      <c r="O2312" s="116">
        <v>314.85000000000002</v>
      </c>
      <c r="P2312" s="116">
        <v>331.65</v>
      </c>
      <c r="Q2312" s="116">
        <v>320.89999999999998</v>
      </c>
      <c r="R2312">
        <v>73344</v>
      </c>
    </row>
    <row r="2313" spans="1:18" x14ac:dyDescent="0.25">
      <c r="A2313" s="170">
        <v>45449</v>
      </c>
      <c r="B2313" s="116">
        <v>338.2</v>
      </c>
      <c r="C2313" s="116">
        <v>327.05</v>
      </c>
      <c r="D2313" s="116">
        <v>309</v>
      </c>
      <c r="E2313" s="116">
        <v>338.2</v>
      </c>
      <c r="F2313" s="116">
        <v>327.05</v>
      </c>
      <c r="G2313">
        <v>12198</v>
      </c>
      <c r="H2313" s="116"/>
      <c r="I2313" s="116"/>
      <c r="L2313" s="170">
        <v>45420</v>
      </c>
      <c r="M2313" s="116">
        <v>323.45</v>
      </c>
      <c r="N2313" s="116">
        <v>325.60000000000002</v>
      </c>
      <c r="O2313" s="116">
        <v>314.8</v>
      </c>
      <c r="P2313" s="116">
        <v>320.89999999999998</v>
      </c>
      <c r="Q2313" s="116">
        <v>323.45</v>
      </c>
      <c r="R2313">
        <v>26076</v>
      </c>
    </row>
    <row r="2314" spans="1:18" x14ac:dyDescent="0.25">
      <c r="A2314" s="170">
        <v>45450</v>
      </c>
      <c r="B2314" s="116">
        <v>335.65</v>
      </c>
      <c r="C2314" s="116">
        <v>334.6</v>
      </c>
      <c r="D2314" s="116">
        <v>323.39999999999998</v>
      </c>
      <c r="E2314" s="116">
        <v>323.39999999999998</v>
      </c>
      <c r="F2314" s="116">
        <v>334.6</v>
      </c>
      <c r="G2314">
        <v>11285</v>
      </c>
      <c r="H2314" s="116"/>
      <c r="I2314" s="116"/>
      <c r="L2314" s="170">
        <v>45421</v>
      </c>
      <c r="M2314" s="116">
        <v>313.89999999999998</v>
      </c>
      <c r="N2314" s="116">
        <v>324.5</v>
      </c>
      <c r="O2314" s="116">
        <v>311</v>
      </c>
      <c r="P2314" s="116">
        <v>324.5</v>
      </c>
      <c r="Q2314" s="116">
        <v>313.89999999999998</v>
      </c>
      <c r="R2314">
        <v>50521</v>
      </c>
    </row>
    <row r="2315" spans="1:18" x14ac:dyDescent="0.25">
      <c r="A2315" s="170">
        <v>45453</v>
      </c>
      <c r="B2315" s="116">
        <v>346</v>
      </c>
      <c r="C2315" s="116">
        <v>335.5</v>
      </c>
      <c r="D2315" s="116">
        <v>328.3</v>
      </c>
      <c r="E2315" s="116">
        <v>335</v>
      </c>
      <c r="F2315" s="116">
        <v>335.5</v>
      </c>
      <c r="G2315">
        <v>11915</v>
      </c>
      <c r="H2315" s="116"/>
      <c r="I2315" s="116"/>
      <c r="L2315" s="170">
        <v>45422</v>
      </c>
      <c r="M2315" s="116">
        <v>322</v>
      </c>
      <c r="N2315" s="116">
        <v>323.5</v>
      </c>
      <c r="O2315" s="116">
        <v>314.05</v>
      </c>
      <c r="P2315" s="116">
        <v>315.64999999999998</v>
      </c>
      <c r="Q2315" s="116">
        <v>322</v>
      </c>
      <c r="R2315">
        <v>38458</v>
      </c>
    </row>
    <row r="2316" spans="1:18" x14ac:dyDescent="0.25">
      <c r="A2316" s="170">
        <v>45454</v>
      </c>
      <c r="B2316" s="116">
        <v>337.7</v>
      </c>
      <c r="C2316" s="116">
        <v>333</v>
      </c>
      <c r="D2316" s="116">
        <v>315</v>
      </c>
      <c r="E2316" s="116">
        <v>315</v>
      </c>
      <c r="F2316" s="116">
        <v>333</v>
      </c>
      <c r="G2316">
        <v>2923</v>
      </c>
      <c r="H2316" s="116"/>
      <c r="I2316" s="116"/>
      <c r="L2316" s="170">
        <v>45425</v>
      </c>
      <c r="M2316" s="116">
        <v>325</v>
      </c>
      <c r="N2316" s="116">
        <v>327.35000000000002</v>
      </c>
      <c r="O2316" s="116">
        <v>315.8</v>
      </c>
      <c r="P2316" s="116">
        <v>322.2</v>
      </c>
      <c r="Q2316" s="116">
        <v>325</v>
      </c>
      <c r="R2316">
        <v>28046</v>
      </c>
    </row>
    <row r="2317" spans="1:18" x14ac:dyDescent="0.25">
      <c r="A2317" s="170">
        <v>45455</v>
      </c>
      <c r="B2317" s="116">
        <v>339</v>
      </c>
      <c r="C2317" s="116">
        <v>333.15</v>
      </c>
      <c r="D2317" s="116">
        <v>331.25</v>
      </c>
      <c r="E2317" s="116">
        <v>332.55</v>
      </c>
      <c r="F2317" s="116">
        <v>333.15</v>
      </c>
      <c r="G2317">
        <v>2101</v>
      </c>
      <c r="H2317" s="116"/>
      <c r="I2317" s="116"/>
      <c r="L2317" s="170">
        <v>45426</v>
      </c>
      <c r="M2317" s="116">
        <v>326.8</v>
      </c>
      <c r="N2317" s="116">
        <v>327.9</v>
      </c>
      <c r="O2317" s="116">
        <v>319.8</v>
      </c>
      <c r="P2317" s="116">
        <v>322.5</v>
      </c>
      <c r="Q2317" s="116">
        <v>326.8</v>
      </c>
      <c r="R2317">
        <v>27224</v>
      </c>
    </row>
    <row r="2318" spans="1:18" x14ac:dyDescent="0.25">
      <c r="A2318" s="170">
        <v>45456</v>
      </c>
      <c r="B2318" s="116">
        <v>350.2</v>
      </c>
      <c r="C2318" s="116">
        <v>343.75</v>
      </c>
      <c r="D2318" s="116">
        <v>333</v>
      </c>
      <c r="E2318" s="116">
        <v>333</v>
      </c>
      <c r="F2318" s="116">
        <v>343.75</v>
      </c>
      <c r="G2318">
        <v>4527</v>
      </c>
      <c r="H2318" s="116"/>
      <c r="I2318" s="116"/>
      <c r="L2318" s="170">
        <v>45427</v>
      </c>
      <c r="M2318" s="116">
        <v>324</v>
      </c>
      <c r="N2318" s="116">
        <v>327.85</v>
      </c>
      <c r="O2318" s="116">
        <v>323.10000000000002</v>
      </c>
      <c r="P2318" s="116">
        <v>326.14999999999998</v>
      </c>
      <c r="Q2318" s="116">
        <v>324</v>
      </c>
      <c r="R2318">
        <v>18288</v>
      </c>
    </row>
    <row r="2319" spans="1:18" x14ac:dyDescent="0.25">
      <c r="A2319" s="170">
        <v>45457</v>
      </c>
      <c r="B2319" s="116">
        <v>360.35</v>
      </c>
      <c r="C2319" s="116">
        <v>352.65</v>
      </c>
      <c r="D2319" s="116">
        <v>347</v>
      </c>
      <c r="E2319" s="116">
        <v>348.45</v>
      </c>
      <c r="F2319" s="116">
        <v>352.65</v>
      </c>
      <c r="G2319">
        <v>10725</v>
      </c>
      <c r="H2319" s="116"/>
      <c r="I2319" s="116"/>
      <c r="L2319" s="170">
        <v>45428</v>
      </c>
      <c r="M2319" s="116">
        <v>321.95</v>
      </c>
      <c r="N2319" s="116">
        <v>326.35000000000002</v>
      </c>
      <c r="O2319" s="116">
        <v>319.8</v>
      </c>
      <c r="P2319" s="116">
        <v>324.55</v>
      </c>
      <c r="Q2319" s="116">
        <v>321.95</v>
      </c>
      <c r="R2319">
        <v>20891</v>
      </c>
    </row>
    <row r="2320" spans="1:18" x14ac:dyDescent="0.25">
      <c r="A2320" s="170">
        <v>45461</v>
      </c>
      <c r="B2320" s="116">
        <v>354.05</v>
      </c>
      <c r="C2320" s="116">
        <v>347.75</v>
      </c>
      <c r="D2320" s="116">
        <v>342.45</v>
      </c>
      <c r="E2320" s="116">
        <v>346.6</v>
      </c>
      <c r="F2320" s="116">
        <v>347.75</v>
      </c>
      <c r="G2320">
        <v>14570</v>
      </c>
      <c r="H2320" s="116"/>
      <c r="I2320" s="116"/>
      <c r="L2320" s="170">
        <v>45429</v>
      </c>
      <c r="M2320" s="116">
        <v>330.3</v>
      </c>
      <c r="N2320" s="116">
        <v>331.5</v>
      </c>
      <c r="O2320" s="116">
        <v>323.05</v>
      </c>
      <c r="P2320" s="116">
        <v>323.60000000000002</v>
      </c>
      <c r="Q2320" s="116">
        <v>330.3</v>
      </c>
      <c r="R2320">
        <v>43122</v>
      </c>
    </row>
    <row r="2321" spans="1:18" x14ac:dyDescent="0.25">
      <c r="A2321" s="170">
        <v>45462</v>
      </c>
      <c r="B2321" s="116">
        <v>349.6</v>
      </c>
      <c r="C2321" s="116">
        <v>341.75</v>
      </c>
      <c r="D2321" s="116">
        <v>340.55</v>
      </c>
      <c r="E2321" s="116">
        <v>349.6</v>
      </c>
      <c r="F2321" s="116">
        <v>341.75</v>
      </c>
      <c r="G2321">
        <v>1104</v>
      </c>
      <c r="H2321" s="116"/>
      <c r="I2321" s="116"/>
      <c r="L2321" s="170">
        <v>45430</v>
      </c>
      <c r="M2321" s="116">
        <v>332.7</v>
      </c>
      <c r="N2321" s="116">
        <v>334.25</v>
      </c>
      <c r="O2321" s="116">
        <v>330.3</v>
      </c>
      <c r="P2321" s="116">
        <v>330.3</v>
      </c>
      <c r="Q2321" s="116">
        <v>332.7</v>
      </c>
      <c r="R2321">
        <v>8999</v>
      </c>
    </row>
    <row r="2322" spans="1:18" x14ac:dyDescent="0.25">
      <c r="A2322" s="170">
        <v>45463</v>
      </c>
      <c r="B2322" s="116">
        <v>356.35</v>
      </c>
      <c r="C2322" s="116">
        <v>345.55</v>
      </c>
      <c r="D2322" s="116">
        <v>341.05</v>
      </c>
      <c r="E2322" s="116">
        <v>342</v>
      </c>
      <c r="F2322" s="116">
        <v>345.55</v>
      </c>
      <c r="G2322">
        <v>3880</v>
      </c>
      <c r="H2322" s="116"/>
      <c r="I2322" s="116"/>
      <c r="L2322" s="170">
        <v>45433</v>
      </c>
      <c r="M2322" s="116">
        <v>333.8</v>
      </c>
      <c r="N2322" s="116">
        <v>335.95</v>
      </c>
      <c r="O2322" s="116">
        <v>323.05</v>
      </c>
      <c r="P2322" s="116">
        <v>330.1</v>
      </c>
      <c r="Q2322" s="116">
        <v>333.8</v>
      </c>
      <c r="R2322">
        <v>48541</v>
      </c>
    </row>
    <row r="2323" spans="1:18" x14ac:dyDescent="0.25">
      <c r="A2323" s="170">
        <v>45464</v>
      </c>
      <c r="B2323" s="116">
        <v>347.7</v>
      </c>
      <c r="C2323" s="116">
        <v>343.35</v>
      </c>
      <c r="D2323" s="116">
        <v>338</v>
      </c>
      <c r="E2323" s="116">
        <v>338</v>
      </c>
      <c r="F2323" s="116">
        <v>343.35</v>
      </c>
      <c r="G2323">
        <v>3327</v>
      </c>
      <c r="H2323" s="116"/>
      <c r="I2323" s="116"/>
      <c r="L2323" s="170">
        <v>45434</v>
      </c>
      <c r="M2323" s="116">
        <v>332.6</v>
      </c>
      <c r="N2323" s="116">
        <v>335</v>
      </c>
      <c r="O2323" s="116">
        <v>325.8</v>
      </c>
      <c r="P2323" s="116">
        <v>328.85</v>
      </c>
      <c r="Q2323" s="116">
        <v>332.6</v>
      </c>
      <c r="R2323">
        <v>42293</v>
      </c>
    </row>
    <row r="2324" spans="1:18" x14ac:dyDescent="0.25">
      <c r="A2324" s="170">
        <v>45467</v>
      </c>
      <c r="B2324" s="116">
        <v>359.9</v>
      </c>
      <c r="C2324" s="116">
        <v>342.95</v>
      </c>
      <c r="D2324" s="116">
        <v>337.95</v>
      </c>
      <c r="E2324" s="116">
        <v>342</v>
      </c>
      <c r="F2324" s="116">
        <v>342.95</v>
      </c>
      <c r="G2324">
        <v>20783</v>
      </c>
      <c r="H2324" s="116"/>
      <c r="I2324" s="116"/>
      <c r="L2324" s="170">
        <v>45435</v>
      </c>
      <c r="M2324" s="116">
        <v>336.9</v>
      </c>
      <c r="N2324" s="116">
        <v>340.85</v>
      </c>
      <c r="O2324" s="116">
        <v>329.4</v>
      </c>
      <c r="P2324" s="116">
        <v>334.3</v>
      </c>
      <c r="Q2324" s="116">
        <v>336.9</v>
      </c>
      <c r="R2324">
        <v>66000</v>
      </c>
    </row>
    <row r="2325" spans="1:18" x14ac:dyDescent="0.25">
      <c r="A2325" s="170">
        <v>45468</v>
      </c>
      <c r="B2325" s="116">
        <v>353.6</v>
      </c>
      <c r="C2325" s="116">
        <v>348.35</v>
      </c>
      <c r="D2325" s="116">
        <v>335.1</v>
      </c>
      <c r="E2325" s="116">
        <v>335.1</v>
      </c>
      <c r="F2325" s="116">
        <v>348.35</v>
      </c>
      <c r="G2325">
        <v>8049</v>
      </c>
      <c r="H2325" s="116"/>
      <c r="I2325" s="116"/>
      <c r="L2325" s="170">
        <v>45436</v>
      </c>
      <c r="M2325" s="116">
        <v>329.35</v>
      </c>
      <c r="N2325" s="116">
        <v>337.7</v>
      </c>
      <c r="O2325" s="116">
        <v>327.64999999999998</v>
      </c>
      <c r="P2325" s="116">
        <v>337.7</v>
      </c>
      <c r="Q2325" s="116">
        <v>329.35</v>
      </c>
      <c r="R2325">
        <v>34410</v>
      </c>
    </row>
    <row r="2326" spans="1:18" x14ac:dyDescent="0.25">
      <c r="A2326" s="170">
        <v>45469</v>
      </c>
      <c r="B2326" s="116">
        <v>355.4</v>
      </c>
      <c r="C2326" s="116">
        <v>344.95</v>
      </c>
      <c r="D2326" s="116">
        <v>343</v>
      </c>
      <c r="E2326" s="116">
        <v>350</v>
      </c>
      <c r="F2326" s="116">
        <v>344.95</v>
      </c>
      <c r="G2326">
        <v>3930</v>
      </c>
      <c r="H2326" s="116"/>
      <c r="I2326" s="116"/>
      <c r="L2326" s="170">
        <v>45439</v>
      </c>
      <c r="M2326" s="116">
        <v>326.25</v>
      </c>
      <c r="N2326" s="116">
        <v>331.35</v>
      </c>
      <c r="O2326" s="116">
        <v>325.14999999999998</v>
      </c>
      <c r="P2326" s="116">
        <v>331</v>
      </c>
      <c r="Q2326" s="116">
        <v>326.25</v>
      </c>
      <c r="R2326">
        <v>27436</v>
      </c>
    </row>
    <row r="2327" spans="1:18" x14ac:dyDescent="0.25">
      <c r="A2327" s="170">
        <v>45470</v>
      </c>
      <c r="B2327" s="116">
        <v>347.55</v>
      </c>
      <c r="C2327" s="116">
        <v>339</v>
      </c>
      <c r="D2327" s="116">
        <v>335.3</v>
      </c>
      <c r="E2327" s="116">
        <v>344.85</v>
      </c>
      <c r="F2327" s="116">
        <v>339</v>
      </c>
      <c r="G2327">
        <v>15917</v>
      </c>
      <c r="H2327" s="116"/>
      <c r="I2327" s="116"/>
      <c r="L2327" s="170">
        <v>45440</v>
      </c>
      <c r="M2327" s="116">
        <v>319.7</v>
      </c>
      <c r="N2327" s="116">
        <v>327.55</v>
      </c>
      <c r="O2327" s="116">
        <v>317</v>
      </c>
      <c r="P2327" s="116">
        <v>327.55</v>
      </c>
      <c r="Q2327" s="116">
        <v>319.7</v>
      </c>
      <c r="R2327">
        <v>30917</v>
      </c>
    </row>
    <row r="2328" spans="1:18" x14ac:dyDescent="0.25">
      <c r="A2328" s="170">
        <v>45471</v>
      </c>
      <c r="B2328" s="116">
        <v>341.95</v>
      </c>
      <c r="C2328" s="116">
        <v>331.45</v>
      </c>
      <c r="D2328" s="116">
        <v>330</v>
      </c>
      <c r="E2328" s="116">
        <v>340.5</v>
      </c>
      <c r="F2328" s="116">
        <v>331.45</v>
      </c>
      <c r="G2328">
        <v>2705</v>
      </c>
      <c r="H2328" s="116"/>
      <c r="I2328" s="116"/>
      <c r="L2328" s="170">
        <v>45441</v>
      </c>
      <c r="M2328" s="116">
        <v>318.3</v>
      </c>
      <c r="N2328" s="116">
        <v>321.25</v>
      </c>
      <c r="O2328" s="116">
        <v>316.5</v>
      </c>
      <c r="P2328" s="116">
        <v>319.75</v>
      </c>
      <c r="Q2328" s="116">
        <v>318.3</v>
      </c>
      <c r="R2328">
        <v>14424</v>
      </c>
    </row>
    <row r="2329" spans="1:18" x14ac:dyDescent="0.25">
      <c r="A2329" s="170">
        <v>45474</v>
      </c>
      <c r="B2329" s="116">
        <v>338.1</v>
      </c>
      <c r="C2329" s="116">
        <v>334.4</v>
      </c>
      <c r="D2329" s="116">
        <v>332.65</v>
      </c>
      <c r="E2329" s="116">
        <v>338.1</v>
      </c>
      <c r="F2329" s="116">
        <v>334.4</v>
      </c>
      <c r="G2329">
        <v>2745</v>
      </c>
      <c r="H2329" s="116"/>
      <c r="I2329" s="116"/>
      <c r="L2329" s="170">
        <v>45442</v>
      </c>
      <c r="M2329" s="116">
        <v>316.05</v>
      </c>
      <c r="N2329" s="116">
        <v>319.89999999999998</v>
      </c>
      <c r="O2329" s="116">
        <v>315</v>
      </c>
      <c r="P2329" s="116">
        <v>319.89999999999998</v>
      </c>
      <c r="Q2329" s="116">
        <v>316.05</v>
      </c>
      <c r="R2329">
        <v>14977</v>
      </c>
    </row>
    <row r="2330" spans="1:18" x14ac:dyDescent="0.25">
      <c r="A2330" s="170">
        <v>45475</v>
      </c>
      <c r="B2330" s="116">
        <v>366.65</v>
      </c>
      <c r="C2330" s="116">
        <v>360.7</v>
      </c>
      <c r="D2330" s="116">
        <v>340.1</v>
      </c>
      <c r="E2330" s="116">
        <v>340.1</v>
      </c>
      <c r="F2330" s="116">
        <v>360.7</v>
      </c>
      <c r="G2330">
        <v>37209</v>
      </c>
      <c r="H2330" s="116"/>
      <c r="I2330" s="116"/>
      <c r="L2330" s="170">
        <v>45443</v>
      </c>
      <c r="M2330" s="116">
        <v>320.05</v>
      </c>
      <c r="N2330" s="116">
        <v>328.2</v>
      </c>
      <c r="O2330" s="116">
        <v>315</v>
      </c>
      <c r="P2330" s="116">
        <v>315</v>
      </c>
      <c r="Q2330" s="116">
        <v>320.05</v>
      </c>
      <c r="R2330">
        <v>30765</v>
      </c>
    </row>
    <row r="2331" spans="1:18" x14ac:dyDescent="0.25">
      <c r="A2331" s="170">
        <v>45476</v>
      </c>
      <c r="B2331" s="116">
        <v>366.85</v>
      </c>
      <c r="C2331" s="116">
        <v>357</v>
      </c>
      <c r="D2331" s="116">
        <v>355.1</v>
      </c>
      <c r="E2331" s="116">
        <v>366.85</v>
      </c>
      <c r="F2331" s="116">
        <v>357</v>
      </c>
      <c r="G2331">
        <v>11337</v>
      </c>
      <c r="H2331" s="116"/>
      <c r="I2331" s="116"/>
      <c r="L2331" s="170">
        <v>45446</v>
      </c>
      <c r="M2331" s="116">
        <v>315.14999999999998</v>
      </c>
      <c r="N2331" s="116">
        <v>326.45</v>
      </c>
      <c r="O2331" s="116">
        <v>313</v>
      </c>
      <c r="P2331" s="116">
        <v>326.45</v>
      </c>
      <c r="Q2331" s="116">
        <v>315.14999999999998</v>
      </c>
      <c r="R2331">
        <v>73864</v>
      </c>
    </row>
    <row r="2332" spans="1:18" x14ac:dyDescent="0.25">
      <c r="A2332" s="170">
        <v>45477</v>
      </c>
      <c r="B2332" s="116">
        <v>361.2</v>
      </c>
      <c r="C2332" s="116">
        <v>357.35</v>
      </c>
      <c r="D2332" s="116">
        <v>350.55</v>
      </c>
      <c r="E2332" s="116">
        <v>351.5</v>
      </c>
      <c r="F2332" s="116">
        <v>357.35</v>
      </c>
      <c r="G2332">
        <v>6862</v>
      </c>
      <c r="H2332" s="116"/>
      <c r="I2332" s="116"/>
      <c r="L2332" s="170">
        <v>45447</v>
      </c>
      <c r="M2332" s="116">
        <v>302.55</v>
      </c>
      <c r="N2332" s="116">
        <v>317.10000000000002</v>
      </c>
      <c r="O2332" s="116">
        <v>280</v>
      </c>
      <c r="P2332" s="116">
        <v>317.10000000000002</v>
      </c>
      <c r="Q2332" s="116">
        <v>302.55</v>
      </c>
      <c r="R2332">
        <v>69746</v>
      </c>
    </row>
    <row r="2333" spans="1:18" x14ac:dyDescent="0.25">
      <c r="A2333" s="170">
        <v>45478</v>
      </c>
      <c r="B2333" s="116">
        <v>363.15</v>
      </c>
      <c r="C2333" s="116">
        <v>357.4</v>
      </c>
      <c r="D2333" s="116">
        <v>353.15</v>
      </c>
      <c r="E2333" s="116">
        <v>356.75</v>
      </c>
      <c r="F2333" s="116">
        <v>357.4</v>
      </c>
      <c r="G2333">
        <v>2996</v>
      </c>
      <c r="H2333" s="116"/>
      <c r="I2333" s="116"/>
      <c r="L2333" s="170">
        <v>45448</v>
      </c>
      <c r="M2333" s="116">
        <v>311</v>
      </c>
      <c r="N2333" s="116">
        <v>317</v>
      </c>
      <c r="O2333" s="116">
        <v>295</v>
      </c>
      <c r="P2333" s="116">
        <v>310</v>
      </c>
      <c r="Q2333" s="116">
        <v>311</v>
      </c>
      <c r="R2333">
        <v>23666</v>
      </c>
    </row>
    <row r="2334" spans="1:18" x14ac:dyDescent="0.25">
      <c r="A2334" s="170">
        <v>45481</v>
      </c>
      <c r="B2334" s="116">
        <v>359.15</v>
      </c>
      <c r="C2334" s="116">
        <v>354.2</v>
      </c>
      <c r="D2334" s="116">
        <v>350.6</v>
      </c>
      <c r="E2334" s="116">
        <v>354.95</v>
      </c>
      <c r="F2334" s="116">
        <v>354.2</v>
      </c>
      <c r="G2334">
        <v>2173</v>
      </c>
      <c r="H2334" s="116"/>
      <c r="I2334" s="116"/>
      <c r="L2334" s="170">
        <v>45449</v>
      </c>
      <c r="M2334" s="116">
        <v>327.85</v>
      </c>
      <c r="N2334" s="116">
        <v>329.5</v>
      </c>
      <c r="O2334" s="116">
        <v>308.7</v>
      </c>
      <c r="P2334" s="116">
        <v>310.8</v>
      </c>
      <c r="Q2334" s="116">
        <v>327.85</v>
      </c>
      <c r="R2334">
        <v>44898</v>
      </c>
    </row>
    <row r="2335" spans="1:18" x14ac:dyDescent="0.25">
      <c r="A2335" s="170">
        <v>45482</v>
      </c>
      <c r="B2335" s="116">
        <v>363</v>
      </c>
      <c r="C2335" s="116">
        <v>356.7</v>
      </c>
      <c r="D2335" s="116">
        <v>350.25</v>
      </c>
      <c r="E2335" s="116">
        <v>355.9</v>
      </c>
      <c r="F2335" s="116">
        <v>356.7</v>
      </c>
      <c r="G2335">
        <v>13142</v>
      </c>
      <c r="H2335" s="116"/>
      <c r="I2335" s="116"/>
      <c r="L2335" s="170">
        <v>45450</v>
      </c>
      <c r="M2335" s="116">
        <v>334.25</v>
      </c>
      <c r="N2335" s="116">
        <v>336.3</v>
      </c>
      <c r="O2335" s="116">
        <v>323</v>
      </c>
      <c r="P2335" s="116">
        <v>329.45</v>
      </c>
      <c r="Q2335" s="116">
        <v>334.25</v>
      </c>
      <c r="R2335">
        <v>79286</v>
      </c>
    </row>
    <row r="2336" spans="1:18" x14ac:dyDescent="0.25">
      <c r="A2336" s="170">
        <v>45483</v>
      </c>
      <c r="B2336" s="116">
        <v>357.4</v>
      </c>
      <c r="C2336" s="116">
        <v>348.65</v>
      </c>
      <c r="D2336" s="116">
        <v>346.1</v>
      </c>
      <c r="E2336" s="116">
        <v>356.9</v>
      </c>
      <c r="F2336" s="116">
        <v>348.65</v>
      </c>
      <c r="G2336">
        <v>2378</v>
      </c>
      <c r="H2336" s="116"/>
      <c r="I2336" s="116"/>
      <c r="L2336" s="170">
        <v>45453</v>
      </c>
      <c r="M2336" s="116">
        <v>335.8</v>
      </c>
      <c r="N2336" s="116">
        <v>346.55</v>
      </c>
      <c r="O2336" s="116">
        <v>325</v>
      </c>
      <c r="P2336" s="116">
        <v>335</v>
      </c>
      <c r="Q2336" s="116">
        <v>335.8</v>
      </c>
      <c r="R2336">
        <v>62145</v>
      </c>
    </row>
    <row r="2337" spans="1:18" x14ac:dyDescent="0.25">
      <c r="A2337" s="170">
        <v>45484</v>
      </c>
      <c r="B2337" s="116">
        <v>363</v>
      </c>
      <c r="C2337" s="116">
        <v>356.7</v>
      </c>
      <c r="D2337" s="116">
        <v>350.35</v>
      </c>
      <c r="E2337" s="116">
        <v>350.35</v>
      </c>
      <c r="F2337" s="116">
        <v>356.7</v>
      </c>
      <c r="G2337">
        <v>7402</v>
      </c>
      <c r="H2337" s="116"/>
      <c r="I2337" s="116"/>
      <c r="L2337" s="170">
        <v>45454</v>
      </c>
      <c r="M2337" s="116">
        <v>333.1</v>
      </c>
      <c r="N2337" s="116">
        <v>338</v>
      </c>
      <c r="O2337" s="116">
        <v>331</v>
      </c>
      <c r="P2337" s="116">
        <v>336.3</v>
      </c>
      <c r="Q2337" s="116">
        <v>333.1</v>
      </c>
      <c r="R2337">
        <v>44748</v>
      </c>
    </row>
    <row r="2338" spans="1:18" x14ac:dyDescent="0.25">
      <c r="A2338" s="170">
        <v>45485</v>
      </c>
      <c r="B2338" s="116">
        <v>368.8</v>
      </c>
      <c r="C2338" s="116">
        <v>365</v>
      </c>
      <c r="D2338" s="116">
        <v>350.5</v>
      </c>
      <c r="E2338" s="116">
        <v>355</v>
      </c>
      <c r="F2338" s="116">
        <v>365</v>
      </c>
      <c r="G2338">
        <v>15899</v>
      </c>
      <c r="H2338" s="116"/>
      <c r="I2338" s="116"/>
      <c r="L2338" s="170">
        <v>45455</v>
      </c>
      <c r="M2338" s="116">
        <v>333.5</v>
      </c>
      <c r="N2338" s="116">
        <v>339.8</v>
      </c>
      <c r="O2338" s="116">
        <v>331.6</v>
      </c>
      <c r="P2338" s="116">
        <v>333</v>
      </c>
      <c r="Q2338" s="116">
        <v>333.5</v>
      </c>
      <c r="R2338">
        <v>36104</v>
      </c>
    </row>
    <row r="2339" spans="1:18" x14ac:dyDescent="0.25">
      <c r="A2339" s="170">
        <v>45488</v>
      </c>
      <c r="B2339" s="116">
        <v>365.4</v>
      </c>
      <c r="C2339" s="116">
        <v>360.6</v>
      </c>
      <c r="D2339" s="116">
        <v>356.65</v>
      </c>
      <c r="E2339" s="116">
        <v>365</v>
      </c>
      <c r="F2339" s="116">
        <v>360.6</v>
      </c>
      <c r="G2339">
        <v>8557</v>
      </c>
      <c r="H2339" s="116"/>
      <c r="I2339" s="116"/>
      <c r="L2339" s="170">
        <v>45456</v>
      </c>
      <c r="M2339" s="116">
        <v>344.1</v>
      </c>
      <c r="N2339" s="116">
        <v>351</v>
      </c>
      <c r="O2339" s="116">
        <v>331.1</v>
      </c>
      <c r="P2339" s="116">
        <v>331.15</v>
      </c>
      <c r="Q2339" s="116">
        <v>344.1</v>
      </c>
      <c r="R2339">
        <v>113528</v>
      </c>
    </row>
    <row r="2340" spans="1:18" x14ac:dyDescent="0.25">
      <c r="A2340" s="170">
        <v>45489</v>
      </c>
      <c r="B2340" s="116">
        <v>371.75</v>
      </c>
      <c r="C2340" s="116">
        <v>363.55</v>
      </c>
      <c r="D2340" s="116">
        <v>353.5</v>
      </c>
      <c r="E2340" s="116">
        <v>359.95</v>
      </c>
      <c r="F2340" s="116">
        <v>363.55</v>
      </c>
      <c r="G2340">
        <v>29503</v>
      </c>
      <c r="H2340" s="116"/>
      <c r="I2340" s="116"/>
      <c r="L2340" s="170">
        <v>45457</v>
      </c>
      <c r="M2340" s="116">
        <v>352.5</v>
      </c>
      <c r="N2340" s="116">
        <v>360.9</v>
      </c>
      <c r="O2340" s="116">
        <v>345</v>
      </c>
      <c r="P2340" s="116">
        <v>348</v>
      </c>
      <c r="Q2340" s="116">
        <v>352.5</v>
      </c>
      <c r="R2340">
        <v>349832</v>
      </c>
    </row>
    <row r="2341" spans="1:18" x14ac:dyDescent="0.25">
      <c r="A2341" s="170">
        <v>45491</v>
      </c>
      <c r="B2341" s="116">
        <v>370</v>
      </c>
      <c r="C2341" s="116">
        <v>357.1</v>
      </c>
      <c r="D2341" s="116">
        <v>356</v>
      </c>
      <c r="E2341" s="116">
        <v>370</v>
      </c>
      <c r="F2341" s="116">
        <v>357.1</v>
      </c>
      <c r="G2341">
        <v>8826</v>
      </c>
      <c r="H2341" s="116"/>
      <c r="I2341" s="116"/>
      <c r="L2341" s="170">
        <v>45461</v>
      </c>
      <c r="M2341" s="116">
        <v>348.4</v>
      </c>
      <c r="N2341" s="116">
        <v>355.3</v>
      </c>
      <c r="O2341" s="116">
        <v>343</v>
      </c>
      <c r="P2341" s="116">
        <v>355</v>
      </c>
      <c r="Q2341" s="116">
        <v>348.4</v>
      </c>
      <c r="R2341">
        <v>90860</v>
      </c>
    </row>
    <row r="2342" spans="1:18" x14ac:dyDescent="0.25">
      <c r="A2342" s="170">
        <v>45492</v>
      </c>
      <c r="B2342" s="116">
        <v>357.5</v>
      </c>
      <c r="C2342" s="116">
        <v>351.3</v>
      </c>
      <c r="D2342" s="116">
        <v>346.95</v>
      </c>
      <c r="E2342" s="116">
        <v>357.15</v>
      </c>
      <c r="F2342" s="116">
        <v>351.3</v>
      </c>
      <c r="G2342">
        <v>5949</v>
      </c>
      <c r="H2342" s="116"/>
      <c r="I2342" s="116"/>
      <c r="L2342" s="170">
        <v>45462</v>
      </c>
      <c r="M2342" s="116">
        <v>341.9</v>
      </c>
      <c r="N2342" s="116">
        <v>351.85</v>
      </c>
      <c r="O2342" s="116">
        <v>340.55</v>
      </c>
      <c r="P2342" s="116">
        <v>348.55</v>
      </c>
      <c r="Q2342" s="116">
        <v>341.9</v>
      </c>
      <c r="R2342">
        <v>43908</v>
      </c>
    </row>
    <row r="2343" spans="1:18" x14ac:dyDescent="0.25">
      <c r="A2343" s="170">
        <v>45495</v>
      </c>
      <c r="B2343" s="116">
        <v>355</v>
      </c>
      <c r="C2343" s="116">
        <v>340.8</v>
      </c>
      <c r="D2343" s="116">
        <v>327.5</v>
      </c>
      <c r="E2343" s="116">
        <v>327.5</v>
      </c>
      <c r="F2343" s="116">
        <v>340.8</v>
      </c>
      <c r="G2343">
        <v>13425</v>
      </c>
      <c r="H2343" s="116"/>
      <c r="I2343" s="116"/>
      <c r="L2343" s="170">
        <v>45463</v>
      </c>
      <c r="M2343" s="116">
        <v>345.05</v>
      </c>
      <c r="N2343" s="116">
        <v>356</v>
      </c>
      <c r="O2343" s="116">
        <v>338.75</v>
      </c>
      <c r="P2343" s="116">
        <v>341.9</v>
      </c>
      <c r="Q2343" s="116">
        <v>345.05</v>
      </c>
      <c r="R2343">
        <v>115557</v>
      </c>
    </row>
    <row r="2344" spans="1:18" x14ac:dyDescent="0.25">
      <c r="A2344" s="170">
        <v>45496</v>
      </c>
      <c r="B2344" s="116">
        <v>341.95</v>
      </c>
      <c r="C2344" s="116">
        <v>338</v>
      </c>
      <c r="D2344" s="116">
        <v>325</v>
      </c>
      <c r="E2344" s="116">
        <v>340.05</v>
      </c>
      <c r="F2344" s="116">
        <v>338</v>
      </c>
      <c r="G2344">
        <v>5686</v>
      </c>
      <c r="H2344" s="116"/>
      <c r="I2344" s="116"/>
      <c r="L2344" s="170">
        <v>45464</v>
      </c>
      <c r="M2344" s="116">
        <v>343.3</v>
      </c>
      <c r="N2344" s="116">
        <v>348</v>
      </c>
      <c r="O2344" s="116">
        <v>342</v>
      </c>
      <c r="P2344" s="116">
        <v>346.8</v>
      </c>
      <c r="Q2344" s="116">
        <v>343.3</v>
      </c>
      <c r="R2344">
        <v>37358</v>
      </c>
    </row>
    <row r="2345" spans="1:18" x14ac:dyDescent="0.25">
      <c r="A2345" s="170">
        <v>45497</v>
      </c>
      <c r="B2345" s="116">
        <v>346.65</v>
      </c>
      <c r="C2345" s="116">
        <v>345.95</v>
      </c>
      <c r="D2345" s="116">
        <v>337.85</v>
      </c>
      <c r="E2345" s="116">
        <v>337.85</v>
      </c>
      <c r="F2345" s="116">
        <v>345.95</v>
      </c>
      <c r="G2345">
        <v>1548</v>
      </c>
      <c r="H2345" s="116"/>
      <c r="I2345" s="116"/>
      <c r="L2345" s="170">
        <v>45467</v>
      </c>
      <c r="M2345" s="116">
        <v>342.35</v>
      </c>
      <c r="N2345" s="116">
        <v>360</v>
      </c>
      <c r="O2345" s="116">
        <v>337.3</v>
      </c>
      <c r="P2345" s="116">
        <v>344</v>
      </c>
      <c r="Q2345" s="116">
        <v>342.35</v>
      </c>
      <c r="R2345">
        <v>333520</v>
      </c>
    </row>
    <row r="2346" spans="1:18" x14ac:dyDescent="0.25">
      <c r="A2346" s="170">
        <v>45498</v>
      </c>
      <c r="B2346" s="116">
        <v>341.25</v>
      </c>
      <c r="C2346" s="116">
        <v>339.55</v>
      </c>
      <c r="D2346" s="116">
        <v>336.05</v>
      </c>
      <c r="E2346" s="116">
        <v>340</v>
      </c>
      <c r="F2346" s="116">
        <v>339.55</v>
      </c>
      <c r="G2346">
        <v>3917</v>
      </c>
      <c r="H2346" s="116"/>
      <c r="I2346" s="116"/>
      <c r="L2346" s="170">
        <v>45468</v>
      </c>
      <c r="M2346" s="116">
        <v>349.4</v>
      </c>
      <c r="N2346" s="116">
        <v>353.75</v>
      </c>
      <c r="O2346" s="116">
        <v>341</v>
      </c>
      <c r="P2346" s="116">
        <v>343</v>
      </c>
      <c r="Q2346" s="116">
        <v>349.4</v>
      </c>
      <c r="R2346">
        <v>82399</v>
      </c>
    </row>
    <row r="2347" spans="1:18" x14ac:dyDescent="0.25">
      <c r="A2347" s="170">
        <v>45499</v>
      </c>
      <c r="B2347" s="116">
        <v>347.15</v>
      </c>
      <c r="C2347" s="116">
        <v>344.05</v>
      </c>
      <c r="D2347" s="116">
        <v>339.15</v>
      </c>
      <c r="E2347" s="116">
        <v>340.3</v>
      </c>
      <c r="F2347" s="116">
        <v>344.05</v>
      </c>
      <c r="G2347">
        <v>970</v>
      </c>
      <c r="H2347" s="116"/>
      <c r="I2347" s="116"/>
      <c r="L2347" s="170">
        <v>45469</v>
      </c>
      <c r="M2347" s="116">
        <v>344.75</v>
      </c>
      <c r="N2347" s="116">
        <v>355.5</v>
      </c>
      <c r="O2347" s="116">
        <v>342.7</v>
      </c>
      <c r="P2347" s="116">
        <v>349.4</v>
      </c>
      <c r="Q2347" s="116">
        <v>344.75</v>
      </c>
      <c r="R2347">
        <v>123427</v>
      </c>
    </row>
    <row r="2348" spans="1:18" x14ac:dyDescent="0.25">
      <c r="A2348" s="170">
        <v>45502</v>
      </c>
      <c r="B2348" s="116">
        <v>347.85</v>
      </c>
      <c r="C2348" s="116">
        <v>343.6</v>
      </c>
      <c r="D2348" s="116">
        <v>337</v>
      </c>
      <c r="E2348" s="116">
        <v>337</v>
      </c>
      <c r="F2348" s="116">
        <v>343.6</v>
      </c>
      <c r="G2348">
        <v>6779</v>
      </c>
      <c r="H2348" s="116"/>
      <c r="I2348" s="116"/>
      <c r="L2348" s="170">
        <v>45470</v>
      </c>
      <c r="M2348" s="116">
        <v>339.7</v>
      </c>
      <c r="N2348" s="116">
        <v>349</v>
      </c>
      <c r="O2348" s="116">
        <v>335.55</v>
      </c>
      <c r="P2348" s="116">
        <v>346.05</v>
      </c>
      <c r="Q2348" s="116">
        <v>339.7</v>
      </c>
      <c r="R2348">
        <v>61152</v>
      </c>
    </row>
    <row r="2349" spans="1:18" x14ac:dyDescent="0.25">
      <c r="A2349" s="170">
        <v>45503</v>
      </c>
      <c r="B2349" s="116">
        <v>357.55</v>
      </c>
      <c r="C2349" s="116">
        <v>352.35</v>
      </c>
      <c r="D2349" s="116">
        <v>339.95</v>
      </c>
      <c r="E2349" s="116">
        <v>349.5</v>
      </c>
      <c r="F2349" s="116">
        <v>352.35</v>
      </c>
      <c r="G2349">
        <v>13615</v>
      </c>
      <c r="H2349" s="116"/>
      <c r="I2349" s="116"/>
      <c r="L2349" s="170">
        <v>45471</v>
      </c>
      <c r="M2349" s="116">
        <v>331.9</v>
      </c>
      <c r="N2349" s="116">
        <v>341.9</v>
      </c>
      <c r="O2349" s="116">
        <v>329.25</v>
      </c>
      <c r="P2349" s="116">
        <v>341.35</v>
      </c>
      <c r="Q2349" s="116">
        <v>331.9</v>
      </c>
      <c r="R2349">
        <v>73645</v>
      </c>
    </row>
    <row r="2350" spans="1:18" x14ac:dyDescent="0.25">
      <c r="A2350" s="170">
        <v>45504</v>
      </c>
      <c r="B2350" s="116">
        <v>358</v>
      </c>
      <c r="C2350" s="116">
        <v>355.25</v>
      </c>
      <c r="D2350" s="116">
        <v>349.65</v>
      </c>
      <c r="E2350" s="116">
        <v>352.85</v>
      </c>
      <c r="F2350" s="116">
        <v>355.25</v>
      </c>
      <c r="G2350">
        <v>1938</v>
      </c>
      <c r="H2350" s="116"/>
      <c r="I2350" s="116"/>
      <c r="L2350" s="170">
        <v>45474</v>
      </c>
      <c r="M2350" s="116">
        <v>335.4</v>
      </c>
      <c r="N2350" s="116">
        <v>337.95</v>
      </c>
      <c r="O2350" s="116">
        <v>331.05</v>
      </c>
      <c r="P2350" s="116">
        <v>335.4</v>
      </c>
      <c r="Q2350" s="116">
        <v>335.4</v>
      </c>
      <c r="R2350">
        <v>58779</v>
      </c>
    </row>
    <row r="2351" spans="1:18" x14ac:dyDescent="0.25">
      <c r="A2351" s="170">
        <v>45505</v>
      </c>
      <c r="B2351" s="116">
        <v>355</v>
      </c>
      <c r="C2351" s="116">
        <v>353.75</v>
      </c>
      <c r="D2351" s="116">
        <v>349.1</v>
      </c>
      <c r="E2351" s="116">
        <v>353.95</v>
      </c>
      <c r="F2351" s="116">
        <v>353.75</v>
      </c>
      <c r="G2351">
        <v>2533</v>
      </c>
      <c r="H2351" s="116"/>
      <c r="I2351" s="116"/>
      <c r="L2351" s="170">
        <v>45475</v>
      </c>
      <c r="M2351" s="116">
        <v>360.95</v>
      </c>
      <c r="N2351" s="116">
        <v>366.95</v>
      </c>
      <c r="O2351" s="116">
        <v>337.25</v>
      </c>
      <c r="P2351" s="116">
        <v>337.25</v>
      </c>
      <c r="Q2351" s="116">
        <v>360.95</v>
      </c>
      <c r="R2351">
        <v>792423</v>
      </c>
    </row>
    <row r="2352" spans="1:18" x14ac:dyDescent="0.25">
      <c r="A2352" s="170">
        <v>45506</v>
      </c>
      <c r="B2352" s="116">
        <v>354.95</v>
      </c>
      <c r="C2352" s="116">
        <v>350.1</v>
      </c>
      <c r="D2352" s="116">
        <v>348.35</v>
      </c>
      <c r="E2352" s="116">
        <v>350.95</v>
      </c>
      <c r="F2352" s="116">
        <v>350.1</v>
      </c>
      <c r="G2352">
        <v>1826</v>
      </c>
      <c r="H2352" s="116"/>
      <c r="I2352" s="116"/>
      <c r="L2352" s="170">
        <v>45476</v>
      </c>
      <c r="M2352" s="116">
        <v>358.45</v>
      </c>
      <c r="N2352" s="116">
        <v>367</v>
      </c>
      <c r="O2352" s="116">
        <v>355.2</v>
      </c>
      <c r="P2352" s="116">
        <v>364.65</v>
      </c>
      <c r="Q2352" s="116">
        <v>358.45</v>
      </c>
      <c r="R2352">
        <v>196983</v>
      </c>
    </row>
    <row r="2353" spans="1:18" x14ac:dyDescent="0.25">
      <c r="A2353" s="170">
        <v>45509</v>
      </c>
      <c r="B2353" s="116">
        <v>344.05</v>
      </c>
      <c r="C2353" s="116">
        <v>341.45</v>
      </c>
      <c r="D2353" s="116">
        <v>324.89999999999998</v>
      </c>
      <c r="E2353" s="116">
        <v>324.89999999999998</v>
      </c>
      <c r="F2353" s="116">
        <v>341.45</v>
      </c>
      <c r="G2353">
        <v>9292</v>
      </c>
      <c r="H2353" s="116"/>
      <c r="I2353" s="116"/>
      <c r="L2353" s="170">
        <v>45477</v>
      </c>
      <c r="M2353" s="116">
        <v>357.95</v>
      </c>
      <c r="N2353" s="116">
        <v>362.05</v>
      </c>
      <c r="O2353" s="116">
        <v>351</v>
      </c>
      <c r="P2353" s="116">
        <v>359.6</v>
      </c>
      <c r="Q2353" s="116">
        <v>357.95</v>
      </c>
      <c r="R2353">
        <v>90422</v>
      </c>
    </row>
    <row r="2354" spans="1:18" x14ac:dyDescent="0.25">
      <c r="A2354" s="170">
        <v>45510</v>
      </c>
      <c r="B2354" s="116">
        <v>346.5</v>
      </c>
      <c r="C2354" s="116">
        <v>331.6</v>
      </c>
      <c r="D2354" s="116">
        <v>330.55</v>
      </c>
      <c r="E2354" s="116">
        <v>342.6</v>
      </c>
      <c r="F2354" s="116">
        <v>331.6</v>
      </c>
      <c r="G2354">
        <v>2845</v>
      </c>
      <c r="H2354" s="116"/>
      <c r="I2354" s="116"/>
      <c r="L2354" s="170">
        <v>45478</v>
      </c>
      <c r="M2354" s="116">
        <v>357.6</v>
      </c>
      <c r="N2354" s="116">
        <v>364.9</v>
      </c>
      <c r="O2354" s="116">
        <v>352.65</v>
      </c>
      <c r="P2354" s="116">
        <v>358.6</v>
      </c>
      <c r="Q2354" s="116">
        <v>357.6</v>
      </c>
      <c r="R2354">
        <v>116361</v>
      </c>
    </row>
    <row r="2355" spans="1:18" x14ac:dyDescent="0.25">
      <c r="A2355" s="170">
        <v>45511</v>
      </c>
      <c r="B2355" s="116">
        <v>340.95</v>
      </c>
      <c r="C2355" s="116">
        <v>339.95</v>
      </c>
      <c r="D2355" s="116">
        <v>333.1</v>
      </c>
      <c r="E2355" s="116">
        <v>333.55</v>
      </c>
      <c r="F2355" s="116">
        <v>339.95</v>
      </c>
      <c r="G2355">
        <v>388</v>
      </c>
      <c r="H2355" s="116"/>
      <c r="I2355" s="116"/>
      <c r="L2355" s="170">
        <v>45481</v>
      </c>
      <c r="M2355" s="116">
        <v>354.15</v>
      </c>
      <c r="N2355" s="116">
        <v>359.35</v>
      </c>
      <c r="O2355" s="116">
        <v>351</v>
      </c>
      <c r="P2355" s="116">
        <v>357.95</v>
      </c>
      <c r="Q2355" s="116">
        <v>354.15</v>
      </c>
      <c r="R2355">
        <v>61581</v>
      </c>
    </row>
    <row r="2356" spans="1:18" x14ac:dyDescent="0.25">
      <c r="A2356" s="170">
        <v>45512</v>
      </c>
      <c r="B2356" s="116">
        <v>349.7</v>
      </c>
      <c r="C2356" s="116">
        <v>342.15</v>
      </c>
      <c r="D2356" s="116">
        <v>337.55</v>
      </c>
      <c r="E2356" s="116">
        <v>346.75</v>
      </c>
      <c r="F2356" s="116">
        <v>342.15</v>
      </c>
      <c r="G2356">
        <v>8140</v>
      </c>
      <c r="H2356" s="116"/>
      <c r="I2356" s="116"/>
      <c r="L2356" s="170">
        <v>45482</v>
      </c>
      <c r="M2356" s="116">
        <v>356.95</v>
      </c>
      <c r="N2356" s="116">
        <v>363.7</v>
      </c>
      <c r="O2356" s="116">
        <v>350</v>
      </c>
      <c r="P2356" s="116">
        <v>352.6</v>
      </c>
      <c r="Q2356" s="116">
        <v>356.95</v>
      </c>
      <c r="R2356">
        <v>102162</v>
      </c>
    </row>
    <row r="2357" spans="1:18" x14ac:dyDescent="0.25">
      <c r="A2357" s="170">
        <v>45513</v>
      </c>
      <c r="B2357" s="116">
        <v>346.5</v>
      </c>
      <c r="C2357" s="116">
        <v>341</v>
      </c>
      <c r="D2357" s="116">
        <v>340.55</v>
      </c>
      <c r="E2357" s="116">
        <v>345.75</v>
      </c>
      <c r="F2357" s="116">
        <v>341</v>
      </c>
      <c r="G2357">
        <v>1753</v>
      </c>
      <c r="H2357" s="116"/>
      <c r="I2357" s="116"/>
      <c r="L2357" s="170">
        <v>45483</v>
      </c>
      <c r="M2357" s="116">
        <v>348.65</v>
      </c>
      <c r="N2357" s="116">
        <v>358</v>
      </c>
      <c r="O2357" s="116">
        <v>346.35</v>
      </c>
      <c r="P2357" s="116">
        <v>356.9</v>
      </c>
      <c r="Q2357" s="116">
        <v>348.65</v>
      </c>
      <c r="R2357">
        <v>55507</v>
      </c>
    </row>
    <row r="2358" spans="1:18" x14ac:dyDescent="0.25">
      <c r="A2358" s="170">
        <v>45516</v>
      </c>
      <c r="B2358" s="116">
        <v>343.35</v>
      </c>
      <c r="C2358" s="116">
        <v>338.2</v>
      </c>
      <c r="D2358" s="116">
        <v>324.14999999999998</v>
      </c>
      <c r="E2358" s="116">
        <v>324.14999999999998</v>
      </c>
      <c r="F2358" s="116">
        <v>338.2</v>
      </c>
      <c r="G2358">
        <v>2293</v>
      </c>
      <c r="H2358" s="116"/>
      <c r="I2358" s="116"/>
      <c r="L2358" s="170">
        <v>45484</v>
      </c>
      <c r="M2358" s="116">
        <v>356.6</v>
      </c>
      <c r="N2358" s="116">
        <v>363.3</v>
      </c>
      <c r="O2358" s="116">
        <v>348.65</v>
      </c>
      <c r="P2358" s="116">
        <v>348.65</v>
      </c>
      <c r="Q2358" s="116">
        <v>356.6</v>
      </c>
      <c r="R2358">
        <v>94318</v>
      </c>
    </row>
    <row r="2359" spans="1:18" x14ac:dyDescent="0.25">
      <c r="A2359" s="170">
        <v>45517</v>
      </c>
      <c r="B2359" s="116">
        <v>339.5</v>
      </c>
      <c r="C2359" s="116">
        <v>332</v>
      </c>
      <c r="D2359" s="116">
        <v>330</v>
      </c>
      <c r="E2359" s="116">
        <v>338.45</v>
      </c>
      <c r="F2359" s="116">
        <v>332</v>
      </c>
      <c r="G2359">
        <v>1958</v>
      </c>
      <c r="H2359" s="116"/>
      <c r="I2359" s="116"/>
      <c r="L2359" s="170">
        <v>45485</v>
      </c>
      <c r="M2359" s="116">
        <v>365</v>
      </c>
      <c r="N2359" s="116">
        <v>369.9</v>
      </c>
      <c r="O2359" s="116">
        <v>352</v>
      </c>
      <c r="P2359" s="116">
        <v>357.65</v>
      </c>
      <c r="Q2359" s="116">
        <v>365</v>
      </c>
      <c r="R2359">
        <v>148949</v>
      </c>
    </row>
    <row r="2360" spans="1:18" x14ac:dyDescent="0.25">
      <c r="A2360" s="170">
        <v>45518</v>
      </c>
      <c r="B2360" s="116">
        <v>335.95</v>
      </c>
      <c r="C2360" s="116">
        <v>333.9</v>
      </c>
      <c r="D2360" s="116">
        <v>325.14999999999998</v>
      </c>
      <c r="E2360" s="116">
        <v>331.5</v>
      </c>
      <c r="F2360" s="116">
        <v>333.9</v>
      </c>
      <c r="G2360">
        <v>1770</v>
      </c>
      <c r="H2360" s="116"/>
      <c r="I2360" s="116"/>
      <c r="L2360" s="170">
        <v>45488</v>
      </c>
      <c r="M2360" s="116">
        <v>360.6</v>
      </c>
      <c r="N2360" s="116">
        <v>366.8</v>
      </c>
      <c r="O2360" s="116">
        <v>356.8</v>
      </c>
      <c r="P2360" s="116">
        <v>365</v>
      </c>
      <c r="Q2360" s="116">
        <v>360.6</v>
      </c>
      <c r="R2360">
        <v>64578</v>
      </c>
    </row>
    <row r="2361" spans="1:18" x14ac:dyDescent="0.25">
      <c r="A2361" s="170">
        <v>45520</v>
      </c>
      <c r="B2361" s="116">
        <v>338.55</v>
      </c>
      <c r="C2361" s="116">
        <v>337</v>
      </c>
      <c r="D2361" s="116">
        <v>329.35</v>
      </c>
      <c r="E2361" s="116">
        <v>333.85</v>
      </c>
      <c r="F2361" s="116">
        <v>337</v>
      </c>
      <c r="G2361">
        <v>4999</v>
      </c>
      <c r="H2361" s="116"/>
      <c r="I2361" s="116"/>
      <c r="L2361" s="170">
        <v>45489</v>
      </c>
      <c r="M2361" s="116">
        <v>363.9</v>
      </c>
      <c r="N2361" s="116">
        <v>372</v>
      </c>
      <c r="O2361" s="116">
        <v>353.1</v>
      </c>
      <c r="P2361" s="116">
        <v>358.25</v>
      </c>
      <c r="Q2361" s="116">
        <v>363.9</v>
      </c>
      <c r="R2361">
        <v>241640</v>
      </c>
    </row>
    <row r="2362" spans="1:18" x14ac:dyDescent="0.25">
      <c r="A2362" s="170">
        <v>45523</v>
      </c>
      <c r="B2362" s="116">
        <v>340.2</v>
      </c>
      <c r="C2362" s="116">
        <v>338.5</v>
      </c>
      <c r="D2362" s="116">
        <v>334.2</v>
      </c>
      <c r="E2362" s="116">
        <v>338.95</v>
      </c>
      <c r="F2362" s="116">
        <v>338.5</v>
      </c>
      <c r="G2362">
        <v>400</v>
      </c>
      <c r="H2362" s="116"/>
      <c r="I2362" s="116"/>
      <c r="L2362" s="170">
        <v>45491</v>
      </c>
      <c r="M2362" s="116">
        <v>357.3</v>
      </c>
      <c r="N2362" s="116">
        <v>366.6</v>
      </c>
      <c r="O2362" s="116">
        <v>355.45</v>
      </c>
      <c r="P2362" s="116">
        <v>363.95</v>
      </c>
      <c r="Q2362" s="116">
        <v>357.3</v>
      </c>
      <c r="R2362">
        <v>78980</v>
      </c>
    </row>
    <row r="2363" spans="1:18" x14ac:dyDescent="0.25">
      <c r="A2363" s="170">
        <v>45524</v>
      </c>
      <c r="B2363" s="116">
        <v>356.05</v>
      </c>
      <c r="C2363" s="116">
        <v>352.25</v>
      </c>
      <c r="D2363" s="116">
        <v>342</v>
      </c>
      <c r="E2363" s="116">
        <v>342</v>
      </c>
      <c r="F2363" s="116">
        <v>352.25</v>
      </c>
      <c r="G2363">
        <v>8262</v>
      </c>
      <c r="H2363" s="116"/>
      <c r="I2363" s="116"/>
      <c r="L2363" s="170">
        <v>45492</v>
      </c>
      <c r="M2363" s="116">
        <v>350.75</v>
      </c>
      <c r="N2363" s="116">
        <v>359.05</v>
      </c>
      <c r="O2363" s="116">
        <v>346.1</v>
      </c>
      <c r="P2363" s="116">
        <v>359.05</v>
      </c>
      <c r="Q2363" s="116">
        <v>350.75</v>
      </c>
      <c r="R2363">
        <v>72452</v>
      </c>
    </row>
    <row r="2364" spans="1:18" x14ac:dyDescent="0.25">
      <c r="A2364" s="170">
        <v>45525</v>
      </c>
      <c r="B2364" s="116">
        <v>367.65</v>
      </c>
      <c r="C2364" s="116">
        <v>364.75</v>
      </c>
      <c r="D2364" s="116">
        <v>353.25</v>
      </c>
      <c r="E2364" s="116">
        <v>353.25</v>
      </c>
      <c r="F2364" s="116">
        <v>364.75</v>
      </c>
      <c r="G2364">
        <v>13494</v>
      </c>
      <c r="H2364" s="116"/>
      <c r="I2364" s="116"/>
      <c r="L2364" s="170">
        <v>45495</v>
      </c>
      <c r="M2364" s="116">
        <v>339.9</v>
      </c>
      <c r="N2364" s="116">
        <v>354.85</v>
      </c>
      <c r="O2364" s="116">
        <v>332.3</v>
      </c>
      <c r="P2364" s="116">
        <v>340.05</v>
      </c>
      <c r="Q2364" s="116">
        <v>339.9</v>
      </c>
      <c r="R2364">
        <v>215074</v>
      </c>
    </row>
    <row r="2365" spans="1:18" x14ac:dyDescent="0.25">
      <c r="A2365" s="170">
        <v>45526</v>
      </c>
      <c r="B2365" s="116">
        <v>367.8</v>
      </c>
      <c r="C2365" s="116">
        <v>363</v>
      </c>
      <c r="D2365" s="116">
        <v>356.95</v>
      </c>
      <c r="E2365" s="116">
        <v>365</v>
      </c>
      <c r="F2365" s="116">
        <v>363</v>
      </c>
      <c r="G2365">
        <v>10956</v>
      </c>
      <c r="H2365" s="116"/>
      <c r="I2365" s="116"/>
      <c r="L2365" s="170">
        <v>45496</v>
      </c>
      <c r="M2365" s="116">
        <v>338.2</v>
      </c>
      <c r="N2365" s="116">
        <v>343.6</v>
      </c>
      <c r="O2365" s="116">
        <v>325.10000000000002</v>
      </c>
      <c r="P2365" s="116">
        <v>339.9</v>
      </c>
      <c r="Q2365" s="116">
        <v>338.2</v>
      </c>
      <c r="R2365">
        <v>50819</v>
      </c>
    </row>
    <row r="2366" spans="1:18" x14ac:dyDescent="0.25">
      <c r="A2366" s="170">
        <v>45527</v>
      </c>
      <c r="B2366" s="116">
        <v>373.5</v>
      </c>
      <c r="C2366" s="116">
        <v>369.85</v>
      </c>
      <c r="D2366" s="116">
        <v>359.8</v>
      </c>
      <c r="E2366" s="116">
        <v>369</v>
      </c>
      <c r="F2366" s="116">
        <v>369.85</v>
      </c>
      <c r="G2366">
        <v>13839</v>
      </c>
      <c r="H2366" s="116"/>
      <c r="I2366" s="116"/>
      <c r="L2366" s="170">
        <v>45497</v>
      </c>
      <c r="M2366" s="116">
        <v>345.4</v>
      </c>
      <c r="N2366" s="116">
        <v>348</v>
      </c>
      <c r="O2366" s="116">
        <v>337</v>
      </c>
      <c r="P2366" s="116">
        <v>338.2</v>
      </c>
      <c r="Q2366" s="116">
        <v>345.4</v>
      </c>
      <c r="R2366">
        <v>41985</v>
      </c>
    </row>
    <row r="2367" spans="1:18" x14ac:dyDescent="0.25">
      <c r="A2367" s="170">
        <v>45530</v>
      </c>
      <c r="B2367" s="116">
        <v>364.75</v>
      </c>
      <c r="C2367" s="116">
        <v>359.85</v>
      </c>
      <c r="D2367" s="116">
        <v>353</v>
      </c>
      <c r="E2367" s="116">
        <v>353</v>
      </c>
      <c r="F2367" s="116">
        <v>359.85</v>
      </c>
      <c r="G2367">
        <v>4804</v>
      </c>
      <c r="H2367" s="116"/>
      <c r="I2367" s="116"/>
      <c r="L2367" s="170">
        <v>45498</v>
      </c>
      <c r="M2367" s="116">
        <v>339.8</v>
      </c>
      <c r="N2367" s="116">
        <v>342.9</v>
      </c>
      <c r="O2367" s="116">
        <v>336.55</v>
      </c>
      <c r="P2367" s="116">
        <v>342.9</v>
      </c>
      <c r="Q2367" s="116">
        <v>339.8</v>
      </c>
      <c r="R2367">
        <v>28432</v>
      </c>
    </row>
    <row r="2368" spans="1:18" x14ac:dyDescent="0.25">
      <c r="A2368" s="170">
        <v>45531</v>
      </c>
      <c r="B2368" s="116">
        <v>367.5</v>
      </c>
      <c r="C2368" s="116">
        <v>360.55</v>
      </c>
      <c r="D2368" s="116">
        <v>360</v>
      </c>
      <c r="E2368" s="116">
        <v>364.4</v>
      </c>
      <c r="F2368" s="116">
        <v>360.55</v>
      </c>
      <c r="G2368">
        <v>1196</v>
      </c>
      <c r="H2368" s="116"/>
      <c r="I2368" s="116"/>
      <c r="L2368" s="170">
        <v>45499</v>
      </c>
      <c r="M2368" s="116">
        <v>343.55</v>
      </c>
      <c r="N2368" s="116">
        <v>348</v>
      </c>
      <c r="O2368" s="116">
        <v>337.15</v>
      </c>
      <c r="P2368" s="116">
        <v>339.8</v>
      </c>
      <c r="Q2368" s="116">
        <v>343.55</v>
      </c>
      <c r="R2368">
        <v>46654</v>
      </c>
    </row>
    <row r="2369" spans="1:18" x14ac:dyDescent="0.25">
      <c r="A2369" s="170">
        <v>45532</v>
      </c>
      <c r="B2369" s="116">
        <v>360.9</v>
      </c>
      <c r="C2369" s="116">
        <v>352.65</v>
      </c>
      <c r="D2369" s="116">
        <v>351.15</v>
      </c>
      <c r="E2369" s="116">
        <v>360</v>
      </c>
      <c r="F2369" s="116">
        <v>352.65</v>
      </c>
      <c r="G2369">
        <v>1734</v>
      </c>
      <c r="H2369" s="116"/>
      <c r="I2369" s="116"/>
      <c r="L2369" s="170">
        <v>45502</v>
      </c>
      <c r="M2369" s="116">
        <v>343.45</v>
      </c>
      <c r="N2369" s="116">
        <v>348.9</v>
      </c>
      <c r="O2369" s="116">
        <v>339</v>
      </c>
      <c r="P2369" s="116">
        <v>342</v>
      </c>
      <c r="Q2369" s="116">
        <v>343.45</v>
      </c>
      <c r="R2369">
        <v>98520</v>
      </c>
    </row>
    <row r="2370" spans="1:18" x14ac:dyDescent="0.25">
      <c r="A2370" s="170">
        <v>45533</v>
      </c>
      <c r="B2370" s="116">
        <v>359.7</v>
      </c>
      <c r="C2370" s="116">
        <v>349.65</v>
      </c>
      <c r="D2370" s="116">
        <v>345.65</v>
      </c>
      <c r="E2370" s="116">
        <v>359.7</v>
      </c>
      <c r="F2370" s="116">
        <v>349.65</v>
      </c>
      <c r="G2370">
        <v>2410</v>
      </c>
      <c r="H2370" s="116"/>
      <c r="I2370" s="116"/>
      <c r="L2370" s="170">
        <v>45503</v>
      </c>
      <c r="M2370" s="116">
        <v>352.85</v>
      </c>
      <c r="N2370" s="116">
        <v>358.15</v>
      </c>
      <c r="O2370" s="116">
        <v>338.2</v>
      </c>
      <c r="P2370" s="116">
        <v>338.2</v>
      </c>
      <c r="Q2370" s="116">
        <v>352.85</v>
      </c>
      <c r="R2370">
        <v>92892</v>
      </c>
    </row>
    <row r="2371" spans="1:18" x14ac:dyDescent="0.25">
      <c r="A2371" s="170">
        <v>45534</v>
      </c>
      <c r="B2371" s="116">
        <v>354.35</v>
      </c>
      <c r="C2371" s="116">
        <v>351.15</v>
      </c>
      <c r="D2371" s="116">
        <v>345.15</v>
      </c>
      <c r="E2371" s="116">
        <v>345.15</v>
      </c>
      <c r="F2371" s="116">
        <v>351.15</v>
      </c>
      <c r="G2371">
        <v>1892</v>
      </c>
      <c r="H2371" s="116"/>
      <c r="I2371" s="116"/>
      <c r="L2371" s="170">
        <v>45504</v>
      </c>
      <c r="M2371" s="116">
        <v>355.1</v>
      </c>
      <c r="N2371" s="116">
        <v>358.15</v>
      </c>
      <c r="O2371" s="116">
        <v>349.45</v>
      </c>
      <c r="P2371" s="116">
        <v>352</v>
      </c>
      <c r="Q2371" s="116">
        <v>355.1</v>
      </c>
      <c r="R2371">
        <v>56037</v>
      </c>
    </row>
    <row r="2372" spans="1:18" x14ac:dyDescent="0.25">
      <c r="A2372" s="170">
        <v>45537</v>
      </c>
      <c r="B2372" s="116">
        <v>356.25</v>
      </c>
      <c r="C2372" s="116">
        <v>347.7</v>
      </c>
      <c r="D2372" s="116">
        <v>345.2</v>
      </c>
      <c r="E2372" s="116">
        <v>351.15</v>
      </c>
      <c r="F2372" s="116">
        <v>347.7</v>
      </c>
      <c r="G2372">
        <v>1334</v>
      </c>
      <c r="H2372" s="116"/>
      <c r="I2372" s="116"/>
      <c r="L2372" s="170">
        <v>45505</v>
      </c>
      <c r="M2372" s="116">
        <v>354.1</v>
      </c>
      <c r="N2372" s="116">
        <v>356</v>
      </c>
      <c r="O2372" s="116">
        <v>349.45</v>
      </c>
      <c r="P2372" s="116">
        <v>356</v>
      </c>
      <c r="Q2372" s="116">
        <v>354.1</v>
      </c>
      <c r="R2372">
        <v>36535</v>
      </c>
    </row>
    <row r="2373" spans="1:18" x14ac:dyDescent="0.25">
      <c r="A2373" s="170">
        <v>45538</v>
      </c>
      <c r="B2373" s="116">
        <v>350.35</v>
      </c>
      <c r="C2373" s="116">
        <v>347.15</v>
      </c>
      <c r="D2373" s="116">
        <v>345.05</v>
      </c>
      <c r="E2373" s="116">
        <v>345.05</v>
      </c>
      <c r="F2373" s="116">
        <v>347.15</v>
      </c>
      <c r="G2373">
        <v>2173</v>
      </c>
      <c r="H2373" s="116"/>
      <c r="I2373" s="116"/>
      <c r="L2373" s="170">
        <v>45506</v>
      </c>
      <c r="M2373" s="116">
        <v>350.1</v>
      </c>
      <c r="N2373" s="116">
        <v>354.8</v>
      </c>
      <c r="O2373" s="116">
        <v>348.75</v>
      </c>
      <c r="P2373" s="116">
        <v>350</v>
      </c>
      <c r="Q2373" s="116">
        <v>350.1</v>
      </c>
      <c r="R2373">
        <v>52158</v>
      </c>
    </row>
    <row r="2374" spans="1:18" x14ac:dyDescent="0.25">
      <c r="A2374" s="170">
        <v>45539</v>
      </c>
      <c r="B2374" s="116">
        <v>348.25</v>
      </c>
      <c r="C2374" s="116">
        <v>346.6</v>
      </c>
      <c r="D2374" s="116">
        <v>345</v>
      </c>
      <c r="E2374" s="116">
        <v>348</v>
      </c>
      <c r="F2374" s="116">
        <v>346.6</v>
      </c>
      <c r="G2374">
        <v>387</v>
      </c>
      <c r="H2374" s="116"/>
      <c r="I2374" s="116"/>
      <c r="L2374" s="170">
        <v>45509</v>
      </c>
      <c r="M2374" s="116">
        <v>342.7</v>
      </c>
      <c r="N2374" s="116">
        <v>347</v>
      </c>
      <c r="O2374" s="116">
        <v>330.35</v>
      </c>
      <c r="P2374" s="116">
        <v>347</v>
      </c>
      <c r="Q2374" s="116">
        <v>342.7</v>
      </c>
      <c r="R2374">
        <v>64121</v>
      </c>
    </row>
    <row r="2375" spans="1:18" x14ac:dyDescent="0.25">
      <c r="A2375" s="170">
        <v>45540</v>
      </c>
      <c r="B2375" s="116">
        <v>347.45</v>
      </c>
      <c r="C2375" s="116">
        <v>345.15</v>
      </c>
      <c r="D2375" s="116">
        <v>345.15</v>
      </c>
      <c r="E2375" s="116">
        <v>347.45</v>
      </c>
      <c r="F2375" s="116">
        <v>345.15</v>
      </c>
      <c r="G2375">
        <v>259</v>
      </c>
      <c r="H2375" s="116"/>
      <c r="I2375" s="116"/>
      <c r="L2375" s="170">
        <v>45510</v>
      </c>
      <c r="M2375" s="116">
        <v>332.05</v>
      </c>
      <c r="N2375" s="116">
        <v>346.9</v>
      </c>
      <c r="O2375" s="116">
        <v>331</v>
      </c>
      <c r="P2375" s="116">
        <v>342</v>
      </c>
      <c r="Q2375" s="116">
        <v>332.05</v>
      </c>
      <c r="R2375">
        <v>41243</v>
      </c>
    </row>
    <row r="2376" spans="1:18" x14ac:dyDescent="0.25">
      <c r="A2376" s="170">
        <v>45541</v>
      </c>
      <c r="B2376" s="116">
        <v>354.6</v>
      </c>
      <c r="C2376" s="116">
        <v>342.75</v>
      </c>
      <c r="D2376" s="116">
        <v>340.3</v>
      </c>
      <c r="E2376" s="116">
        <v>354.6</v>
      </c>
      <c r="F2376" s="116">
        <v>342.75</v>
      </c>
      <c r="G2376">
        <v>530</v>
      </c>
      <c r="H2376" s="116"/>
      <c r="I2376" s="116"/>
      <c r="L2376" s="170">
        <v>45511</v>
      </c>
      <c r="M2376" s="116">
        <v>339.65</v>
      </c>
      <c r="N2376" s="116">
        <v>341.3</v>
      </c>
      <c r="O2376" s="116">
        <v>333</v>
      </c>
      <c r="P2376" s="116">
        <v>333.75</v>
      </c>
      <c r="Q2376" s="116">
        <v>339.65</v>
      </c>
      <c r="R2376">
        <v>18890</v>
      </c>
    </row>
    <row r="2377" spans="1:18" x14ac:dyDescent="0.25">
      <c r="A2377" s="170">
        <v>45544</v>
      </c>
      <c r="B2377" s="116">
        <v>342.3</v>
      </c>
      <c r="C2377" s="116">
        <v>338.2</v>
      </c>
      <c r="D2377" s="116">
        <v>335.9</v>
      </c>
      <c r="E2377" s="116">
        <v>335.9</v>
      </c>
      <c r="F2377" s="116">
        <v>338.2</v>
      </c>
      <c r="G2377">
        <v>2148</v>
      </c>
      <c r="H2377" s="116"/>
      <c r="I2377" s="116"/>
      <c r="L2377" s="170">
        <v>45512</v>
      </c>
      <c r="M2377" s="116">
        <v>344.2</v>
      </c>
      <c r="N2377" s="116">
        <v>351</v>
      </c>
      <c r="O2377" s="116">
        <v>337</v>
      </c>
      <c r="P2377" s="116">
        <v>339.95</v>
      </c>
      <c r="Q2377" s="116">
        <v>344.2</v>
      </c>
      <c r="R2377">
        <v>38927</v>
      </c>
    </row>
    <row r="2378" spans="1:18" x14ac:dyDescent="0.25">
      <c r="A2378" s="170">
        <v>45545</v>
      </c>
      <c r="B2378" s="116">
        <v>347</v>
      </c>
      <c r="C2378" s="116">
        <v>344.3</v>
      </c>
      <c r="D2378" s="116">
        <v>335.05</v>
      </c>
      <c r="E2378" s="116">
        <v>335.05</v>
      </c>
      <c r="F2378" s="116">
        <v>344.3</v>
      </c>
      <c r="G2378">
        <v>1542</v>
      </c>
      <c r="H2378" s="116"/>
      <c r="I2378" s="116"/>
      <c r="L2378" s="170">
        <v>45513</v>
      </c>
      <c r="M2378" s="116">
        <v>340.65</v>
      </c>
      <c r="N2378" s="116">
        <v>346.7</v>
      </c>
      <c r="O2378" s="116">
        <v>339.85</v>
      </c>
      <c r="P2378" s="116">
        <v>341.5</v>
      </c>
      <c r="Q2378" s="116">
        <v>340.65</v>
      </c>
      <c r="R2378">
        <v>21189</v>
      </c>
    </row>
    <row r="2379" spans="1:18" x14ac:dyDescent="0.25">
      <c r="A2379" s="170">
        <v>45546</v>
      </c>
      <c r="B2379" s="116">
        <v>350.75</v>
      </c>
      <c r="C2379" s="116">
        <v>344</v>
      </c>
      <c r="D2379" s="116">
        <v>339.75</v>
      </c>
      <c r="E2379" s="116">
        <v>347</v>
      </c>
      <c r="F2379" s="116">
        <v>344</v>
      </c>
      <c r="G2379">
        <v>2361</v>
      </c>
      <c r="H2379" s="116"/>
      <c r="I2379" s="116"/>
      <c r="L2379" s="170">
        <v>45516</v>
      </c>
      <c r="M2379" s="116">
        <v>337.25</v>
      </c>
      <c r="N2379" s="116">
        <v>343.7</v>
      </c>
      <c r="O2379" s="116">
        <v>335</v>
      </c>
      <c r="P2379" s="116">
        <v>337.1</v>
      </c>
      <c r="Q2379" s="116">
        <v>337.25</v>
      </c>
      <c r="R2379">
        <v>21550</v>
      </c>
    </row>
    <row r="2380" spans="1:18" x14ac:dyDescent="0.25">
      <c r="A2380" s="170">
        <v>45547</v>
      </c>
      <c r="B2380" s="116">
        <v>351.5</v>
      </c>
      <c r="C2380" s="116">
        <v>350.35</v>
      </c>
      <c r="D2380" s="116">
        <v>341.35</v>
      </c>
      <c r="E2380" s="116">
        <v>345.2</v>
      </c>
      <c r="F2380" s="116">
        <v>350.35</v>
      </c>
      <c r="G2380">
        <v>1140</v>
      </c>
      <c r="H2380" s="116"/>
      <c r="I2380" s="116"/>
      <c r="L2380" s="170">
        <v>45517</v>
      </c>
      <c r="M2380" s="116">
        <v>332.25</v>
      </c>
      <c r="N2380" s="116">
        <v>339.35</v>
      </c>
      <c r="O2380" s="116">
        <v>330</v>
      </c>
      <c r="P2380" s="116">
        <v>337.25</v>
      </c>
      <c r="Q2380" s="116">
        <v>332.25</v>
      </c>
      <c r="R2380">
        <v>55107</v>
      </c>
    </row>
    <row r="2381" spans="1:18" x14ac:dyDescent="0.25">
      <c r="A2381" s="170">
        <v>45548</v>
      </c>
      <c r="B2381" s="116">
        <v>370.55</v>
      </c>
      <c r="C2381" s="116">
        <v>359.6</v>
      </c>
      <c r="D2381" s="116">
        <v>352.65</v>
      </c>
      <c r="E2381" s="116">
        <v>370</v>
      </c>
      <c r="F2381" s="116">
        <v>359.6</v>
      </c>
      <c r="G2381">
        <v>8093</v>
      </c>
      <c r="H2381" s="116"/>
      <c r="I2381" s="116"/>
      <c r="L2381" s="170">
        <v>45518</v>
      </c>
      <c r="M2381" s="116">
        <v>333.5</v>
      </c>
      <c r="N2381" s="116">
        <v>335.85</v>
      </c>
      <c r="O2381" s="116">
        <v>325.10000000000002</v>
      </c>
      <c r="P2381" s="116">
        <v>332.75</v>
      </c>
      <c r="Q2381" s="116">
        <v>333.5</v>
      </c>
      <c r="R2381">
        <v>41810</v>
      </c>
    </row>
    <row r="2382" spans="1:18" x14ac:dyDescent="0.25">
      <c r="A2382" s="170">
        <v>45551</v>
      </c>
      <c r="B2382" s="116">
        <v>364</v>
      </c>
      <c r="C2382" s="116">
        <v>349.9</v>
      </c>
      <c r="D2382" s="116">
        <v>346.35</v>
      </c>
      <c r="E2382" s="116">
        <v>351</v>
      </c>
      <c r="F2382" s="116">
        <v>349.9</v>
      </c>
      <c r="G2382">
        <v>2950</v>
      </c>
      <c r="H2382" s="116"/>
      <c r="I2382" s="116"/>
      <c r="L2382" s="170">
        <v>45520</v>
      </c>
      <c r="M2382" s="116">
        <v>337.1</v>
      </c>
      <c r="N2382" s="116">
        <v>338.5</v>
      </c>
      <c r="O2382" s="116">
        <v>329.85</v>
      </c>
      <c r="P2382" s="116">
        <v>335.2</v>
      </c>
      <c r="Q2382" s="116">
        <v>337.1</v>
      </c>
      <c r="R2382">
        <v>35746</v>
      </c>
    </row>
    <row r="2383" spans="1:18" x14ac:dyDescent="0.25">
      <c r="A2383" s="170">
        <v>45552</v>
      </c>
      <c r="B2383" s="116">
        <v>356.4</v>
      </c>
      <c r="C2383" s="116">
        <v>352.7</v>
      </c>
      <c r="D2383" s="116">
        <v>344.8</v>
      </c>
      <c r="E2383" s="116">
        <v>349.9</v>
      </c>
      <c r="F2383" s="116">
        <v>352.7</v>
      </c>
      <c r="G2383">
        <v>3218</v>
      </c>
      <c r="H2383" s="116"/>
      <c r="I2383" s="116"/>
      <c r="L2383" s="170">
        <v>45523</v>
      </c>
      <c r="M2383" s="116">
        <v>338.3</v>
      </c>
      <c r="N2383" s="116">
        <v>340.5</v>
      </c>
      <c r="O2383" s="116">
        <v>333.7</v>
      </c>
      <c r="P2383" s="116">
        <v>337.5</v>
      </c>
      <c r="Q2383" s="116">
        <v>338.3</v>
      </c>
      <c r="R2383">
        <v>20933</v>
      </c>
    </row>
    <row r="2384" spans="1:18" x14ac:dyDescent="0.25">
      <c r="A2384" s="170">
        <v>45553</v>
      </c>
      <c r="B2384" s="116">
        <v>357.1</v>
      </c>
      <c r="C2384" s="116">
        <v>351.35</v>
      </c>
      <c r="D2384" s="116">
        <v>348.6</v>
      </c>
      <c r="E2384" s="116">
        <v>353</v>
      </c>
      <c r="F2384" s="116">
        <v>351.35</v>
      </c>
      <c r="G2384">
        <v>1421</v>
      </c>
      <c r="H2384" s="116"/>
      <c r="I2384" s="116"/>
      <c r="L2384" s="170">
        <v>45524</v>
      </c>
      <c r="M2384" s="116">
        <v>351.85</v>
      </c>
      <c r="N2384" s="116">
        <v>356</v>
      </c>
      <c r="O2384" s="116">
        <v>339.4</v>
      </c>
      <c r="P2384" s="116">
        <v>341.8</v>
      </c>
      <c r="Q2384" s="116">
        <v>351.85</v>
      </c>
      <c r="R2384">
        <v>85560</v>
      </c>
    </row>
    <row r="2385" spans="1:18" x14ac:dyDescent="0.25">
      <c r="A2385" s="170">
        <v>45554</v>
      </c>
      <c r="B2385" s="116">
        <v>359.8</v>
      </c>
      <c r="C2385" s="116">
        <v>344</v>
      </c>
      <c r="D2385" s="116">
        <v>339.05</v>
      </c>
      <c r="E2385" s="116">
        <v>359.75</v>
      </c>
      <c r="F2385" s="116">
        <v>344</v>
      </c>
      <c r="G2385">
        <v>3492</v>
      </c>
      <c r="H2385" s="116"/>
      <c r="I2385" s="116"/>
      <c r="L2385" s="170">
        <v>45525</v>
      </c>
      <c r="M2385" s="116">
        <v>364.5</v>
      </c>
      <c r="N2385" s="116">
        <v>368.6</v>
      </c>
      <c r="O2385" s="116">
        <v>351.85</v>
      </c>
      <c r="P2385" s="116">
        <v>353.65</v>
      </c>
      <c r="Q2385" s="116">
        <v>364.5</v>
      </c>
      <c r="R2385">
        <v>154836</v>
      </c>
    </row>
    <row r="2386" spans="1:18" x14ac:dyDescent="0.25">
      <c r="A2386" s="170">
        <v>45555</v>
      </c>
      <c r="B2386" s="116">
        <v>355.8</v>
      </c>
      <c r="C2386" s="116">
        <v>345.95</v>
      </c>
      <c r="D2386" s="116">
        <v>343.3</v>
      </c>
      <c r="E2386" s="116">
        <v>355.8</v>
      </c>
      <c r="F2386" s="116">
        <v>345.95</v>
      </c>
      <c r="G2386">
        <v>2186</v>
      </c>
      <c r="H2386" s="116"/>
      <c r="I2386" s="116"/>
      <c r="L2386" s="170">
        <v>45526</v>
      </c>
      <c r="M2386" s="116">
        <v>362.55</v>
      </c>
      <c r="N2386" s="116">
        <v>368</v>
      </c>
      <c r="O2386" s="116">
        <v>357.3</v>
      </c>
      <c r="P2386" s="116">
        <v>364.45</v>
      </c>
      <c r="Q2386" s="116">
        <v>362.55</v>
      </c>
      <c r="R2386">
        <v>52881</v>
      </c>
    </row>
    <row r="2387" spans="1:18" x14ac:dyDescent="0.25">
      <c r="A2387" s="170">
        <v>45558</v>
      </c>
      <c r="B2387" s="116">
        <v>350.9</v>
      </c>
      <c r="C2387" s="116">
        <v>349.4</v>
      </c>
      <c r="D2387" s="116">
        <v>343.25</v>
      </c>
      <c r="E2387" s="116">
        <v>348</v>
      </c>
      <c r="F2387" s="116">
        <v>349.4</v>
      </c>
      <c r="G2387">
        <v>1222</v>
      </c>
      <c r="H2387" s="116"/>
      <c r="I2387" s="116"/>
      <c r="L2387" s="170">
        <v>45527</v>
      </c>
      <c r="M2387" s="116">
        <v>367.05</v>
      </c>
      <c r="N2387" s="116">
        <v>373.45</v>
      </c>
      <c r="O2387" s="116">
        <v>360.85</v>
      </c>
      <c r="P2387" s="116">
        <v>362.55</v>
      </c>
      <c r="Q2387" s="116">
        <v>367.05</v>
      </c>
      <c r="R2387">
        <v>106725</v>
      </c>
    </row>
    <row r="2388" spans="1:18" x14ac:dyDescent="0.25">
      <c r="A2388" s="170">
        <v>45559</v>
      </c>
      <c r="B2388" s="116">
        <v>350.1</v>
      </c>
      <c r="C2388" s="116">
        <v>345.7</v>
      </c>
      <c r="D2388" s="116">
        <v>343.4</v>
      </c>
      <c r="E2388" s="116">
        <v>349.6</v>
      </c>
      <c r="F2388" s="116">
        <v>345.7</v>
      </c>
      <c r="G2388">
        <v>3230</v>
      </c>
      <c r="H2388" s="116"/>
      <c r="I2388" s="116"/>
      <c r="L2388" s="170">
        <v>45530</v>
      </c>
      <c r="M2388" s="116">
        <v>360.35</v>
      </c>
      <c r="N2388" s="116">
        <v>366</v>
      </c>
      <c r="O2388" s="116">
        <v>359.1</v>
      </c>
      <c r="P2388" s="116">
        <v>366</v>
      </c>
      <c r="Q2388" s="116">
        <v>360.35</v>
      </c>
      <c r="R2388">
        <v>40658</v>
      </c>
    </row>
    <row r="2389" spans="1:18" x14ac:dyDescent="0.25">
      <c r="A2389" s="170">
        <v>45560</v>
      </c>
      <c r="B2389" s="116">
        <v>349.3</v>
      </c>
      <c r="C2389" s="116">
        <v>346.95</v>
      </c>
      <c r="D2389" s="116">
        <v>343</v>
      </c>
      <c r="E2389" s="116">
        <v>345.7</v>
      </c>
      <c r="F2389" s="116">
        <v>346.95</v>
      </c>
      <c r="G2389">
        <v>1513</v>
      </c>
      <c r="H2389" s="116"/>
      <c r="I2389" s="116"/>
      <c r="L2389" s="170">
        <v>45531</v>
      </c>
      <c r="M2389" s="116">
        <v>361.25</v>
      </c>
      <c r="N2389" s="116">
        <v>366.95</v>
      </c>
      <c r="O2389" s="116">
        <v>360</v>
      </c>
      <c r="P2389" s="116">
        <v>362.2</v>
      </c>
      <c r="Q2389" s="116">
        <v>361.25</v>
      </c>
      <c r="R2389">
        <v>26578</v>
      </c>
    </row>
    <row r="2390" spans="1:18" x14ac:dyDescent="0.25">
      <c r="A2390" s="170">
        <v>45561</v>
      </c>
      <c r="B2390" s="116">
        <v>351.9</v>
      </c>
      <c r="C2390" s="116">
        <v>349.45</v>
      </c>
      <c r="D2390" s="116">
        <v>345.25</v>
      </c>
      <c r="E2390" s="116">
        <v>347</v>
      </c>
      <c r="F2390" s="116">
        <v>349.45</v>
      </c>
      <c r="G2390">
        <v>517</v>
      </c>
      <c r="H2390" s="116"/>
      <c r="I2390" s="116"/>
      <c r="L2390" s="170">
        <v>45532</v>
      </c>
      <c r="M2390" s="116">
        <v>353.6</v>
      </c>
      <c r="N2390" s="116">
        <v>362.8</v>
      </c>
      <c r="O2390" s="116">
        <v>351</v>
      </c>
      <c r="P2390" s="116">
        <v>357.15</v>
      </c>
      <c r="Q2390" s="116">
        <v>353.6</v>
      </c>
      <c r="R2390">
        <v>47521</v>
      </c>
    </row>
    <row r="2391" spans="1:18" x14ac:dyDescent="0.25">
      <c r="A2391" s="170">
        <v>45562</v>
      </c>
      <c r="B2391" s="116">
        <v>349.4</v>
      </c>
      <c r="C2391" s="116">
        <v>344.35</v>
      </c>
      <c r="D2391" s="116">
        <v>341</v>
      </c>
      <c r="E2391" s="116">
        <v>348.9</v>
      </c>
      <c r="F2391" s="116">
        <v>344.35</v>
      </c>
      <c r="G2391">
        <v>2846</v>
      </c>
      <c r="H2391" s="116"/>
      <c r="I2391" s="116"/>
      <c r="L2391" s="170">
        <v>45533</v>
      </c>
      <c r="M2391" s="116">
        <v>349.65</v>
      </c>
      <c r="N2391" s="116">
        <v>355.05</v>
      </c>
      <c r="O2391" s="116">
        <v>345.05</v>
      </c>
      <c r="P2391" s="116">
        <v>353.6</v>
      </c>
      <c r="Q2391" s="116">
        <v>349.65</v>
      </c>
      <c r="R2391">
        <v>27174</v>
      </c>
    </row>
    <row r="2392" spans="1:18" x14ac:dyDescent="0.25">
      <c r="A2392" s="170">
        <v>45565</v>
      </c>
      <c r="B2392" s="116">
        <v>347.1</v>
      </c>
      <c r="C2392" s="116">
        <v>341.4</v>
      </c>
      <c r="D2392" s="116">
        <v>340.8</v>
      </c>
      <c r="E2392" s="116">
        <v>344.35</v>
      </c>
      <c r="F2392" s="116">
        <v>341.4</v>
      </c>
      <c r="G2392">
        <v>1510</v>
      </c>
      <c r="H2392" s="116"/>
      <c r="I2392" s="116"/>
      <c r="L2392" s="170">
        <v>45534</v>
      </c>
      <c r="M2392" s="116">
        <v>351.25</v>
      </c>
      <c r="N2392" s="116">
        <v>353.15</v>
      </c>
      <c r="O2392" s="116">
        <v>347.95</v>
      </c>
      <c r="P2392" s="116">
        <v>351.4</v>
      </c>
      <c r="Q2392" s="116">
        <v>351.25</v>
      </c>
      <c r="R2392">
        <v>16285</v>
      </c>
    </row>
    <row r="2393" spans="1:18" x14ac:dyDescent="0.25">
      <c r="A2393" s="170">
        <v>45566</v>
      </c>
      <c r="B2393" s="116">
        <v>342.95</v>
      </c>
      <c r="C2393" s="116">
        <v>339.4</v>
      </c>
      <c r="D2393" s="116">
        <v>334.6</v>
      </c>
      <c r="E2393" s="116">
        <v>340</v>
      </c>
      <c r="F2393" s="116">
        <v>339.4</v>
      </c>
      <c r="G2393">
        <v>349</v>
      </c>
      <c r="H2393" s="116"/>
      <c r="I2393" s="116"/>
      <c r="L2393" s="170">
        <v>45537</v>
      </c>
      <c r="M2393" s="116">
        <v>347</v>
      </c>
      <c r="N2393" s="116">
        <v>356</v>
      </c>
      <c r="O2393" s="116">
        <v>345.35</v>
      </c>
      <c r="P2393" s="116">
        <v>350.5</v>
      </c>
      <c r="Q2393" s="116">
        <v>347</v>
      </c>
      <c r="R2393">
        <v>29182</v>
      </c>
    </row>
    <row r="2394" spans="1:18" x14ac:dyDescent="0.25">
      <c r="A2394" s="170">
        <v>45568</v>
      </c>
      <c r="B2394" s="116">
        <v>341.05</v>
      </c>
      <c r="C2394" s="116">
        <v>335.25</v>
      </c>
      <c r="D2394" s="116">
        <v>334.95</v>
      </c>
      <c r="E2394" s="116">
        <v>338</v>
      </c>
      <c r="F2394" s="116">
        <v>335.25</v>
      </c>
      <c r="G2394">
        <v>1814</v>
      </c>
      <c r="H2394" s="116"/>
      <c r="I2394" s="116"/>
      <c r="L2394" s="170">
        <v>45538</v>
      </c>
      <c r="M2394" s="116">
        <v>347.45</v>
      </c>
      <c r="N2394" s="116">
        <v>350.55</v>
      </c>
      <c r="O2394" s="116">
        <v>345.7</v>
      </c>
      <c r="P2394" s="116">
        <v>348.5</v>
      </c>
      <c r="Q2394" s="116">
        <v>347.45</v>
      </c>
      <c r="R2394">
        <v>11073</v>
      </c>
    </row>
    <row r="2395" spans="1:18" x14ac:dyDescent="0.25">
      <c r="A2395" s="170">
        <v>45569</v>
      </c>
      <c r="B2395" s="116">
        <v>343.8</v>
      </c>
      <c r="C2395" s="116">
        <v>334.75</v>
      </c>
      <c r="D2395" s="116">
        <v>330.8</v>
      </c>
      <c r="E2395" s="116">
        <v>333.9</v>
      </c>
      <c r="F2395" s="116">
        <v>334.75</v>
      </c>
      <c r="G2395">
        <v>1395</v>
      </c>
      <c r="H2395" s="116"/>
      <c r="I2395" s="116"/>
      <c r="L2395" s="170">
        <v>45539</v>
      </c>
      <c r="M2395" s="116">
        <v>346.8</v>
      </c>
      <c r="N2395" s="116">
        <v>349.85</v>
      </c>
      <c r="O2395" s="116">
        <v>344.85</v>
      </c>
      <c r="P2395" s="116">
        <v>346.9</v>
      </c>
      <c r="Q2395" s="116">
        <v>346.8</v>
      </c>
      <c r="R2395">
        <v>19278</v>
      </c>
    </row>
    <row r="2396" spans="1:18" x14ac:dyDescent="0.25">
      <c r="A2396" s="170">
        <v>45572</v>
      </c>
      <c r="B2396" s="116">
        <v>334.6</v>
      </c>
      <c r="C2396" s="116">
        <v>322.89999999999998</v>
      </c>
      <c r="D2396" s="116">
        <v>320.7</v>
      </c>
      <c r="E2396" s="116">
        <v>333.2</v>
      </c>
      <c r="F2396" s="116">
        <v>322.89999999999998</v>
      </c>
      <c r="G2396">
        <v>2271</v>
      </c>
      <c r="H2396" s="116"/>
      <c r="I2396" s="116"/>
      <c r="L2396" s="170">
        <v>45540</v>
      </c>
      <c r="M2396" s="116">
        <v>345.9</v>
      </c>
      <c r="N2396" s="116">
        <v>351.65</v>
      </c>
      <c r="O2396" s="116">
        <v>345.45</v>
      </c>
      <c r="P2396" s="116">
        <v>347.6</v>
      </c>
      <c r="Q2396" s="116">
        <v>345.9</v>
      </c>
      <c r="R2396">
        <v>21922</v>
      </c>
    </row>
    <row r="2397" spans="1:18" x14ac:dyDescent="0.25">
      <c r="A2397" s="170">
        <v>45573</v>
      </c>
      <c r="B2397" s="116">
        <v>332.65</v>
      </c>
      <c r="C2397" s="116">
        <v>330.2</v>
      </c>
      <c r="D2397" s="116">
        <v>317.75</v>
      </c>
      <c r="E2397" s="116">
        <v>329</v>
      </c>
      <c r="F2397" s="116">
        <v>330.2</v>
      </c>
      <c r="G2397">
        <v>3466</v>
      </c>
      <c r="H2397" s="116"/>
      <c r="I2397" s="116"/>
      <c r="L2397" s="170">
        <v>45541</v>
      </c>
      <c r="M2397" s="116">
        <v>342.05</v>
      </c>
      <c r="N2397" s="116">
        <v>348.9</v>
      </c>
      <c r="O2397" s="116">
        <v>340.1</v>
      </c>
      <c r="P2397" s="116">
        <v>344</v>
      </c>
      <c r="Q2397" s="116">
        <v>342.05</v>
      </c>
      <c r="R2397">
        <v>18002</v>
      </c>
    </row>
    <row r="2398" spans="1:18" x14ac:dyDescent="0.25">
      <c r="A2398" s="170">
        <v>45574</v>
      </c>
      <c r="B2398" s="116">
        <v>335.2</v>
      </c>
      <c r="C2398" s="116">
        <v>333.9</v>
      </c>
      <c r="D2398" s="116">
        <v>328.25</v>
      </c>
      <c r="E2398" s="116">
        <v>333</v>
      </c>
      <c r="F2398" s="116">
        <v>333.9</v>
      </c>
      <c r="G2398">
        <v>986</v>
      </c>
      <c r="H2398" s="116"/>
      <c r="I2398" s="116"/>
      <c r="L2398" s="170">
        <v>45544</v>
      </c>
      <c r="M2398" s="116">
        <v>338.65</v>
      </c>
      <c r="N2398" s="116">
        <v>343.8</v>
      </c>
      <c r="O2398" s="116">
        <v>336.15</v>
      </c>
      <c r="P2398" s="116">
        <v>343.8</v>
      </c>
      <c r="Q2398" s="116">
        <v>338.65</v>
      </c>
      <c r="R2398">
        <v>29546</v>
      </c>
    </row>
    <row r="2399" spans="1:18" x14ac:dyDescent="0.25">
      <c r="A2399" s="170">
        <v>45575</v>
      </c>
      <c r="B2399" s="116">
        <v>333.8</v>
      </c>
      <c r="C2399" s="116">
        <v>329.05</v>
      </c>
      <c r="D2399" s="116">
        <v>326.05</v>
      </c>
      <c r="E2399" s="116">
        <v>333.8</v>
      </c>
      <c r="F2399" s="116">
        <v>329.05</v>
      </c>
      <c r="G2399">
        <v>1390</v>
      </c>
      <c r="H2399" s="116"/>
      <c r="I2399" s="116"/>
      <c r="L2399" s="170">
        <v>45545</v>
      </c>
      <c r="M2399" s="116">
        <v>345.75</v>
      </c>
      <c r="N2399" s="116">
        <v>353.1</v>
      </c>
      <c r="O2399" s="116">
        <v>337.1</v>
      </c>
      <c r="P2399" s="116">
        <v>337.1</v>
      </c>
      <c r="Q2399" s="116">
        <v>345.75</v>
      </c>
      <c r="R2399">
        <v>22411</v>
      </c>
    </row>
    <row r="2400" spans="1:18" x14ac:dyDescent="0.25">
      <c r="A2400" s="170">
        <v>45576</v>
      </c>
      <c r="B2400" s="116">
        <v>338.2</v>
      </c>
      <c r="C2400" s="116">
        <v>336.75</v>
      </c>
      <c r="D2400" s="116">
        <v>329.45</v>
      </c>
      <c r="E2400" s="116">
        <v>330.95</v>
      </c>
      <c r="F2400" s="116">
        <v>336.75</v>
      </c>
      <c r="G2400">
        <v>5436</v>
      </c>
      <c r="H2400" s="116"/>
      <c r="I2400" s="116"/>
      <c r="L2400" s="170">
        <v>45546</v>
      </c>
      <c r="M2400" s="116">
        <v>344.2</v>
      </c>
      <c r="N2400" s="116">
        <v>350.9</v>
      </c>
      <c r="O2400" s="116">
        <v>340</v>
      </c>
      <c r="P2400" s="116">
        <v>345.9</v>
      </c>
      <c r="Q2400" s="116">
        <v>344.2</v>
      </c>
      <c r="R2400">
        <v>32180</v>
      </c>
    </row>
    <row r="2401" spans="1:18" x14ac:dyDescent="0.25">
      <c r="A2401" s="170">
        <v>45579</v>
      </c>
      <c r="B2401" s="116">
        <v>341.85</v>
      </c>
      <c r="C2401" s="116">
        <v>340.15</v>
      </c>
      <c r="D2401" s="116">
        <v>323.3</v>
      </c>
      <c r="E2401" s="116">
        <v>323.3</v>
      </c>
      <c r="F2401" s="116">
        <v>340.15</v>
      </c>
      <c r="G2401">
        <v>1800</v>
      </c>
      <c r="H2401" s="116"/>
      <c r="I2401" s="116"/>
      <c r="L2401" s="170">
        <v>45547</v>
      </c>
      <c r="M2401" s="116">
        <v>350.95</v>
      </c>
      <c r="N2401" s="116">
        <v>352.05</v>
      </c>
      <c r="O2401" s="116">
        <v>340.9</v>
      </c>
      <c r="P2401" s="116">
        <v>345.95</v>
      </c>
      <c r="Q2401" s="116">
        <v>350.95</v>
      </c>
      <c r="R2401">
        <v>16703</v>
      </c>
    </row>
    <row r="2402" spans="1:18" x14ac:dyDescent="0.25">
      <c r="A2402" s="170">
        <v>45580</v>
      </c>
      <c r="B2402" s="116">
        <v>339.95</v>
      </c>
      <c r="C2402" s="116">
        <v>331.6</v>
      </c>
      <c r="D2402" s="116">
        <v>328</v>
      </c>
      <c r="E2402" s="116">
        <v>339.9</v>
      </c>
      <c r="F2402" s="116">
        <v>331.6</v>
      </c>
      <c r="G2402">
        <v>2382</v>
      </c>
      <c r="H2402" s="116"/>
      <c r="I2402" s="116"/>
      <c r="L2402" s="170">
        <v>45548</v>
      </c>
      <c r="M2402" s="116">
        <v>361.7</v>
      </c>
      <c r="N2402" s="116">
        <v>371</v>
      </c>
      <c r="O2402" s="116">
        <v>350.5</v>
      </c>
      <c r="P2402" s="116">
        <v>358.65</v>
      </c>
      <c r="Q2402" s="116">
        <v>361.7</v>
      </c>
      <c r="R2402">
        <v>229216</v>
      </c>
    </row>
    <row r="2403" spans="1:18" x14ac:dyDescent="0.25">
      <c r="A2403" s="170">
        <v>45581</v>
      </c>
      <c r="B2403" s="116">
        <v>332.95</v>
      </c>
      <c r="C2403" s="116">
        <v>329.1</v>
      </c>
      <c r="D2403" s="116">
        <v>327.55</v>
      </c>
      <c r="E2403" s="116">
        <v>330.75</v>
      </c>
      <c r="F2403" s="116">
        <v>329.1</v>
      </c>
      <c r="G2403">
        <v>1581</v>
      </c>
      <c r="H2403" s="116"/>
      <c r="I2403" s="116"/>
      <c r="L2403" s="170">
        <v>45551</v>
      </c>
      <c r="M2403" s="116">
        <v>348.75</v>
      </c>
      <c r="N2403" s="116">
        <v>364.6</v>
      </c>
      <c r="O2403" s="116">
        <v>346.75</v>
      </c>
      <c r="P2403" s="116">
        <v>361.7</v>
      </c>
      <c r="Q2403" s="116">
        <v>348.75</v>
      </c>
      <c r="R2403">
        <v>63431</v>
      </c>
    </row>
    <row r="2404" spans="1:18" x14ac:dyDescent="0.25">
      <c r="A2404" s="170">
        <v>45582</v>
      </c>
      <c r="B2404" s="116">
        <v>329.4</v>
      </c>
      <c r="C2404" s="116">
        <v>322.60000000000002</v>
      </c>
      <c r="D2404" s="116">
        <v>322</v>
      </c>
      <c r="E2404" s="116">
        <v>329.15</v>
      </c>
      <c r="F2404" s="116">
        <v>322.60000000000002</v>
      </c>
      <c r="G2404">
        <v>1404</v>
      </c>
      <c r="H2404" s="116"/>
      <c r="I2404" s="116"/>
      <c r="L2404" s="170">
        <v>45552</v>
      </c>
      <c r="M2404" s="116">
        <v>354.15</v>
      </c>
      <c r="N2404" s="116">
        <v>358</v>
      </c>
      <c r="O2404" s="116">
        <v>345.15</v>
      </c>
      <c r="P2404" s="116">
        <v>349.95</v>
      </c>
      <c r="Q2404" s="116">
        <v>354.15</v>
      </c>
      <c r="R2404">
        <v>57699</v>
      </c>
    </row>
    <row r="2405" spans="1:18" x14ac:dyDescent="0.25">
      <c r="A2405" s="170">
        <v>45583</v>
      </c>
      <c r="B2405" s="116">
        <v>327.64999999999998</v>
      </c>
      <c r="C2405" s="116">
        <v>324.3</v>
      </c>
      <c r="D2405" s="116">
        <v>311</v>
      </c>
      <c r="E2405" s="116">
        <v>322.39999999999998</v>
      </c>
      <c r="F2405" s="116">
        <v>324.3</v>
      </c>
      <c r="G2405">
        <v>2603</v>
      </c>
      <c r="H2405" s="116"/>
      <c r="I2405" s="116"/>
      <c r="L2405" s="170">
        <v>45553</v>
      </c>
      <c r="M2405" s="116">
        <v>351.35</v>
      </c>
      <c r="N2405" s="116">
        <v>357.8</v>
      </c>
      <c r="O2405" s="116">
        <v>349</v>
      </c>
      <c r="P2405" s="116">
        <v>357.75</v>
      </c>
      <c r="Q2405" s="116">
        <v>351.35</v>
      </c>
      <c r="R2405">
        <v>33870</v>
      </c>
    </row>
    <row r="2406" spans="1:18" x14ac:dyDescent="0.25">
      <c r="A2406" s="170">
        <v>45586</v>
      </c>
      <c r="B2406" s="116">
        <v>322.2</v>
      </c>
      <c r="C2406" s="116">
        <v>309.55</v>
      </c>
      <c r="D2406" s="116">
        <v>309</v>
      </c>
      <c r="E2406" s="116">
        <v>322.2</v>
      </c>
      <c r="F2406" s="116">
        <v>309.55</v>
      </c>
      <c r="G2406">
        <v>6608</v>
      </c>
      <c r="H2406" s="116"/>
      <c r="I2406" s="116"/>
      <c r="L2406" s="170">
        <v>45554</v>
      </c>
      <c r="M2406" s="116">
        <v>343.25</v>
      </c>
      <c r="N2406" s="116">
        <v>354.45</v>
      </c>
      <c r="O2406" s="116">
        <v>340</v>
      </c>
      <c r="P2406" s="116">
        <v>353.5</v>
      </c>
      <c r="Q2406" s="116">
        <v>343.25</v>
      </c>
      <c r="R2406">
        <v>50799</v>
      </c>
    </row>
    <row r="2407" spans="1:18" x14ac:dyDescent="0.25">
      <c r="A2407" s="170">
        <v>45587</v>
      </c>
      <c r="B2407" s="116">
        <v>319</v>
      </c>
      <c r="C2407" s="116">
        <v>300.10000000000002</v>
      </c>
      <c r="D2407" s="116">
        <v>298.95</v>
      </c>
      <c r="E2407" s="116">
        <v>319</v>
      </c>
      <c r="F2407" s="116">
        <v>300.10000000000002</v>
      </c>
      <c r="G2407">
        <v>6651</v>
      </c>
      <c r="H2407" s="116"/>
      <c r="I2407" s="116"/>
      <c r="L2407" s="170">
        <v>45555</v>
      </c>
      <c r="M2407" s="116">
        <v>350.65</v>
      </c>
      <c r="N2407" s="116">
        <v>352.9</v>
      </c>
      <c r="O2407" s="116">
        <v>341.2</v>
      </c>
      <c r="P2407" s="116">
        <v>341.2</v>
      </c>
      <c r="Q2407" s="116">
        <v>350.65</v>
      </c>
      <c r="R2407">
        <v>22785</v>
      </c>
    </row>
    <row r="2408" spans="1:18" x14ac:dyDescent="0.25">
      <c r="A2408" s="170">
        <v>45588</v>
      </c>
      <c r="B2408" s="116">
        <v>303.7</v>
      </c>
      <c r="C2408" s="116">
        <v>295.14999999999998</v>
      </c>
      <c r="D2408" s="116">
        <v>290</v>
      </c>
      <c r="E2408" s="116">
        <v>290</v>
      </c>
      <c r="F2408" s="116">
        <v>295.14999999999998</v>
      </c>
      <c r="G2408">
        <v>4266</v>
      </c>
      <c r="H2408" s="116"/>
      <c r="I2408" s="116"/>
      <c r="L2408" s="170">
        <v>45558</v>
      </c>
      <c r="M2408" s="116">
        <v>348.75</v>
      </c>
      <c r="N2408" s="116">
        <v>351.45</v>
      </c>
      <c r="O2408" s="116">
        <v>344</v>
      </c>
      <c r="P2408" s="116">
        <v>350.65</v>
      </c>
      <c r="Q2408" s="116">
        <v>348.75</v>
      </c>
      <c r="R2408">
        <v>20166</v>
      </c>
    </row>
    <row r="2409" spans="1:18" x14ac:dyDescent="0.25">
      <c r="A2409" s="170">
        <v>45589</v>
      </c>
      <c r="B2409" s="116">
        <v>323</v>
      </c>
      <c r="C2409" s="116">
        <v>300.95</v>
      </c>
      <c r="D2409" s="116">
        <v>288.95</v>
      </c>
      <c r="E2409" s="116">
        <v>323</v>
      </c>
      <c r="F2409" s="116">
        <v>300.95</v>
      </c>
      <c r="G2409">
        <v>4698</v>
      </c>
      <c r="H2409" s="116"/>
      <c r="I2409" s="116"/>
      <c r="L2409" s="170">
        <v>45559</v>
      </c>
      <c r="M2409" s="116">
        <v>346.25</v>
      </c>
      <c r="N2409" s="116">
        <v>352.1</v>
      </c>
      <c r="O2409" s="116">
        <v>343.2</v>
      </c>
      <c r="P2409" s="116">
        <v>348.75</v>
      </c>
      <c r="Q2409" s="116">
        <v>346.25</v>
      </c>
      <c r="R2409">
        <v>32356</v>
      </c>
    </row>
    <row r="2410" spans="1:18" x14ac:dyDescent="0.25">
      <c r="A2410" s="170">
        <v>45590</v>
      </c>
      <c r="B2410" s="116">
        <v>300</v>
      </c>
      <c r="C2410" s="116">
        <v>298.2</v>
      </c>
      <c r="D2410" s="116">
        <v>296.7</v>
      </c>
      <c r="E2410" s="116">
        <v>300</v>
      </c>
      <c r="F2410" s="116">
        <v>298.2</v>
      </c>
      <c r="G2410">
        <v>439</v>
      </c>
      <c r="H2410" s="116"/>
      <c r="I2410" s="116"/>
      <c r="L2410" s="170">
        <v>45560</v>
      </c>
      <c r="M2410" s="116">
        <v>347.45</v>
      </c>
      <c r="N2410" s="116">
        <v>350</v>
      </c>
      <c r="O2410" s="116">
        <v>343.2</v>
      </c>
      <c r="P2410" s="116">
        <v>346.9</v>
      </c>
      <c r="Q2410" s="116">
        <v>347.45</v>
      </c>
      <c r="R2410">
        <v>30618</v>
      </c>
    </row>
    <row r="2411" spans="1:18" x14ac:dyDescent="0.25">
      <c r="A2411" s="170">
        <v>45593</v>
      </c>
      <c r="B2411" s="116">
        <v>310</v>
      </c>
      <c r="C2411" s="116">
        <v>303.45</v>
      </c>
      <c r="D2411" s="116">
        <v>298</v>
      </c>
      <c r="E2411" s="116">
        <v>298.10000000000002</v>
      </c>
      <c r="F2411" s="116">
        <v>303.45</v>
      </c>
      <c r="G2411">
        <v>1060</v>
      </c>
      <c r="H2411" s="116"/>
      <c r="I2411" s="116"/>
      <c r="L2411" s="170">
        <v>45561</v>
      </c>
      <c r="M2411" s="116">
        <v>348.6</v>
      </c>
      <c r="N2411" s="116">
        <v>353</v>
      </c>
      <c r="O2411" s="116">
        <v>345.35</v>
      </c>
      <c r="P2411" s="116">
        <v>349.2</v>
      </c>
      <c r="Q2411" s="116">
        <v>348.6</v>
      </c>
      <c r="R2411">
        <v>8668</v>
      </c>
    </row>
    <row r="2412" spans="1:18" x14ac:dyDescent="0.25">
      <c r="A2412" s="170">
        <v>45594</v>
      </c>
      <c r="B2412" s="116">
        <v>311.14999999999998</v>
      </c>
      <c r="C2412" s="116">
        <v>301.2</v>
      </c>
      <c r="D2412" s="116">
        <v>300</v>
      </c>
      <c r="E2412" s="116">
        <v>311.14999999999998</v>
      </c>
      <c r="F2412" s="116">
        <v>301.2</v>
      </c>
      <c r="G2412">
        <v>753</v>
      </c>
      <c r="H2412" s="116"/>
      <c r="I2412" s="116"/>
      <c r="L2412" s="170">
        <v>45562</v>
      </c>
      <c r="M2412" s="116">
        <v>344</v>
      </c>
      <c r="N2412" s="116">
        <v>351.85</v>
      </c>
      <c r="O2412" s="116">
        <v>341.35</v>
      </c>
      <c r="P2412" s="116">
        <v>348</v>
      </c>
      <c r="Q2412" s="116">
        <v>344</v>
      </c>
      <c r="R2412">
        <v>22109</v>
      </c>
    </row>
    <row r="2413" spans="1:18" x14ac:dyDescent="0.25">
      <c r="A2413" s="170">
        <v>45595</v>
      </c>
      <c r="B2413" s="116">
        <v>305.60000000000002</v>
      </c>
      <c r="C2413" s="116">
        <v>305.10000000000002</v>
      </c>
      <c r="D2413" s="116">
        <v>297</v>
      </c>
      <c r="E2413" s="116">
        <v>297</v>
      </c>
      <c r="F2413" s="116">
        <v>305.10000000000002</v>
      </c>
      <c r="G2413">
        <v>571</v>
      </c>
      <c r="H2413" s="116"/>
      <c r="I2413" s="116"/>
      <c r="L2413" s="170">
        <v>45565</v>
      </c>
      <c r="M2413" s="116">
        <v>341.95</v>
      </c>
      <c r="N2413" s="116">
        <v>347.45</v>
      </c>
      <c r="O2413" s="116">
        <v>341</v>
      </c>
      <c r="P2413" s="116">
        <v>345.75</v>
      </c>
      <c r="Q2413" s="116">
        <v>341.95</v>
      </c>
      <c r="R2413">
        <v>22799</v>
      </c>
    </row>
    <row r="2414" spans="1:18" x14ac:dyDescent="0.25">
      <c r="A2414" s="170">
        <v>45596</v>
      </c>
      <c r="B2414" s="116">
        <v>309.60000000000002</v>
      </c>
      <c r="C2414" s="116">
        <v>308.3</v>
      </c>
      <c r="D2414" s="116">
        <v>302.95</v>
      </c>
      <c r="E2414" s="116">
        <v>304.60000000000002</v>
      </c>
      <c r="F2414" s="116">
        <v>308.3</v>
      </c>
      <c r="G2414">
        <v>666</v>
      </c>
      <c r="H2414" s="116"/>
      <c r="I2414" s="116"/>
      <c r="L2414" s="170">
        <v>45566</v>
      </c>
      <c r="M2414" s="116">
        <v>339.65</v>
      </c>
      <c r="N2414" s="116">
        <v>343.7</v>
      </c>
      <c r="O2414" s="116">
        <v>339.1</v>
      </c>
      <c r="P2414" s="116">
        <v>341</v>
      </c>
      <c r="Q2414" s="116">
        <v>339.65</v>
      </c>
      <c r="R2414">
        <v>15185</v>
      </c>
    </row>
    <row r="2415" spans="1:18" x14ac:dyDescent="0.25">
      <c r="A2415" s="170">
        <v>45597</v>
      </c>
      <c r="B2415" s="116">
        <v>313</v>
      </c>
      <c r="C2415" s="116">
        <v>311.7</v>
      </c>
      <c r="D2415" s="116">
        <v>305</v>
      </c>
      <c r="E2415" s="116">
        <v>308.85000000000002</v>
      </c>
      <c r="F2415" s="116">
        <v>311.7</v>
      </c>
      <c r="G2415">
        <v>575</v>
      </c>
      <c r="H2415" s="116"/>
      <c r="I2415" s="116"/>
      <c r="L2415" s="170">
        <v>45568</v>
      </c>
      <c r="M2415" s="116">
        <v>336.2</v>
      </c>
      <c r="N2415" s="116">
        <v>339.5</v>
      </c>
      <c r="O2415" s="116">
        <v>335.05</v>
      </c>
      <c r="P2415" s="116">
        <v>338.5</v>
      </c>
      <c r="Q2415" s="116">
        <v>336.2</v>
      </c>
      <c r="R2415">
        <v>21215</v>
      </c>
    </row>
    <row r="2416" spans="1:18" x14ac:dyDescent="0.25">
      <c r="A2416" s="170">
        <v>45600</v>
      </c>
      <c r="B2416" s="116">
        <v>307</v>
      </c>
      <c r="C2416" s="116">
        <v>305.14999999999998</v>
      </c>
      <c r="D2416" s="116">
        <v>296.95</v>
      </c>
      <c r="E2416" s="116">
        <v>307</v>
      </c>
      <c r="F2416" s="116">
        <v>305.14999999999998</v>
      </c>
      <c r="G2416">
        <v>2273</v>
      </c>
      <c r="H2416" s="116"/>
      <c r="I2416" s="116"/>
      <c r="L2416" s="170">
        <v>45569</v>
      </c>
      <c r="M2416" s="116">
        <v>335.4</v>
      </c>
      <c r="N2416" s="116">
        <v>343.2</v>
      </c>
      <c r="O2416" s="116">
        <v>331</v>
      </c>
      <c r="P2416" s="116">
        <v>336</v>
      </c>
      <c r="Q2416" s="116">
        <v>335.4</v>
      </c>
      <c r="R2416">
        <v>38126</v>
      </c>
    </row>
    <row r="2417" spans="1:18" x14ac:dyDescent="0.25">
      <c r="A2417" s="170">
        <v>45601</v>
      </c>
      <c r="B2417" s="116">
        <v>306.3</v>
      </c>
      <c r="C2417" s="116">
        <v>300.25</v>
      </c>
      <c r="D2417" s="116">
        <v>297.5</v>
      </c>
      <c r="E2417" s="116">
        <v>304.45</v>
      </c>
      <c r="F2417" s="116">
        <v>300.25</v>
      </c>
      <c r="G2417">
        <v>2918</v>
      </c>
      <c r="H2417" s="116"/>
      <c r="I2417" s="116"/>
      <c r="L2417" s="170">
        <v>45572</v>
      </c>
      <c r="M2417" s="116">
        <v>322.55</v>
      </c>
      <c r="N2417" s="116">
        <v>338.6</v>
      </c>
      <c r="O2417" s="116">
        <v>320</v>
      </c>
      <c r="P2417" s="116">
        <v>337.1</v>
      </c>
      <c r="Q2417" s="116">
        <v>322.55</v>
      </c>
      <c r="R2417">
        <v>43450</v>
      </c>
    </row>
    <row r="2418" spans="1:18" x14ac:dyDescent="0.25">
      <c r="A2418" s="170">
        <v>45602</v>
      </c>
      <c r="B2418" s="116">
        <v>315</v>
      </c>
      <c r="C2418" s="116">
        <v>310.89999999999998</v>
      </c>
      <c r="D2418" s="116">
        <v>299.3</v>
      </c>
      <c r="E2418" s="116">
        <v>300.25</v>
      </c>
      <c r="F2418" s="116">
        <v>310.89999999999998</v>
      </c>
      <c r="G2418">
        <v>1796</v>
      </c>
      <c r="H2418" s="116"/>
      <c r="I2418" s="116"/>
      <c r="L2418" s="170">
        <v>45573</v>
      </c>
      <c r="M2418" s="116">
        <v>331.25</v>
      </c>
      <c r="N2418" s="116">
        <v>332.9</v>
      </c>
      <c r="O2418" s="116">
        <v>321.7</v>
      </c>
      <c r="P2418" s="116">
        <v>324.2</v>
      </c>
      <c r="Q2418" s="116">
        <v>331.25</v>
      </c>
      <c r="R2418">
        <v>18129</v>
      </c>
    </row>
    <row r="2419" spans="1:18" x14ac:dyDescent="0.25">
      <c r="A2419" s="170">
        <v>45603</v>
      </c>
      <c r="B2419" s="116">
        <v>317.14999999999998</v>
      </c>
      <c r="C2419" s="116">
        <v>306.5</v>
      </c>
      <c r="D2419" s="116">
        <v>304.7</v>
      </c>
      <c r="E2419" s="116">
        <v>317.14999999999998</v>
      </c>
      <c r="F2419" s="116">
        <v>306.5</v>
      </c>
      <c r="G2419">
        <v>828</v>
      </c>
      <c r="H2419" s="116"/>
      <c r="I2419" s="116"/>
      <c r="L2419" s="170">
        <v>45574</v>
      </c>
      <c r="M2419" s="116">
        <v>332.3</v>
      </c>
      <c r="N2419" s="116">
        <v>334.85</v>
      </c>
      <c r="O2419" s="116">
        <v>327.60000000000002</v>
      </c>
      <c r="P2419" s="116">
        <v>332.95</v>
      </c>
      <c r="Q2419" s="116">
        <v>332.3</v>
      </c>
      <c r="R2419">
        <v>15188</v>
      </c>
    </row>
    <row r="2420" spans="1:18" x14ac:dyDescent="0.25">
      <c r="A2420" s="170">
        <v>45604</v>
      </c>
      <c r="B2420" s="116">
        <v>305.25</v>
      </c>
      <c r="C2420" s="116">
        <v>301</v>
      </c>
      <c r="D2420" s="116">
        <v>300.05</v>
      </c>
      <c r="E2420" s="116">
        <v>305.25</v>
      </c>
      <c r="F2420" s="116">
        <v>301</v>
      </c>
      <c r="G2420">
        <v>33</v>
      </c>
      <c r="H2420" s="116"/>
      <c r="I2420" s="116"/>
      <c r="L2420" s="170">
        <v>45575</v>
      </c>
      <c r="M2420" s="116">
        <v>328.6</v>
      </c>
      <c r="N2420" s="116">
        <v>335.3</v>
      </c>
      <c r="O2420" s="116">
        <v>327.05</v>
      </c>
      <c r="P2420" s="116">
        <v>333.8</v>
      </c>
      <c r="Q2420" s="116">
        <v>328.6</v>
      </c>
      <c r="R2420">
        <v>15831</v>
      </c>
    </row>
    <row r="2421" spans="1:18" x14ac:dyDescent="0.25">
      <c r="A2421" s="170">
        <v>45607</v>
      </c>
      <c r="B2421" s="116">
        <v>315</v>
      </c>
      <c r="C2421" s="116">
        <v>303.64999999999998</v>
      </c>
      <c r="D2421" s="116">
        <v>297.05</v>
      </c>
      <c r="E2421" s="116">
        <v>298.75</v>
      </c>
      <c r="F2421" s="116">
        <v>303.64999999999998</v>
      </c>
      <c r="G2421">
        <v>407</v>
      </c>
      <c r="H2421" s="116"/>
      <c r="I2421" s="116"/>
      <c r="L2421" s="170">
        <v>45576</v>
      </c>
      <c r="M2421" s="116">
        <v>336.95</v>
      </c>
      <c r="N2421" s="116">
        <v>338</v>
      </c>
      <c r="O2421" s="116">
        <v>327.25</v>
      </c>
      <c r="P2421" s="116">
        <v>330.25</v>
      </c>
      <c r="Q2421" s="116">
        <v>336.95</v>
      </c>
      <c r="R2421">
        <v>14148</v>
      </c>
    </row>
    <row r="2422" spans="1:18" x14ac:dyDescent="0.25">
      <c r="A2422" s="170">
        <v>45608</v>
      </c>
      <c r="B2422" s="116">
        <v>303</v>
      </c>
      <c r="C2422" s="116">
        <v>298</v>
      </c>
      <c r="D2422" s="116">
        <v>297.5</v>
      </c>
      <c r="E2422" s="116">
        <v>298</v>
      </c>
      <c r="F2422" s="116">
        <v>298</v>
      </c>
      <c r="G2422">
        <v>1076</v>
      </c>
      <c r="H2422" s="116"/>
      <c r="I2422" s="116"/>
      <c r="L2422" s="170">
        <v>45579</v>
      </c>
      <c r="M2422" s="116">
        <v>338.95</v>
      </c>
      <c r="N2422" s="116">
        <v>340.25</v>
      </c>
      <c r="O2422" s="116">
        <v>332.5</v>
      </c>
      <c r="P2422" s="116">
        <v>338.65</v>
      </c>
      <c r="Q2422" s="116">
        <v>338.95</v>
      </c>
      <c r="R2422">
        <v>17963</v>
      </c>
    </row>
    <row r="2423" spans="1:18" x14ac:dyDescent="0.25">
      <c r="A2423" s="170">
        <v>45609</v>
      </c>
      <c r="B2423" s="116">
        <v>298</v>
      </c>
      <c r="C2423" s="116">
        <v>294.45</v>
      </c>
      <c r="D2423" s="116">
        <v>293.60000000000002</v>
      </c>
      <c r="E2423" s="116">
        <v>298</v>
      </c>
      <c r="F2423" s="116">
        <v>294.45</v>
      </c>
      <c r="G2423">
        <v>186</v>
      </c>
      <c r="H2423" s="116"/>
      <c r="I2423" s="116"/>
      <c r="L2423" s="170">
        <v>45580</v>
      </c>
      <c r="M2423" s="116">
        <v>330.45</v>
      </c>
      <c r="N2423" s="116">
        <v>339.8</v>
      </c>
      <c r="O2423" s="116">
        <v>327.55</v>
      </c>
      <c r="P2423" s="116">
        <v>339.5</v>
      </c>
      <c r="Q2423" s="116">
        <v>330.45</v>
      </c>
      <c r="R2423">
        <v>23591</v>
      </c>
    </row>
    <row r="2424" spans="1:18" x14ac:dyDescent="0.25">
      <c r="A2424" s="170">
        <v>45610</v>
      </c>
      <c r="B2424" s="116">
        <v>321</v>
      </c>
      <c r="C2424" s="116">
        <v>289.55</v>
      </c>
      <c r="D2424" s="116">
        <v>285.10000000000002</v>
      </c>
      <c r="E2424" s="116">
        <v>321</v>
      </c>
      <c r="F2424" s="116">
        <v>289.55</v>
      </c>
      <c r="G2424">
        <v>1654</v>
      </c>
      <c r="H2424" s="116"/>
      <c r="I2424" s="116"/>
      <c r="L2424" s="170">
        <v>45581</v>
      </c>
      <c r="M2424" s="116">
        <v>328.3</v>
      </c>
      <c r="N2424" s="116">
        <v>333</v>
      </c>
      <c r="O2424" s="116">
        <v>327.25</v>
      </c>
      <c r="P2424" s="116">
        <v>332.15</v>
      </c>
      <c r="Q2424" s="116">
        <v>328.3</v>
      </c>
      <c r="R2424">
        <v>16586</v>
      </c>
    </row>
    <row r="2425" spans="1:18" x14ac:dyDescent="0.25">
      <c r="A2425" s="170">
        <v>45614</v>
      </c>
      <c r="B2425" s="116">
        <v>294.10000000000002</v>
      </c>
      <c r="C2425" s="116">
        <v>284.64999999999998</v>
      </c>
      <c r="D2425" s="116">
        <v>282.3</v>
      </c>
      <c r="E2425" s="116">
        <v>294.10000000000002</v>
      </c>
      <c r="F2425" s="116">
        <v>284.64999999999998</v>
      </c>
      <c r="G2425">
        <v>1055</v>
      </c>
      <c r="H2425" s="116"/>
      <c r="I2425" s="116"/>
      <c r="L2425" s="170">
        <v>45582</v>
      </c>
      <c r="M2425" s="116">
        <v>322.35000000000002</v>
      </c>
      <c r="N2425" s="116">
        <v>329.65</v>
      </c>
      <c r="O2425" s="116">
        <v>321.05</v>
      </c>
      <c r="P2425" s="116">
        <v>328.1</v>
      </c>
      <c r="Q2425" s="116">
        <v>322.35000000000002</v>
      </c>
      <c r="R2425">
        <v>17363</v>
      </c>
    </row>
    <row r="2426" spans="1:18" x14ac:dyDescent="0.25">
      <c r="A2426" s="170">
        <v>45615</v>
      </c>
      <c r="B2426" s="116">
        <v>295</v>
      </c>
      <c r="C2426" s="116">
        <v>284.25</v>
      </c>
      <c r="D2426" s="116">
        <v>281.85000000000002</v>
      </c>
      <c r="E2426" s="116">
        <v>295</v>
      </c>
      <c r="F2426" s="116">
        <v>284.25</v>
      </c>
      <c r="G2426">
        <v>1186</v>
      </c>
      <c r="H2426" s="116"/>
      <c r="I2426" s="116"/>
      <c r="L2426" s="170">
        <v>45583</v>
      </c>
      <c r="M2426" s="116">
        <v>324.75</v>
      </c>
      <c r="N2426" s="116">
        <v>327</v>
      </c>
      <c r="O2426" s="116">
        <v>310.55</v>
      </c>
      <c r="P2426" s="116">
        <v>324</v>
      </c>
      <c r="Q2426" s="116">
        <v>324.75</v>
      </c>
      <c r="R2426">
        <v>28907</v>
      </c>
    </row>
    <row r="2427" spans="1:18" x14ac:dyDescent="0.25">
      <c r="A2427" s="170">
        <v>45617</v>
      </c>
      <c r="B2427" s="116">
        <v>289.95</v>
      </c>
      <c r="C2427" s="116">
        <v>283.2</v>
      </c>
      <c r="D2427" s="116">
        <v>278.35000000000002</v>
      </c>
      <c r="E2427" s="116">
        <v>289.95</v>
      </c>
      <c r="F2427" s="116">
        <v>283.2</v>
      </c>
      <c r="G2427">
        <v>3430</v>
      </c>
      <c r="H2427" s="116"/>
      <c r="I2427" s="116"/>
      <c r="L2427" s="170">
        <v>45586</v>
      </c>
      <c r="M2427" s="116">
        <v>309.55</v>
      </c>
      <c r="N2427" s="116">
        <v>321.5</v>
      </c>
      <c r="O2427" s="116">
        <v>305</v>
      </c>
      <c r="P2427" s="116">
        <v>313</v>
      </c>
      <c r="Q2427" s="116">
        <v>309.55</v>
      </c>
      <c r="R2427">
        <v>84251</v>
      </c>
    </row>
    <row r="2428" spans="1:18" x14ac:dyDescent="0.25">
      <c r="A2428" s="170">
        <v>45618</v>
      </c>
      <c r="B2428" s="116">
        <v>305</v>
      </c>
      <c r="C2428" s="116">
        <v>286.2</v>
      </c>
      <c r="D2428" s="116">
        <v>284</v>
      </c>
      <c r="E2428" s="116">
        <v>305</v>
      </c>
      <c r="F2428" s="116">
        <v>286.2</v>
      </c>
      <c r="G2428">
        <v>765</v>
      </c>
      <c r="H2428" s="116"/>
      <c r="I2428" s="116"/>
      <c r="L2428" s="170">
        <v>45587</v>
      </c>
      <c r="M2428" s="116">
        <v>299.89999999999998</v>
      </c>
      <c r="N2428" s="116">
        <v>310.05</v>
      </c>
      <c r="O2428" s="116">
        <v>299</v>
      </c>
      <c r="P2428" s="116">
        <v>310</v>
      </c>
      <c r="Q2428" s="116">
        <v>299.89999999999998</v>
      </c>
      <c r="R2428">
        <v>42454</v>
      </c>
    </row>
    <row r="2429" spans="1:18" x14ac:dyDescent="0.25">
      <c r="A2429" s="170">
        <v>45621</v>
      </c>
      <c r="B2429" s="116">
        <v>294.7</v>
      </c>
      <c r="C2429" s="116">
        <v>288.89999999999998</v>
      </c>
      <c r="D2429" s="116">
        <v>288.10000000000002</v>
      </c>
      <c r="E2429" s="116">
        <v>292.25</v>
      </c>
      <c r="F2429" s="116">
        <v>288.89999999999998</v>
      </c>
      <c r="G2429">
        <v>125</v>
      </c>
      <c r="H2429" s="116"/>
      <c r="I2429" s="116"/>
      <c r="L2429" s="170">
        <v>45588</v>
      </c>
      <c r="M2429" s="116">
        <v>295.05</v>
      </c>
      <c r="N2429" s="116">
        <v>302.89999999999998</v>
      </c>
      <c r="O2429" s="116">
        <v>293.55</v>
      </c>
      <c r="P2429" s="116">
        <v>300</v>
      </c>
      <c r="Q2429" s="116">
        <v>295.05</v>
      </c>
      <c r="R2429">
        <v>27546</v>
      </c>
    </row>
    <row r="2430" spans="1:18" x14ac:dyDescent="0.25">
      <c r="A2430" s="170">
        <v>45622</v>
      </c>
      <c r="B2430" s="116">
        <v>301.2</v>
      </c>
      <c r="C2430" s="116">
        <v>299.95</v>
      </c>
      <c r="D2430" s="116">
        <v>284.3</v>
      </c>
      <c r="E2430" s="116">
        <v>289</v>
      </c>
      <c r="F2430" s="116">
        <v>299.95</v>
      </c>
      <c r="G2430">
        <v>106</v>
      </c>
      <c r="H2430" s="116"/>
      <c r="I2430" s="116"/>
      <c r="L2430" s="170">
        <v>45589</v>
      </c>
      <c r="M2430" s="116">
        <v>301.75</v>
      </c>
      <c r="N2430" s="116">
        <v>311.95</v>
      </c>
      <c r="O2430" s="116">
        <v>285.3</v>
      </c>
      <c r="P2430" s="116">
        <v>296.55</v>
      </c>
      <c r="Q2430" s="116">
        <v>301.75</v>
      </c>
      <c r="R2430">
        <v>68921</v>
      </c>
    </row>
    <row r="2431" spans="1:18" x14ac:dyDescent="0.25">
      <c r="A2431" s="170">
        <v>45623</v>
      </c>
      <c r="B2431" s="116">
        <v>301.75</v>
      </c>
      <c r="C2431" s="116">
        <v>301.14999999999998</v>
      </c>
      <c r="D2431" s="116">
        <v>295.60000000000002</v>
      </c>
      <c r="E2431" s="116">
        <v>300.7</v>
      </c>
      <c r="F2431" s="116">
        <v>301.14999999999998</v>
      </c>
      <c r="G2431">
        <v>120</v>
      </c>
      <c r="H2431" s="116"/>
      <c r="I2431" s="116"/>
      <c r="L2431" s="170">
        <v>45590</v>
      </c>
      <c r="M2431" s="116">
        <v>299.25</v>
      </c>
      <c r="N2431" s="116">
        <v>301.89999999999998</v>
      </c>
      <c r="O2431" s="116">
        <v>295.05</v>
      </c>
      <c r="P2431" s="116">
        <v>296.55</v>
      </c>
      <c r="Q2431" s="116">
        <v>299.25</v>
      </c>
      <c r="R2431">
        <v>18838</v>
      </c>
    </row>
    <row r="2432" spans="1:18" x14ac:dyDescent="0.25">
      <c r="A2432" s="170">
        <v>45624</v>
      </c>
      <c r="B2432" s="116">
        <v>304.5</v>
      </c>
      <c r="C2432" s="116">
        <v>302.39999999999998</v>
      </c>
      <c r="D2432" s="116">
        <v>297.60000000000002</v>
      </c>
      <c r="E2432" s="116">
        <v>299.25</v>
      </c>
      <c r="F2432" s="116">
        <v>302.39999999999998</v>
      </c>
      <c r="G2432">
        <v>3685</v>
      </c>
      <c r="H2432" s="116"/>
      <c r="I2432" s="116"/>
      <c r="L2432" s="170">
        <v>45593</v>
      </c>
      <c r="M2432" s="116">
        <v>305.05</v>
      </c>
      <c r="N2432" s="116">
        <v>312</v>
      </c>
      <c r="O2432" s="116">
        <v>297.10000000000002</v>
      </c>
      <c r="P2432" s="116">
        <v>300.7</v>
      </c>
      <c r="Q2432" s="116">
        <v>305.05</v>
      </c>
      <c r="R2432">
        <v>20055</v>
      </c>
    </row>
    <row r="2433" spans="1:18" x14ac:dyDescent="0.25">
      <c r="A2433" s="170">
        <v>45625</v>
      </c>
      <c r="B2433" s="116">
        <v>307.35000000000002</v>
      </c>
      <c r="C2433" s="116">
        <v>307.05</v>
      </c>
      <c r="D2433" s="116">
        <v>304</v>
      </c>
      <c r="E2433" s="116">
        <v>304.55</v>
      </c>
      <c r="F2433" s="116">
        <v>307.05</v>
      </c>
      <c r="G2433">
        <v>2084</v>
      </c>
      <c r="H2433" s="116"/>
      <c r="I2433" s="116"/>
      <c r="L2433" s="170">
        <v>45594</v>
      </c>
      <c r="M2433" s="116">
        <v>300.5</v>
      </c>
      <c r="N2433" s="116">
        <v>306.3</v>
      </c>
      <c r="O2433" s="116">
        <v>299.8</v>
      </c>
      <c r="P2433" s="116">
        <v>303.60000000000002</v>
      </c>
      <c r="Q2433" s="116">
        <v>300.5</v>
      </c>
      <c r="R2433">
        <v>14654</v>
      </c>
    </row>
    <row r="2434" spans="1:18" x14ac:dyDescent="0.25">
      <c r="A2434" s="170">
        <v>45628</v>
      </c>
      <c r="B2434" s="116">
        <v>335</v>
      </c>
      <c r="C2434" s="116">
        <v>329.45</v>
      </c>
      <c r="D2434" s="116">
        <v>289</v>
      </c>
      <c r="E2434" s="116">
        <v>289</v>
      </c>
      <c r="F2434" s="116">
        <v>329.45</v>
      </c>
      <c r="G2434">
        <v>19139</v>
      </c>
      <c r="H2434" s="116"/>
      <c r="I2434" s="116"/>
      <c r="L2434" s="170">
        <v>45595</v>
      </c>
      <c r="M2434" s="116">
        <v>304.75</v>
      </c>
      <c r="N2434" s="116">
        <v>305.89999999999998</v>
      </c>
      <c r="O2434" s="116">
        <v>296.64999999999998</v>
      </c>
      <c r="P2434" s="116">
        <v>300.5</v>
      </c>
      <c r="Q2434" s="116">
        <v>304.75</v>
      </c>
      <c r="R2434">
        <v>12892</v>
      </c>
    </row>
    <row r="2435" spans="1:18" x14ac:dyDescent="0.25">
      <c r="A2435" s="170">
        <v>45629</v>
      </c>
      <c r="B2435" s="116">
        <v>333.3</v>
      </c>
      <c r="C2435" s="116">
        <v>326.35000000000002</v>
      </c>
      <c r="D2435" s="116">
        <v>323</v>
      </c>
      <c r="E2435" s="116">
        <v>329.05</v>
      </c>
      <c r="F2435" s="116">
        <v>326.35000000000002</v>
      </c>
      <c r="G2435">
        <v>2111</v>
      </c>
      <c r="H2435" s="116"/>
      <c r="I2435" s="116"/>
      <c r="L2435" s="170">
        <v>45596</v>
      </c>
      <c r="M2435" s="116">
        <v>309.10000000000002</v>
      </c>
      <c r="N2435" s="116">
        <v>310</v>
      </c>
      <c r="O2435" s="116">
        <v>301</v>
      </c>
      <c r="P2435" s="116">
        <v>302.3</v>
      </c>
      <c r="Q2435" s="116">
        <v>309.10000000000002</v>
      </c>
      <c r="R2435">
        <v>15809</v>
      </c>
    </row>
    <row r="2436" spans="1:18" x14ac:dyDescent="0.25">
      <c r="A2436" s="170">
        <v>45630</v>
      </c>
      <c r="B2436" s="116">
        <v>326.14999999999998</v>
      </c>
      <c r="C2436" s="116">
        <v>324.39999999999998</v>
      </c>
      <c r="D2436" s="116">
        <v>315.85000000000002</v>
      </c>
      <c r="E2436" s="116">
        <v>323.39999999999998</v>
      </c>
      <c r="F2436" s="116">
        <v>324.39999999999998</v>
      </c>
      <c r="G2436">
        <v>4417</v>
      </c>
      <c r="H2436" s="116"/>
      <c r="I2436" s="116"/>
      <c r="L2436" s="170">
        <v>45597</v>
      </c>
      <c r="M2436" s="116">
        <v>310.95</v>
      </c>
      <c r="N2436" s="116">
        <v>312.25</v>
      </c>
      <c r="O2436" s="116">
        <v>305</v>
      </c>
      <c r="P2436" s="116">
        <v>307.10000000000002</v>
      </c>
      <c r="Q2436" s="116">
        <v>310.95</v>
      </c>
      <c r="R2436">
        <v>6075</v>
      </c>
    </row>
    <row r="2437" spans="1:18" x14ac:dyDescent="0.25">
      <c r="A2437" s="170">
        <v>45631</v>
      </c>
      <c r="B2437" s="116">
        <v>327.5</v>
      </c>
      <c r="C2437" s="116">
        <v>319</v>
      </c>
      <c r="D2437" s="116">
        <v>318.14999999999998</v>
      </c>
      <c r="E2437" s="116">
        <v>318.45</v>
      </c>
      <c r="F2437" s="116">
        <v>319</v>
      </c>
      <c r="G2437">
        <v>202</v>
      </c>
      <c r="H2437" s="116"/>
      <c r="I2437" s="116"/>
      <c r="L2437" s="170">
        <v>45600</v>
      </c>
      <c r="M2437" s="116">
        <v>304.7</v>
      </c>
      <c r="N2437" s="116">
        <v>310.64999999999998</v>
      </c>
      <c r="O2437" s="116">
        <v>299.10000000000002</v>
      </c>
      <c r="P2437" s="116">
        <v>310.64999999999998</v>
      </c>
      <c r="Q2437" s="116">
        <v>304.7</v>
      </c>
      <c r="R2437">
        <v>18559</v>
      </c>
    </row>
    <row r="2438" spans="1:18" x14ac:dyDescent="0.25">
      <c r="A2438" s="170">
        <v>45632</v>
      </c>
      <c r="B2438" s="116">
        <v>324.75</v>
      </c>
      <c r="C2438" s="116">
        <v>320</v>
      </c>
      <c r="D2438" s="116">
        <v>320</v>
      </c>
      <c r="E2438" s="116">
        <v>323.75</v>
      </c>
      <c r="F2438" s="116">
        <v>320</v>
      </c>
      <c r="G2438">
        <v>106</v>
      </c>
      <c r="H2438" s="116"/>
      <c r="I2438" s="116"/>
      <c r="L2438" s="170">
        <v>45601</v>
      </c>
      <c r="M2438" s="116">
        <v>298.10000000000002</v>
      </c>
      <c r="N2438" s="116">
        <v>306</v>
      </c>
      <c r="O2438" s="116">
        <v>297</v>
      </c>
      <c r="P2438" s="116">
        <v>297</v>
      </c>
      <c r="Q2438" s="116">
        <v>298.10000000000002</v>
      </c>
      <c r="R2438">
        <v>22079</v>
      </c>
    </row>
    <row r="2439" spans="1:18" x14ac:dyDescent="0.25">
      <c r="A2439" s="170">
        <v>45635</v>
      </c>
      <c r="B2439" s="116">
        <v>322.95</v>
      </c>
      <c r="C2439" s="116">
        <v>316.95</v>
      </c>
      <c r="D2439" s="116">
        <v>316.5</v>
      </c>
      <c r="E2439" s="116">
        <v>319.05</v>
      </c>
      <c r="F2439" s="116">
        <v>316.95</v>
      </c>
      <c r="G2439">
        <v>2644</v>
      </c>
      <c r="H2439" s="116"/>
      <c r="I2439" s="116"/>
      <c r="L2439" s="170">
        <v>45602</v>
      </c>
      <c r="M2439" s="116">
        <v>311.14999999999998</v>
      </c>
      <c r="N2439" s="116">
        <v>315.95</v>
      </c>
      <c r="O2439" s="116">
        <v>298.10000000000002</v>
      </c>
      <c r="P2439" s="116">
        <v>298.10000000000002</v>
      </c>
      <c r="Q2439" s="116">
        <v>311.14999999999998</v>
      </c>
      <c r="R2439">
        <v>26357</v>
      </c>
    </row>
    <row r="2440" spans="1:18" x14ac:dyDescent="0.25">
      <c r="A2440" s="170">
        <v>45636</v>
      </c>
      <c r="B2440" s="116">
        <v>325.55</v>
      </c>
      <c r="C2440" s="116">
        <v>325.55</v>
      </c>
      <c r="D2440" s="116">
        <v>317.10000000000002</v>
      </c>
      <c r="E2440" s="116">
        <v>324.3</v>
      </c>
      <c r="F2440" s="116">
        <v>325.55</v>
      </c>
      <c r="G2440">
        <v>624</v>
      </c>
      <c r="H2440" s="116"/>
      <c r="I2440" s="116"/>
      <c r="L2440" s="170">
        <v>45603</v>
      </c>
      <c r="M2440" s="116">
        <v>308.8</v>
      </c>
      <c r="N2440" s="116">
        <v>314</v>
      </c>
      <c r="O2440" s="116">
        <v>305.10000000000002</v>
      </c>
      <c r="P2440" s="116">
        <v>314</v>
      </c>
      <c r="Q2440" s="116">
        <v>308.8</v>
      </c>
      <c r="R2440">
        <v>14792</v>
      </c>
    </row>
    <row r="2441" spans="1:18" x14ac:dyDescent="0.25">
      <c r="A2441" s="170">
        <v>45637</v>
      </c>
      <c r="B2441" s="116">
        <v>327.8</v>
      </c>
      <c r="C2441" s="116">
        <v>323.5</v>
      </c>
      <c r="D2441" s="116">
        <v>311.85000000000002</v>
      </c>
      <c r="E2441" s="116">
        <v>325.25</v>
      </c>
      <c r="F2441" s="116">
        <v>323.5</v>
      </c>
      <c r="G2441">
        <v>4374</v>
      </c>
      <c r="H2441" s="116"/>
      <c r="I2441" s="116"/>
      <c r="L2441" s="170">
        <v>45604</v>
      </c>
      <c r="M2441" s="116">
        <v>301.95</v>
      </c>
      <c r="N2441" s="116">
        <v>309.89999999999998</v>
      </c>
      <c r="O2441" s="116">
        <v>300.10000000000002</v>
      </c>
      <c r="P2441" s="116">
        <v>309.89999999999998</v>
      </c>
      <c r="Q2441" s="116">
        <v>301.95</v>
      </c>
      <c r="R2441">
        <v>8462</v>
      </c>
    </row>
    <row r="2442" spans="1:18" x14ac:dyDescent="0.25">
      <c r="A2442" s="170">
        <v>45638</v>
      </c>
      <c r="B2442" s="116">
        <v>325</v>
      </c>
      <c r="C2442" s="116">
        <v>323.5</v>
      </c>
      <c r="D2442" s="116">
        <v>315</v>
      </c>
      <c r="E2442" s="116">
        <v>323</v>
      </c>
      <c r="F2442" s="116">
        <v>323.5</v>
      </c>
      <c r="G2442">
        <v>2525</v>
      </c>
      <c r="H2442" s="116"/>
      <c r="I2442" s="116"/>
      <c r="L2442" s="170">
        <v>45607</v>
      </c>
      <c r="M2442" s="116">
        <v>297.8</v>
      </c>
      <c r="N2442" s="116">
        <v>304.39999999999998</v>
      </c>
      <c r="O2442" s="116">
        <v>295.25</v>
      </c>
      <c r="P2442" s="116">
        <v>301.95</v>
      </c>
      <c r="Q2442" s="116">
        <v>297.8</v>
      </c>
      <c r="R2442">
        <v>17345</v>
      </c>
    </row>
    <row r="2443" spans="1:18" x14ac:dyDescent="0.25">
      <c r="A2443" s="170">
        <v>45639</v>
      </c>
      <c r="B2443" s="116">
        <v>323.10000000000002</v>
      </c>
      <c r="C2443" s="116">
        <v>315.85000000000002</v>
      </c>
      <c r="D2443" s="116">
        <v>313.7</v>
      </c>
      <c r="E2443" s="116">
        <v>322</v>
      </c>
      <c r="F2443" s="116">
        <v>315.85000000000002</v>
      </c>
      <c r="G2443">
        <v>2613</v>
      </c>
      <c r="H2443" s="116"/>
      <c r="I2443" s="116"/>
      <c r="L2443" s="170">
        <v>45608</v>
      </c>
      <c r="M2443" s="116">
        <v>298.89999999999998</v>
      </c>
      <c r="N2443" s="116">
        <v>303.25</v>
      </c>
      <c r="O2443" s="116">
        <v>297.05</v>
      </c>
      <c r="P2443" s="116">
        <v>299.3</v>
      </c>
      <c r="Q2443" s="116">
        <v>298.89999999999998</v>
      </c>
      <c r="R2443">
        <v>9419</v>
      </c>
    </row>
    <row r="2444" spans="1:18" x14ac:dyDescent="0.25">
      <c r="A2444" s="170">
        <v>45642</v>
      </c>
      <c r="B2444" s="116">
        <v>333.45</v>
      </c>
      <c r="C2444" s="116">
        <v>321.60000000000002</v>
      </c>
      <c r="D2444" s="116">
        <v>317.2</v>
      </c>
      <c r="E2444" s="116">
        <v>322.7</v>
      </c>
      <c r="F2444" s="116">
        <v>321.60000000000002</v>
      </c>
      <c r="G2444">
        <v>2954</v>
      </c>
      <c r="H2444" s="116"/>
      <c r="I2444" s="116"/>
      <c r="L2444" s="170">
        <v>45609</v>
      </c>
      <c r="M2444" s="116">
        <v>294.10000000000002</v>
      </c>
      <c r="N2444" s="116">
        <v>300</v>
      </c>
      <c r="O2444" s="116">
        <v>292.55</v>
      </c>
      <c r="P2444" s="116">
        <v>300</v>
      </c>
      <c r="Q2444" s="116">
        <v>294.10000000000002</v>
      </c>
      <c r="R2444">
        <v>8723</v>
      </c>
    </row>
    <row r="2445" spans="1:18" x14ac:dyDescent="0.25">
      <c r="A2445" s="170">
        <v>45643</v>
      </c>
      <c r="B2445" s="116">
        <v>321.8</v>
      </c>
      <c r="C2445" s="116">
        <v>316.10000000000002</v>
      </c>
      <c r="D2445" s="116">
        <v>316.10000000000002</v>
      </c>
      <c r="E2445" s="116">
        <v>321.60000000000002</v>
      </c>
      <c r="F2445" s="116">
        <v>316.10000000000002</v>
      </c>
      <c r="G2445">
        <v>451</v>
      </c>
      <c r="H2445" s="116"/>
      <c r="I2445" s="116"/>
      <c r="L2445" s="170">
        <v>45610</v>
      </c>
      <c r="M2445" s="116">
        <v>290</v>
      </c>
      <c r="N2445" s="116">
        <v>295.60000000000002</v>
      </c>
      <c r="O2445" s="116">
        <v>285</v>
      </c>
      <c r="P2445" s="116">
        <v>295.60000000000002</v>
      </c>
      <c r="Q2445" s="116">
        <v>290</v>
      </c>
      <c r="R2445">
        <v>20169</v>
      </c>
    </row>
    <row r="2446" spans="1:18" x14ac:dyDescent="0.25">
      <c r="A2446" s="170">
        <v>45644</v>
      </c>
      <c r="B2446" s="116">
        <v>318.2</v>
      </c>
      <c r="C2446" s="116">
        <v>314.14999999999998</v>
      </c>
      <c r="D2446" s="116">
        <v>312.39999999999998</v>
      </c>
      <c r="E2446" s="116">
        <v>317.89999999999998</v>
      </c>
      <c r="F2446" s="116">
        <v>314.14999999999998</v>
      </c>
      <c r="G2446">
        <v>380</v>
      </c>
      <c r="H2446" s="116"/>
      <c r="I2446" s="116"/>
      <c r="L2446" s="170">
        <v>45614</v>
      </c>
      <c r="M2446" s="116">
        <v>284.10000000000002</v>
      </c>
      <c r="N2446" s="116">
        <v>290</v>
      </c>
      <c r="O2446" s="116">
        <v>282.55</v>
      </c>
      <c r="P2446" s="116">
        <v>290</v>
      </c>
      <c r="Q2446" s="116">
        <v>284.10000000000002</v>
      </c>
      <c r="R2446">
        <v>18778</v>
      </c>
    </row>
    <row r="2447" spans="1:18" x14ac:dyDescent="0.25">
      <c r="A2447" s="170">
        <v>45645</v>
      </c>
      <c r="B2447" s="116">
        <v>323.25</v>
      </c>
      <c r="C2447" s="116">
        <v>311.85000000000002</v>
      </c>
      <c r="D2447" s="116">
        <v>310.05</v>
      </c>
      <c r="E2447" s="116">
        <v>316</v>
      </c>
      <c r="F2447" s="116">
        <v>311.85000000000002</v>
      </c>
      <c r="G2447">
        <v>418</v>
      </c>
      <c r="H2447" s="116"/>
      <c r="I2447" s="116"/>
      <c r="L2447" s="170">
        <v>45615</v>
      </c>
      <c r="M2447" s="116">
        <v>284</v>
      </c>
      <c r="N2447" s="116">
        <v>292.14999999999998</v>
      </c>
      <c r="O2447" s="116">
        <v>283</v>
      </c>
      <c r="P2447" s="116">
        <v>285</v>
      </c>
      <c r="Q2447" s="116">
        <v>284</v>
      </c>
      <c r="R2447">
        <v>11524</v>
      </c>
    </row>
    <row r="2448" spans="1:18" x14ac:dyDescent="0.25">
      <c r="A2448" s="170">
        <v>45646</v>
      </c>
      <c r="B2448" s="116">
        <v>340</v>
      </c>
      <c r="C2448" s="116">
        <v>296.5</v>
      </c>
      <c r="D2448" s="116">
        <v>295.8</v>
      </c>
      <c r="E2448" s="116">
        <v>340</v>
      </c>
      <c r="F2448" s="116">
        <v>296.5</v>
      </c>
      <c r="G2448">
        <v>1018</v>
      </c>
      <c r="H2448" s="116"/>
      <c r="I2448" s="116"/>
      <c r="L2448" s="170">
        <v>45617</v>
      </c>
      <c r="M2448" s="116">
        <v>283.35000000000002</v>
      </c>
      <c r="N2448" s="116">
        <v>284.85000000000002</v>
      </c>
      <c r="O2448" s="116">
        <v>279.3</v>
      </c>
      <c r="P2448" s="116">
        <v>284</v>
      </c>
      <c r="Q2448" s="116">
        <v>283.35000000000002</v>
      </c>
      <c r="R2448">
        <v>16583</v>
      </c>
    </row>
    <row r="2449" spans="1:18" x14ac:dyDescent="0.25">
      <c r="A2449" s="170">
        <v>45649</v>
      </c>
      <c r="B2449" s="116">
        <v>328</v>
      </c>
      <c r="C2449" s="116">
        <v>299.60000000000002</v>
      </c>
      <c r="D2449" s="116">
        <v>296.95</v>
      </c>
      <c r="E2449" s="116">
        <v>328</v>
      </c>
      <c r="F2449" s="116">
        <v>299.60000000000002</v>
      </c>
      <c r="G2449">
        <v>380</v>
      </c>
      <c r="H2449" s="116"/>
      <c r="I2449" s="116"/>
      <c r="L2449" s="170">
        <v>45618</v>
      </c>
      <c r="M2449" s="116">
        <v>286.5</v>
      </c>
      <c r="N2449" s="116">
        <v>292.7</v>
      </c>
      <c r="O2449" s="116">
        <v>283.60000000000002</v>
      </c>
      <c r="P2449" s="116">
        <v>284</v>
      </c>
      <c r="Q2449" s="116">
        <v>286.5</v>
      </c>
      <c r="R2449">
        <v>15966</v>
      </c>
    </row>
    <row r="2450" spans="1:18" x14ac:dyDescent="0.25">
      <c r="A2450" s="170">
        <v>45650</v>
      </c>
      <c r="B2450" s="116">
        <v>321.85000000000002</v>
      </c>
      <c r="C2450" s="116">
        <v>315.3</v>
      </c>
      <c r="D2450" s="116">
        <v>300</v>
      </c>
      <c r="E2450" s="116">
        <v>316</v>
      </c>
      <c r="F2450" s="116">
        <v>315.3</v>
      </c>
      <c r="G2450">
        <v>17773</v>
      </c>
      <c r="H2450" s="116"/>
      <c r="I2450" s="116"/>
      <c r="L2450" s="170">
        <v>45621</v>
      </c>
      <c r="M2450" s="116">
        <v>290.10000000000002</v>
      </c>
      <c r="N2450" s="116">
        <v>302.85000000000002</v>
      </c>
      <c r="O2450" s="116">
        <v>286.3</v>
      </c>
      <c r="P2450" s="116">
        <v>286.75</v>
      </c>
      <c r="Q2450" s="116">
        <v>290.10000000000002</v>
      </c>
      <c r="R2450">
        <v>29253</v>
      </c>
    </row>
    <row r="2451" spans="1:18" x14ac:dyDescent="0.25">
      <c r="A2451" s="170">
        <v>45652</v>
      </c>
      <c r="B2451" s="116">
        <v>325</v>
      </c>
      <c r="C2451" s="116">
        <v>316.75</v>
      </c>
      <c r="D2451" s="116">
        <v>312.7</v>
      </c>
      <c r="E2451" s="116">
        <v>317</v>
      </c>
      <c r="F2451" s="116">
        <v>316.75</v>
      </c>
      <c r="G2451">
        <v>732</v>
      </c>
      <c r="H2451" s="116"/>
      <c r="I2451" s="116"/>
      <c r="L2451" s="170">
        <v>45622</v>
      </c>
      <c r="M2451" s="116">
        <v>301.39999999999998</v>
      </c>
      <c r="N2451" s="116">
        <v>302</v>
      </c>
      <c r="O2451" s="116">
        <v>288.55</v>
      </c>
      <c r="P2451" s="116">
        <v>293</v>
      </c>
      <c r="Q2451" s="116">
        <v>301.39999999999998</v>
      </c>
      <c r="R2451">
        <v>20692</v>
      </c>
    </row>
    <row r="2452" spans="1:18" x14ac:dyDescent="0.25">
      <c r="A2452" s="170">
        <v>45653</v>
      </c>
      <c r="B2452" s="116">
        <v>322.5</v>
      </c>
      <c r="C2452" s="116">
        <v>317.95</v>
      </c>
      <c r="D2452" s="116">
        <v>314.45</v>
      </c>
      <c r="E2452" s="116">
        <v>320.55</v>
      </c>
      <c r="F2452" s="116">
        <v>317.95</v>
      </c>
      <c r="G2452">
        <v>1067</v>
      </c>
      <c r="H2452" s="116"/>
      <c r="I2452" s="116"/>
      <c r="L2452" s="170">
        <v>45623</v>
      </c>
      <c r="M2452" s="116">
        <v>302.14999999999998</v>
      </c>
      <c r="N2452" s="116">
        <v>304.45</v>
      </c>
      <c r="O2452" s="116">
        <v>295</v>
      </c>
      <c r="P2452" s="116">
        <v>301.5</v>
      </c>
      <c r="Q2452" s="116">
        <v>302.14999999999998</v>
      </c>
      <c r="R2452">
        <v>11037</v>
      </c>
    </row>
    <row r="2453" spans="1:18" x14ac:dyDescent="0.25">
      <c r="A2453" s="170">
        <v>45656</v>
      </c>
      <c r="B2453" s="116">
        <v>317.10000000000002</v>
      </c>
      <c r="C2453" s="116">
        <v>302.3</v>
      </c>
      <c r="D2453" s="116">
        <v>300.45</v>
      </c>
      <c r="E2453" s="116">
        <v>317.10000000000002</v>
      </c>
      <c r="F2453" s="116">
        <v>302.3</v>
      </c>
      <c r="G2453">
        <v>2495</v>
      </c>
      <c r="H2453" s="116"/>
      <c r="I2453" s="116"/>
      <c r="L2453" s="170">
        <v>45624</v>
      </c>
      <c r="M2453" s="116">
        <v>303.39999999999998</v>
      </c>
      <c r="N2453" s="116">
        <v>305.64999999999998</v>
      </c>
      <c r="O2453" s="116">
        <v>296.10000000000002</v>
      </c>
      <c r="P2453" s="116">
        <v>300.05</v>
      </c>
      <c r="Q2453" s="116">
        <v>303.39999999999998</v>
      </c>
      <c r="R2453">
        <v>12723</v>
      </c>
    </row>
    <row r="2454" spans="1:18" x14ac:dyDescent="0.25">
      <c r="A2454" s="170">
        <v>45657</v>
      </c>
      <c r="B2454" s="116">
        <v>359</v>
      </c>
      <c r="C2454" s="116">
        <v>306.35000000000002</v>
      </c>
      <c r="D2454" s="116">
        <v>304.10000000000002</v>
      </c>
      <c r="E2454" s="116">
        <v>359</v>
      </c>
      <c r="F2454" s="116">
        <v>306.35000000000002</v>
      </c>
      <c r="G2454">
        <v>109</v>
      </c>
      <c r="H2454" s="116"/>
      <c r="I2454" s="116"/>
      <c r="L2454" s="170">
        <v>45625</v>
      </c>
      <c r="M2454" s="116">
        <v>307</v>
      </c>
      <c r="N2454" s="116">
        <v>309.10000000000002</v>
      </c>
      <c r="O2454" s="116">
        <v>302.55</v>
      </c>
      <c r="P2454" s="116">
        <v>303.7</v>
      </c>
      <c r="Q2454" s="116">
        <v>307</v>
      </c>
      <c r="R2454">
        <v>11688</v>
      </c>
    </row>
    <row r="2455" spans="1:18" x14ac:dyDescent="0.25">
      <c r="A2455" s="170">
        <v>45658</v>
      </c>
      <c r="B2455" s="116">
        <v>340.6</v>
      </c>
      <c r="C2455" s="116">
        <v>312.7</v>
      </c>
      <c r="D2455" s="116">
        <v>302.85000000000002</v>
      </c>
      <c r="E2455" s="116">
        <v>340.6</v>
      </c>
      <c r="F2455" s="116">
        <v>312.7</v>
      </c>
      <c r="G2455">
        <v>2672</v>
      </c>
      <c r="H2455" s="116"/>
      <c r="I2455" s="116"/>
      <c r="L2455" s="170">
        <v>45628</v>
      </c>
      <c r="M2455" s="116">
        <v>330</v>
      </c>
      <c r="N2455" s="116">
        <v>335.25</v>
      </c>
      <c r="O2455" s="116">
        <v>306</v>
      </c>
      <c r="P2455" s="116">
        <v>307</v>
      </c>
      <c r="Q2455" s="116">
        <v>330</v>
      </c>
      <c r="R2455">
        <v>195547</v>
      </c>
    </row>
    <row r="2456" spans="1:18" x14ac:dyDescent="0.25">
      <c r="A2456" s="170">
        <v>45659</v>
      </c>
      <c r="B2456" s="116">
        <v>315.14999999999998</v>
      </c>
      <c r="C2456" s="116">
        <v>307.45</v>
      </c>
      <c r="D2456" s="116">
        <v>303.2</v>
      </c>
      <c r="E2456" s="116">
        <v>303.2</v>
      </c>
      <c r="F2456" s="116">
        <v>307.45</v>
      </c>
      <c r="G2456">
        <v>687</v>
      </c>
      <c r="H2456" s="116"/>
      <c r="I2456" s="116"/>
      <c r="L2456" s="170">
        <v>45629</v>
      </c>
      <c r="M2456" s="116">
        <v>324.3</v>
      </c>
      <c r="N2456" s="116">
        <v>333.95</v>
      </c>
      <c r="O2456" s="116">
        <v>322.05</v>
      </c>
      <c r="P2456" s="116">
        <v>330.4</v>
      </c>
      <c r="Q2456" s="116">
        <v>324.3</v>
      </c>
      <c r="R2456">
        <v>37488</v>
      </c>
    </row>
    <row r="2457" spans="1:18" x14ac:dyDescent="0.25">
      <c r="A2457" s="170">
        <v>45660</v>
      </c>
      <c r="B2457" s="116">
        <v>323</v>
      </c>
      <c r="C2457" s="116">
        <v>304.95</v>
      </c>
      <c r="D2457" s="116">
        <v>304.2</v>
      </c>
      <c r="E2457" s="116">
        <v>323</v>
      </c>
      <c r="F2457" s="116">
        <v>304.95</v>
      </c>
      <c r="G2457">
        <v>503</v>
      </c>
      <c r="H2457" s="116"/>
      <c r="I2457" s="116"/>
      <c r="L2457" s="170">
        <v>45630</v>
      </c>
      <c r="M2457" s="116">
        <v>325.05</v>
      </c>
      <c r="N2457" s="116">
        <v>327.5</v>
      </c>
      <c r="O2457" s="116">
        <v>316.10000000000002</v>
      </c>
      <c r="P2457" s="116">
        <v>324.45</v>
      </c>
      <c r="Q2457" s="116">
        <v>325.05</v>
      </c>
      <c r="R2457">
        <v>32828</v>
      </c>
    </row>
    <row r="2458" spans="1:18" x14ac:dyDescent="0.25">
      <c r="A2458" s="170">
        <v>45663</v>
      </c>
      <c r="B2458" s="116">
        <v>310</v>
      </c>
      <c r="C2458" s="116">
        <v>306.10000000000002</v>
      </c>
      <c r="D2458" s="116">
        <v>301.5</v>
      </c>
      <c r="E2458" s="116">
        <v>310</v>
      </c>
      <c r="F2458" s="116">
        <v>306.10000000000002</v>
      </c>
      <c r="G2458">
        <v>1256</v>
      </c>
      <c r="H2458" s="116"/>
      <c r="I2458" s="116"/>
      <c r="L2458" s="170">
        <v>45631</v>
      </c>
      <c r="M2458" s="116">
        <v>319.55</v>
      </c>
      <c r="N2458" s="116">
        <v>327.95</v>
      </c>
      <c r="O2458" s="116">
        <v>318</v>
      </c>
      <c r="P2458" s="116">
        <v>325</v>
      </c>
      <c r="Q2458" s="116">
        <v>319.55</v>
      </c>
      <c r="R2458">
        <v>20492</v>
      </c>
    </row>
    <row r="2459" spans="1:18" x14ac:dyDescent="0.25">
      <c r="A2459" s="170">
        <v>45664</v>
      </c>
      <c r="B2459" s="116">
        <v>306.60000000000002</v>
      </c>
      <c r="C2459" s="116">
        <v>304.45</v>
      </c>
      <c r="D2459" s="116">
        <v>295</v>
      </c>
      <c r="E2459" s="116">
        <v>295</v>
      </c>
      <c r="F2459" s="116">
        <v>304.45</v>
      </c>
      <c r="G2459">
        <v>2286</v>
      </c>
      <c r="H2459" s="116"/>
      <c r="I2459" s="116"/>
      <c r="L2459" s="170">
        <v>45632</v>
      </c>
      <c r="M2459" s="116">
        <v>320.2</v>
      </c>
      <c r="N2459" s="116">
        <v>327</v>
      </c>
      <c r="O2459" s="116">
        <v>319</v>
      </c>
      <c r="P2459" s="116">
        <v>322.85000000000002</v>
      </c>
      <c r="Q2459" s="116">
        <v>320.2</v>
      </c>
      <c r="R2459">
        <v>18157</v>
      </c>
    </row>
    <row r="2460" spans="1:18" x14ac:dyDescent="0.25">
      <c r="A2460" s="170">
        <v>45665</v>
      </c>
      <c r="B2460" s="116">
        <v>310.95</v>
      </c>
      <c r="C2460" s="116">
        <v>304.05</v>
      </c>
      <c r="D2460" s="116">
        <v>297.75</v>
      </c>
      <c r="E2460" s="116">
        <v>310.95</v>
      </c>
      <c r="F2460" s="116">
        <v>304.05</v>
      </c>
      <c r="G2460">
        <v>1931</v>
      </c>
      <c r="H2460" s="116"/>
      <c r="I2460" s="116"/>
      <c r="L2460" s="170">
        <v>45635</v>
      </c>
      <c r="M2460" s="116">
        <v>317.89999999999998</v>
      </c>
      <c r="N2460" s="116">
        <v>323.14999999999998</v>
      </c>
      <c r="O2460" s="116">
        <v>316.60000000000002</v>
      </c>
      <c r="P2460" s="116">
        <v>322.10000000000002</v>
      </c>
      <c r="Q2460" s="116">
        <v>317.89999999999998</v>
      </c>
      <c r="R2460">
        <v>10307</v>
      </c>
    </row>
    <row r="2461" spans="1:18" x14ac:dyDescent="0.25">
      <c r="A2461" s="170">
        <v>45666</v>
      </c>
      <c r="B2461" s="116">
        <v>310.8</v>
      </c>
      <c r="C2461" s="116">
        <v>299.45</v>
      </c>
      <c r="D2461" s="116">
        <v>295</v>
      </c>
      <c r="E2461" s="116">
        <v>310.8</v>
      </c>
      <c r="F2461" s="116">
        <v>299.45</v>
      </c>
      <c r="G2461">
        <v>1685</v>
      </c>
      <c r="H2461" s="116"/>
      <c r="I2461" s="116"/>
      <c r="L2461" s="170">
        <v>45636</v>
      </c>
      <c r="M2461" s="116">
        <v>324.10000000000002</v>
      </c>
      <c r="N2461" s="116">
        <v>326.89999999999998</v>
      </c>
      <c r="O2461" s="116">
        <v>316.89999999999998</v>
      </c>
      <c r="P2461" s="116">
        <v>317.95</v>
      </c>
      <c r="Q2461" s="116">
        <v>324.10000000000002</v>
      </c>
      <c r="R2461">
        <v>14298</v>
      </c>
    </row>
    <row r="2462" spans="1:18" x14ac:dyDescent="0.25">
      <c r="A2462" s="170">
        <v>45667</v>
      </c>
      <c r="B2462" s="116">
        <v>310</v>
      </c>
      <c r="C2462" s="116">
        <v>288.95</v>
      </c>
      <c r="D2462" s="116">
        <v>285</v>
      </c>
      <c r="E2462" s="116">
        <v>309.89999999999998</v>
      </c>
      <c r="F2462" s="116">
        <v>288.95</v>
      </c>
      <c r="G2462">
        <v>2998</v>
      </c>
      <c r="H2462" s="116"/>
      <c r="I2462" s="116"/>
      <c r="L2462" s="170">
        <v>45637</v>
      </c>
      <c r="M2462" s="116">
        <v>323.3</v>
      </c>
      <c r="N2462" s="116">
        <v>327.5</v>
      </c>
      <c r="O2462" s="116">
        <v>285</v>
      </c>
      <c r="P2462" s="116">
        <v>324.89999999999998</v>
      </c>
      <c r="Q2462" s="116">
        <v>323.3</v>
      </c>
      <c r="R2462">
        <v>74499</v>
      </c>
    </row>
    <row r="2463" spans="1:18" x14ac:dyDescent="0.25">
      <c r="A2463" s="170">
        <v>45670</v>
      </c>
      <c r="B2463" s="116">
        <v>314.95</v>
      </c>
      <c r="C2463" s="116">
        <v>284.75</v>
      </c>
      <c r="D2463" s="116">
        <v>284.39999999999998</v>
      </c>
      <c r="E2463" s="116">
        <v>314.95</v>
      </c>
      <c r="F2463" s="116">
        <v>284.75</v>
      </c>
      <c r="G2463">
        <v>624</v>
      </c>
      <c r="H2463" s="116"/>
      <c r="I2463" s="116"/>
      <c r="L2463" s="170">
        <v>45638</v>
      </c>
      <c r="M2463" s="116">
        <v>323.45</v>
      </c>
      <c r="N2463" s="116">
        <v>325.35000000000002</v>
      </c>
      <c r="O2463" s="116">
        <v>316</v>
      </c>
      <c r="P2463" s="116">
        <v>325.05</v>
      </c>
      <c r="Q2463" s="116">
        <v>323.45</v>
      </c>
      <c r="R2463">
        <v>12877</v>
      </c>
    </row>
    <row r="2464" spans="1:18" x14ac:dyDescent="0.25">
      <c r="A2464" s="170">
        <v>45671</v>
      </c>
      <c r="B2464" s="116">
        <v>311</v>
      </c>
      <c r="C2464" s="116">
        <v>288.10000000000002</v>
      </c>
      <c r="D2464" s="116">
        <v>285.5</v>
      </c>
      <c r="E2464" s="116">
        <v>311</v>
      </c>
      <c r="F2464" s="116">
        <v>288.10000000000002</v>
      </c>
      <c r="G2464">
        <v>1103</v>
      </c>
      <c r="H2464" s="116"/>
      <c r="I2464" s="116"/>
      <c r="L2464" s="170">
        <v>45639</v>
      </c>
      <c r="M2464" s="116">
        <v>316.35000000000002</v>
      </c>
      <c r="N2464" s="116">
        <v>323.45</v>
      </c>
      <c r="O2464" s="116">
        <v>314.64999999999998</v>
      </c>
      <c r="P2464" s="116">
        <v>323.45</v>
      </c>
      <c r="Q2464" s="116">
        <v>316.35000000000002</v>
      </c>
      <c r="R2464">
        <v>19954</v>
      </c>
    </row>
    <row r="2465" spans="1:18" x14ac:dyDescent="0.25">
      <c r="A2465" s="170">
        <v>45672</v>
      </c>
      <c r="B2465" s="116">
        <v>302.95</v>
      </c>
      <c r="C2465" s="116">
        <v>300.25</v>
      </c>
      <c r="D2465" s="116">
        <v>288.7</v>
      </c>
      <c r="E2465" s="116">
        <v>288.7</v>
      </c>
      <c r="F2465" s="116">
        <v>300.25</v>
      </c>
      <c r="G2465">
        <v>2972</v>
      </c>
      <c r="H2465" s="116"/>
      <c r="I2465" s="116"/>
      <c r="L2465" s="170">
        <v>45642</v>
      </c>
      <c r="M2465" s="116">
        <v>321.89999999999998</v>
      </c>
      <c r="N2465" s="116">
        <v>333</v>
      </c>
      <c r="O2465" s="116">
        <v>318.14999999999998</v>
      </c>
      <c r="P2465" s="116">
        <v>318.3</v>
      </c>
      <c r="Q2465" s="116">
        <v>321.89999999999998</v>
      </c>
      <c r="R2465">
        <v>83378</v>
      </c>
    </row>
    <row r="2466" spans="1:18" x14ac:dyDescent="0.25">
      <c r="A2466" s="170">
        <v>45673</v>
      </c>
      <c r="B2466" s="116">
        <v>303.45</v>
      </c>
      <c r="C2466" s="116">
        <v>295.64999999999998</v>
      </c>
      <c r="D2466" s="116">
        <v>295.2</v>
      </c>
      <c r="E2466" s="116">
        <v>303.45</v>
      </c>
      <c r="F2466" s="116">
        <v>295.64999999999998</v>
      </c>
      <c r="G2466">
        <v>473</v>
      </c>
      <c r="H2466" s="116"/>
      <c r="I2466" s="116"/>
      <c r="L2466" s="170">
        <v>45643</v>
      </c>
      <c r="M2466" s="116">
        <v>316.75</v>
      </c>
      <c r="N2466" s="116">
        <v>324.39999999999998</v>
      </c>
      <c r="O2466" s="116">
        <v>315</v>
      </c>
      <c r="P2466" s="116">
        <v>323.5</v>
      </c>
      <c r="Q2466" s="116">
        <v>316.75</v>
      </c>
      <c r="R2466">
        <v>12603</v>
      </c>
    </row>
    <row r="2467" spans="1:18" x14ac:dyDescent="0.25">
      <c r="A2467" s="170">
        <v>45674</v>
      </c>
      <c r="B2467" s="116">
        <v>353.9</v>
      </c>
      <c r="C2467" s="116">
        <v>294.10000000000002</v>
      </c>
      <c r="D2467" s="116">
        <v>289.7</v>
      </c>
      <c r="E2467" s="116">
        <v>353.9</v>
      </c>
      <c r="F2467" s="116">
        <v>294.10000000000002</v>
      </c>
      <c r="G2467">
        <v>2905</v>
      </c>
      <c r="H2467" s="116"/>
      <c r="I2467" s="116"/>
      <c r="L2467" s="170">
        <v>45644</v>
      </c>
      <c r="M2467" s="116">
        <v>316</v>
      </c>
      <c r="N2467" s="116">
        <v>318.95</v>
      </c>
      <c r="O2467" s="116">
        <v>312.8</v>
      </c>
      <c r="P2467" s="116">
        <v>313.05</v>
      </c>
      <c r="Q2467" s="116">
        <v>316</v>
      </c>
      <c r="R2467">
        <v>7007</v>
      </c>
    </row>
    <row r="2468" spans="1:18" x14ac:dyDescent="0.25">
      <c r="A2468" s="170">
        <v>45677</v>
      </c>
      <c r="B2468" s="116">
        <v>292.95</v>
      </c>
      <c r="C2468" s="116">
        <v>284</v>
      </c>
      <c r="D2468" s="116">
        <v>280.64999999999998</v>
      </c>
      <c r="E2468" s="116">
        <v>292.95</v>
      </c>
      <c r="F2468" s="116">
        <v>284</v>
      </c>
      <c r="G2468">
        <v>638</v>
      </c>
      <c r="H2468" s="116"/>
      <c r="I2468" s="116"/>
      <c r="L2468" s="170">
        <v>45645</v>
      </c>
      <c r="M2468" s="116">
        <v>312.05</v>
      </c>
      <c r="N2468" s="116">
        <v>324</v>
      </c>
      <c r="O2468" s="116">
        <v>310.5</v>
      </c>
      <c r="P2468" s="116">
        <v>311.95</v>
      </c>
      <c r="Q2468" s="116">
        <v>312.05</v>
      </c>
      <c r="R2468">
        <v>29237</v>
      </c>
    </row>
    <row r="2469" spans="1:18" x14ac:dyDescent="0.25">
      <c r="A2469" s="170">
        <v>45678</v>
      </c>
      <c r="B2469" s="116">
        <v>288.95</v>
      </c>
      <c r="C2469" s="116">
        <v>283.14999999999998</v>
      </c>
      <c r="D2469" s="116">
        <v>282.8</v>
      </c>
      <c r="E2469" s="116">
        <v>285.05</v>
      </c>
      <c r="F2469" s="116">
        <v>283.14999999999998</v>
      </c>
      <c r="G2469">
        <v>999</v>
      </c>
      <c r="H2469" s="116"/>
      <c r="I2469" s="116"/>
      <c r="L2469" s="170">
        <v>45646</v>
      </c>
      <c r="M2469" s="116">
        <v>301.25</v>
      </c>
      <c r="N2469" s="116">
        <v>317.10000000000002</v>
      </c>
      <c r="O2469" s="116">
        <v>295</v>
      </c>
      <c r="P2469" s="116">
        <v>315</v>
      </c>
      <c r="Q2469" s="116">
        <v>301.25</v>
      </c>
      <c r="R2469">
        <v>35276</v>
      </c>
    </row>
    <row r="2470" spans="1:18" x14ac:dyDescent="0.25">
      <c r="A2470" s="170">
        <v>45679</v>
      </c>
      <c r="B2470" s="116">
        <v>282.89999999999998</v>
      </c>
      <c r="C2470" s="116">
        <v>280.60000000000002</v>
      </c>
      <c r="D2470" s="116">
        <v>278</v>
      </c>
      <c r="E2470" s="116">
        <v>280.75</v>
      </c>
      <c r="F2470" s="116">
        <v>280.60000000000002</v>
      </c>
      <c r="G2470">
        <v>315</v>
      </c>
      <c r="H2470" s="116"/>
      <c r="I2470" s="116"/>
      <c r="L2470" s="170">
        <v>45649</v>
      </c>
      <c r="M2470" s="116">
        <v>299.10000000000002</v>
      </c>
      <c r="N2470" s="116">
        <v>301.95</v>
      </c>
      <c r="O2470" s="116">
        <v>297</v>
      </c>
      <c r="P2470" s="116">
        <v>300.5</v>
      </c>
      <c r="Q2470" s="116">
        <v>299.10000000000002</v>
      </c>
      <c r="R2470">
        <v>13004</v>
      </c>
    </row>
    <row r="2471" spans="1:18" x14ac:dyDescent="0.25">
      <c r="A2471" s="170">
        <v>45680</v>
      </c>
      <c r="B2471" s="116">
        <v>294.89999999999998</v>
      </c>
      <c r="C2471" s="116">
        <v>291.35000000000002</v>
      </c>
      <c r="D2471" s="116">
        <v>279.3</v>
      </c>
      <c r="E2471" s="116">
        <v>279.3</v>
      </c>
      <c r="F2471" s="116">
        <v>291.35000000000002</v>
      </c>
      <c r="G2471">
        <v>1566</v>
      </c>
      <c r="H2471" s="116"/>
      <c r="I2471" s="116"/>
      <c r="L2471" s="170">
        <v>45650</v>
      </c>
      <c r="M2471" s="116">
        <v>316.35000000000002</v>
      </c>
      <c r="N2471" s="116">
        <v>320.95</v>
      </c>
      <c r="O2471" s="116">
        <v>299</v>
      </c>
      <c r="P2471" s="116">
        <v>299</v>
      </c>
      <c r="Q2471" s="116">
        <v>316.35000000000002</v>
      </c>
      <c r="R2471">
        <v>94044</v>
      </c>
    </row>
    <row r="2472" spans="1:18" x14ac:dyDescent="0.25">
      <c r="A2472" s="170">
        <v>45681</v>
      </c>
      <c r="B2472" s="116">
        <v>299.75</v>
      </c>
      <c r="C2472" s="116">
        <v>294.10000000000002</v>
      </c>
      <c r="D2472" s="116">
        <v>281.35000000000002</v>
      </c>
      <c r="E2472" s="116">
        <v>291.55</v>
      </c>
      <c r="F2472" s="116">
        <v>294.10000000000002</v>
      </c>
      <c r="G2472">
        <v>5510</v>
      </c>
      <c r="H2472" s="116"/>
      <c r="I2472" s="116"/>
      <c r="L2472" s="170">
        <v>45652</v>
      </c>
      <c r="M2472" s="116">
        <v>317.5</v>
      </c>
      <c r="N2472" s="116">
        <v>319.89999999999998</v>
      </c>
      <c r="O2472" s="116">
        <v>310.2</v>
      </c>
      <c r="P2472" s="116">
        <v>310.2</v>
      </c>
      <c r="Q2472" s="116">
        <v>317.5</v>
      </c>
      <c r="R2472">
        <v>23655</v>
      </c>
    </row>
    <row r="2473" spans="1:18" x14ac:dyDescent="0.25">
      <c r="A2473" s="170">
        <v>45684</v>
      </c>
      <c r="B2473" s="116">
        <v>299.35000000000002</v>
      </c>
      <c r="C2473" s="116">
        <v>299.10000000000002</v>
      </c>
      <c r="D2473" s="116">
        <v>285</v>
      </c>
      <c r="E2473" s="116">
        <v>289.60000000000002</v>
      </c>
      <c r="F2473" s="116">
        <v>299.10000000000002</v>
      </c>
      <c r="G2473">
        <v>1011</v>
      </c>
      <c r="H2473" s="116"/>
      <c r="I2473" s="116"/>
      <c r="L2473" s="170">
        <v>45653</v>
      </c>
      <c r="M2473" s="116">
        <v>316.7</v>
      </c>
      <c r="N2473" s="116">
        <v>324.5</v>
      </c>
      <c r="O2473" s="116">
        <v>313.5</v>
      </c>
      <c r="P2473" s="116">
        <v>313.5</v>
      </c>
      <c r="Q2473" s="116">
        <v>316.7</v>
      </c>
      <c r="R2473">
        <v>17212</v>
      </c>
    </row>
    <row r="2474" spans="1:18" x14ac:dyDescent="0.25">
      <c r="A2474" s="170">
        <v>45685</v>
      </c>
      <c r="B2474" s="116">
        <v>300.5</v>
      </c>
      <c r="C2474" s="116">
        <v>290.64999999999998</v>
      </c>
      <c r="D2474" s="116">
        <v>284.60000000000002</v>
      </c>
      <c r="E2474" s="116">
        <v>300.5</v>
      </c>
      <c r="F2474" s="116">
        <v>290.64999999999998</v>
      </c>
      <c r="G2474">
        <v>3425</v>
      </c>
      <c r="H2474" s="116"/>
      <c r="I2474" s="116"/>
      <c r="L2474" s="170">
        <v>45656</v>
      </c>
      <c r="M2474" s="116">
        <v>303.10000000000002</v>
      </c>
      <c r="N2474" s="116">
        <v>319.85000000000002</v>
      </c>
      <c r="O2474" s="116">
        <v>301.14999999999998</v>
      </c>
      <c r="P2474" s="116">
        <v>319.85000000000002</v>
      </c>
      <c r="Q2474" s="116">
        <v>303.10000000000002</v>
      </c>
      <c r="R2474">
        <v>23384</v>
      </c>
    </row>
    <row r="2475" spans="1:18" x14ac:dyDescent="0.25">
      <c r="A2475" s="170">
        <v>45686</v>
      </c>
      <c r="B2475" s="116">
        <v>298.25</v>
      </c>
      <c r="C2475" s="116">
        <v>297.10000000000002</v>
      </c>
      <c r="D2475" s="116">
        <v>291.64999999999998</v>
      </c>
      <c r="E2475" s="116">
        <v>291.64999999999998</v>
      </c>
      <c r="F2475" s="116">
        <v>297.10000000000002</v>
      </c>
      <c r="G2475">
        <v>48</v>
      </c>
      <c r="H2475" s="116"/>
      <c r="I2475" s="116"/>
      <c r="L2475" s="170">
        <v>45657</v>
      </c>
      <c r="M2475" s="116">
        <v>305.05</v>
      </c>
      <c r="N2475" s="116">
        <v>307.75</v>
      </c>
      <c r="O2475" s="116">
        <v>302.39999999999998</v>
      </c>
      <c r="P2475" s="116">
        <v>304.60000000000002</v>
      </c>
      <c r="Q2475" s="116">
        <v>305.05</v>
      </c>
      <c r="R2475">
        <v>10470</v>
      </c>
    </row>
    <row r="2476" spans="1:18" x14ac:dyDescent="0.25">
      <c r="A2476" s="170">
        <v>45687</v>
      </c>
      <c r="B2476" s="116">
        <v>295.89999999999998</v>
      </c>
      <c r="C2476" s="116">
        <v>291.8</v>
      </c>
      <c r="D2476" s="116">
        <v>290</v>
      </c>
      <c r="E2476" s="116">
        <v>295.89999999999998</v>
      </c>
      <c r="F2476" s="116">
        <v>291.8</v>
      </c>
      <c r="G2476">
        <v>421</v>
      </c>
      <c r="H2476" s="116"/>
      <c r="I2476" s="116"/>
      <c r="L2476" s="170">
        <v>45658</v>
      </c>
      <c r="M2476" s="116">
        <v>314.45</v>
      </c>
      <c r="N2476" s="116">
        <v>320.95</v>
      </c>
      <c r="O2476" s="116">
        <v>305.14999999999998</v>
      </c>
      <c r="P2476" s="116">
        <v>305.60000000000002</v>
      </c>
      <c r="Q2476" s="116">
        <v>314.45</v>
      </c>
      <c r="R2476">
        <v>41122</v>
      </c>
    </row>
    <row r="2477" spans="1:18" x14ac:dyDescent="0.25">
      <c r="A2477" s="170">
        <v>45688</v>
      </c>
      <c r="B2477" s="116">
        <v>304.95</v>
      </c>
      <c r="C2477" s="116">
        <v>293.45</v>
      </c>
      <c r="D2477" s="116">
        <v>292</v>
      </c>
      <c r="E2477" s="116">
        <v>304.95</v>
      </c>
      <c r="F2477" s="116">
        <v>293.45</v>
      </c>
      <c r="G2477">
        <v>149</v>
      </c>
      <c r="H2477" s="116"/>
      <c r="I2477" s="116"/>
      <c r="L2477" s="170">
        <v>45659</v>
      </c>
      <c r="M2477" s="116">
        <v>307.85000000000002</v>
      </c>
      <c r="N2477" s="116">
        <v>318.3</v>
      </c>
      <c r="O2477" s="116">
        <v>305</v>
      </c>
      <c r="P2477" s="116">
        <v>310.35000000000002</v>
      </c>
      <c r="Q2477" s="116">
        <v>307.85000000000002</v>
      </c>
      <c r="R2477">
        <v>28927</v>
      </c>
    </row>
    <row r="2478" spans="1:18" x14ac:dyDescent="0.25">
      <c r="A2478" s="170">
        <v>45689</v>
      </c>
      <c r="B2478" s="116">
        <v>294.25</v>
      </c>
      <c r="C2478" s="116">
        <v>292.2</v>
      </c>
      <c r="D2478" s="116">
        <v>286</v>
      </c>
      <c r="E2478" s="116">
        <v>286.14999999999998</v>
      </c>
      <c r="F2478" s="116">
        <v>292.2</v>
      </c>
      <c r="G2478">
        <v>974</v>
      </c>
      <c r="H2478" s="116"/>
      <c r="I2478" s="116"/>
      <c r="L2478" s="170">
        <v>45660</v>
      </c>
      <c r="M2478" s="116">
        <v>306</v>
      </c>
      <c r="N2478" s="116">
        <v>311.95</v>
      </c>
      <c r="O2478" s="116">
        <v>305</v>
      </c>
      <c r="P2478" s="116">
        <v>310.7</v>
      </c>
      <c r="Q2478" s="116">
        <v>306</v>
      </c>
      <c r="R2478">
        <v>12140</v>
      </c>
    </row>
    <row r="2479" spans="1:18" x14ac:dyDescent="0.25">
      <c r="A2479" s="170">
        <v>45691</v>
      </c>
      <c r="B2479" s="116">
        <v>318.95</v>
      </c>
      <c r="C2479" s="116">
        <v>288.05</v>
      </c>
      <c r="D2479" s="116">
        <v>285.39999999999998</v>
      </c>
      <c r="E2479" s="116">
        <v>318.95</v>
      </c>
      <c r="F2479" s="116">
        <v>288.05</v>
      </c>
      <c r="G2479">
        <v>483</v>
      </c>
      <c r="H2479" s="116"/>
      <c r="I2479" s="116"/>
      <c r="L2479" s="170">
        <v>45663</v>
      </c>
      <c r="M2479" s="116">
        <v>305.45</v>
      </c>
      <c r="N2479" s="116">
        <v>306.95</v>
      </c>
      <c r="O2479" s="116">
        <v>303</v>
      </c>
      <c r="P2479" s="116">
        <v>305</v>
      </c>
      <c r="Q2479" s="116">
        <v>305.45</v>
      </c>
      <c r="R2479">
        <v>26757</v>
      </c>
    </row>
    <row r="2480" spans="1:18" x14ac:dyDescent="0.25">
      <c r="A2480" s="170">
        <v>45692</v>
      </c>
      <c r="B2480" s="116">
        <v>313</v>
      </c>
      <c r="C2480" s="116">
        <v>287.39999999999998</v>
      </c>
      <c r="D2480" s="116">
        <v>283.2</v>
      </c>
      <c r="E2480" s="116">
        <v>313</v>
      </c>
      <c r="F2480" s="116">
        <v>287.39999999999998</v>
      </c>
      <c r="G2480">
        <v>1038</v>
      </c>
      <c r="H2480" s="116"/>
      <c r="I2480" s="116"/>
      <c r="L2480" s="170">
        <v>45664</v>
      </c>
      <c r="M2480" s="116">
        <v>303.5</v>
      </c>
      <c r="N2480" s="116">
        <v>306.95</v>
      </c>
      <c r="O2480" s="116">
        <v>303</v>
      </c>
      <c r="P2480" s="116">
        <v>305.39999999999998</v>
      </c>
      <c r="Q2480" s="116">
        <v>303.5</v>
      </c>
      <c r="R2480">
        <v>10311</v>
      </c>
    </row>
    <row r="2481" spans="1:18" x14ac:dyDescent="0.25">
      <c r="A2481" s="170">
        <v>45693</v>
      </c>
      <c r="B2481" s="116">
        <v>309</v>
      </c>
      <c r="C2481" s="116">
        <v>289.5</v>
      </c>
      <c r="D2481" s="116">
        <v>286.14999999999998</v>
      </c>
      <c r="E2481" s="116">
        <v>309</v>
      </c>
      <c r="F2481" s="116">
        <v>289.5</v>
      </c>
      <c r="G2481">
        <v>104</v>
      </c>
      <c r="H2481" s="116"/>
      <c r="I2481" s="116"/>
      <c r="L2481" s="170">
        <v>45665</v>
      </c>
      <c r="M2481" s="116">
        <v>301.95</v>
      </c>
      <c r="N2481" s="116">
        <v>308.10000000000002</v>
      </c>
      <c r="O2481" s="116">
        <v>298</v>
      </c>
      <c r="P2481" s="116">
        <v>304</v>
      </c>
      <c r="Q2481" s="116">
        <v>301.95</v>
      </c>
      <c r="R2481">
        <v>46578</v>
      </c>
    </row>
    <row r="2482" spans="1:18" x14ac:dyDescent="0.25">
      <c r="A2482" s="170">
        <v>45694</v>
      </c>
      <c r="B2482" s="116">
        <v>288.45</v>
      </c>
      <c r="C2482" s="116">
        <v>283.39999999999998</v>
      </c>
      <c r="D2482" s="116">
        <v>281</v>
      </c>
      <c r="E2482" s="116">
        <v>288.45</v>
      </c>
      <c r="F2482" s="116">
        <v>283.39999999999998</v>
      </c>
      <c r="G2482">
        <v>1206</v>
      </c>
      <c r="H2482" s="116"/>
      <c r="I2482" s="116"/>
      <c r="L2482" s="170">
        <v>45666</v>
      </c>
      <c r="M2482" s="116">
        <v>297.14999999999998</v>
      </c>
      <c r="N2482" s="116">
        <v>305.05</v>
      </c>
      <c r="O2482" s="116">
        <v>296.25</v>
      </c>
      <c r="P2482" s="116">
        <v>302.85000000000002</v>
      </c>
      <c r="Q2482" s="116">
        <v>297.14999999999998</v>
      </c>
      <c r="R2482">
        <v>11800</v>
      </c>
    </row>
    <row r="2483" spans="1:18" x14ac:dyDescent="0.25">
      <c r="A2483" s="170">
        <v>45695</v>
      </c>
      <c r="B2483" s="116">
        <v>307</v>
      </c>
      <c r="C2483" s="116">
        <v>282.60000000000002</v>
      </c>
      <c r="D2483" s="116">
        <v>277.25</v>
      </c>
      <c r="E2483" s="116">
        <v>307</v>
      </c>
      <c r="F2483" s="116">
        <v>282.60000000000002</v>
      </c>
      <c r="G2483">
        <v>1814</v>
      </c>
      <c r="H2483" s="116"/>
      <c r="I2483" s="116"/>
      <c r="L2483" s="170">
        <v>45667</v>
      </c>
      <c r="M2483" s="116">
        <v>289.60000000000002</v>
      </c>
      <c r="N2483" s="116">
        <v>300.14999999999998</v>
      </c>
      <c r="O2483" s="116">
        <v>287.55</v>
      </c>
      <c r="P2483" s="116">
        <v>300.10000000000002</v>
      </c>
      <c r="Q2483" s="116">
        <v>289.60000000000002</v>
      </c>
      <c r="R2483">
        <v>29410</v>
      </c>
    </row>
    <row r="2484" spans="1:18" x14ac:dyDescent="0.25">
      <c r="A2484" s="170">
        <v>45698</v>
      </c>
      <c r="B2484" s="116">
        <v>298.45</v>
      </c>
      <c r="C2484" s="116">
        <v>295.2</v>
      </c>
      <c r="D2484" s="116">
        <v>273.10000000000002</v>
      </c>
      <c r="E2484" s="116">
        <v>280.14999999999998</v>
      </c>
      <c r="F2484" s="116">
        <v>295.2</v>
      </c>
      <c r="G2484">
        <v>4110</v>
      </c>
      <c r="H2484" s="116"/>
      <c r="I2484" s="116"/>
      <c r="L2484" s="170">
        <v>45670</v>
      </c>
      <c r="M2484" s="116">
        <v>285.64999999999998</v>
      </c>
      <c r="N2484" s="116">
        <v>290.64999999999998</v>
      </c>
      <c r="O2484" s="116">
        <v>285</v>
      </c>
      <c r="P2484" s="116">
        <v>287</v>
      </c>
      <c r="Q2484" s="116">
        <v>285.64999999999998</v>
      </c>
      <c r="R2484">
        <v>16111</v>
      </c>
    </row>
    <row r="2485" spans="1:18" x14ac:dyDescent="0.25">
      <c r="A2485" s="170">
        <v>45699</v>
      </c>
      <c r="B2485" s="116">
        <v>287.95</v>
      </c>
      <c r="C2485" s="116">
        <v>278.14999999999998</v>
      </c>
      <c r="D2485" s="116">
        <v>272.2</v>
      </c>
      <c r="E2485" s="116">
        <v>287.64999999999998</v>
      </c>
      <c r="F2485" s="116">
        <v>278.14999999999998</v>
      </c>
      <c r="G2485">
        <v>2113</v>
      </c>
      <c r="H2485" s="116"/>
      <c r="I2485" s="116"/>
      <c r="L2485" s="170">
        <v>45671</v>
      </c>
      <c r="M2485" s="116">
        <v>287.75</v>
      </c>
      <c r="N2485" s="116">
        <v>293</v>
      </c>
      <c r="O2485" s="116">
        <v>285.05</v>
      </c>
      <c r="P2485" s="116">
        <v>285.64999999999998</v>
      </c>
      <c r="Q2485" s="116">
        <v>287.75</v>
      </c>
      <c r="R2485">
        <v>13351</v>
      </c>
    </row>
    <row r="2486" spans="1:18" x14ac:dyDescent="0.25">
      <c r="A2486" s="170">
        <v>45700</v>
      </c>
      <c r="B2486" s="116">
        <v>306.05</v>
      </c>
      <c r="C2486" s="116">
        <v>296.3</v>
      </c>
      <c r="D2486" s="116">
        <v>270.05</v>
      </c>
      <c r="E2486" s="116">
        <v>270.05</v>
      </c>
      <c r="F2486" s="116">
        <v>296.3</v>
      </c>
      <c r="G2486">
        <v>4168</v>
      </c>
      <c r="H2486" s="116"/>
      <c r="I2486" s="116"/>
      <c r="L2486" s="170">
        <v>45672</v>
      </c>
      <c r="M2486" s="116">
        <v>301.55</v>
      </c>
      <c r="N2486" s="116">
        <v>305</v>
      </c>
      <c r="O2486" s="116">
        <v>288.75</v>
      </c>
      <c r="P2486" s="116">
        <v>290</v>
      </c>
      <c r="Q2486" s="116">
        <v>301.55</v>
      </c>
      <c r="R2486">
        <v>24516</v>
      </c>
    </row>
    <row r="2487" spans="1:18" x14ac:dyDescent="0.25">
      <c r="A2487" s="170">
        <v>45701</v>
      </c>
      <c r="B2487" s="116">
        <v>296</v>
      </c>
      <c r="C2487" s="116">
        <v>289.5</v>
      </c>
      <c r="D2487" s="116">
        <v>280.05</v>
      </c>
      <c r="E2487" s="116">
        <v>280.05</v>
      </c>
      <c r="F2487" s="116">
        <v>289.5</v>
      </c>
      <c r="G2487">
        <v>2177</v>
      </c>
      <c r="H2487" s="116"/>
      <c r="I2487" s="116"/>
      <c r="L2487" s="170">
        <v>45673</v>
      </c>
      <c r="M2487" s="116">
        <v>297.64999999999998</v>
      </c>
      <c r="N2487" s="116">
        <v>304.64999999999998</v>
      </c>
      <c r="O2487" s="116">
        <v>295.5</v>
      </c>
      <c r="P2487" s="116">
        <v>303.89999999999998</v>
      </c>
      <c r="Q2487" s="116">
        <v>297.64999999999998</v>
      </c>
      <c r="R2487">
        <v>10000</v>
      </c>
    </row>
    <row r="2488" spans="1:18" x14ac:dyDescent="0.25">
      <c r="A2488" s="170">
        <v>45702</v>
      </c>
      <c r="B2488" s="116">
        <v>290</v>
      </c>
      <c r="C2488" s="116">
        <v>283.10000000000002</v>
      </c>
      <c r="D2488" s="116">
        <v>270</v>
      </c>
      <c r="E2488" s="116">
        <v>270</v>
      </c>
      <c r="F2488" s="116">
        <v>283.10000000000002</v>
      </c>
      <c r="G2488">
        <v>3992</v>
      </c>
      <c r="H2488" s="116"/>
      <c r="I2488" s="116"/>
      <c r="L2488" s="170">
        <v>45674</v>
      </c>
      <c r="M2488" s="116">
        <v>295</v>
      </c>
      <c r="N2488" s="116">
        <v>307.05</v>
      </c>
      <c r="O2488" s="116">
        <v>289.05</v>
      </c>
      <c r="P2488" s="116">
        <v>297.64999999999998</v>
      </c>
      <c r="Q2488" s="116">
        <v>295</v>
      </c>
      <c r="R2488">
        <v>18096</v>
      </c>
    </row>
    <row r="2489" spans="1:18" x14ac:dyDescent="0.25">
      <c r="A2489" s="170">
        <v>45705</v>
      </c>
      <c r="B2489" s="116">
        <v>288.8</v>
      </c>
      <c r="C2489" s="116">
        <v>285.3</v>
      </c>
      <c r="D2489" s="116">
        <v>277.95</v>
      </c>
      <c r="E2489" s="116">
        <v>285.45</v>
      </c>
      <c r="F2489" s="116">
        <v>285.3</v>
      </c>
      <c r="G2489">
        <v>2557</v>
      </c>
      <c r="H2489" s="116"/>
      <c r="I2489" s="116"/>
      <c r="L2489" s="170">
        <v>45677</v>
      </c>
      <c r="M2489" s="116">
        <v>286.39999999999998</v>
      </c>
      <c r="N2489" s="116">
        <v>291.75</v>
      </c>
      <c r="O2489" s="116">
        <v>280</v>
      </c>
      <c r="P2489" s="116">
        <v>287</v>
      </c>
      <c r="Q2489" s="116">
        <v>286.39999999999998</v>
      </c>
      <c r="R2489">
        <v>37394</v>
      </c>
    </row>
    <row r="2490" spans="1:18" x14ac:dyDescent="0.25">
      <c r="A2490" s="170">
        <v>45706</v>
      </c>
      <c r="B2490" s="116">
        <v>286.25</v>
      </c>
      <c r="C2490" s="116">
        <v>279.14999999999998</v>
      </c>
      <c r="D2490" s="116">
        <v>276.95</v>
      </c>
      <c r="E2490" s="116">
        <v>282.95</v>
      </c>
      <c r="F2490" s="116">
        <v>279.14999999999998</v>
      </c>
      <c r="G2490">
        <v>1535</v>
      </c>
      <c r="H2490" s="116"/>
      <c r="I2490" s="116"/>
      <c r="L2490" s="170">
        <v>45678</v>
      </c>
      <c r="M2490" s="116">
        <v>284.3</v>
      </c>
      <c r="N2490" s="116">
        <v>289.60000000000002</v>
      </c>
      <c r="O2490" s="116">
        <v>283.55</v>
      </c>
      <c r="P2490" s="116">
        <v>289.25</v>
      </c>
      <c r="Q2490" s="116">
        <v>284.3</v>
      </c>
      <c r="R2490">
        <v>11787</v>
      </c>
    </row>
    <row r="2491" spans="1:18" x14ac:dyDescent="0.25">
      <c r="A2491" s="170">
        <v>45707</v>
      </c>
      <c r="B2491" s="116">
        <v>297.45</v>
      </c>
      <c r="C2491" s="116">
        <v>292.25</v>
      </c>
      <c r="D2491" s="116">
        <v>277</v>
      </c>
      <c r="E2491" s="116">
        <v>278</v>
      </c>
      <c r="F2491" s="116">
        <v>292.25</v>
      </c>
      <c r="G2491">
        <v>2248</v>
      </c>
      <c r="H2491" s="116"/>
      <c r="I2491" s="116"/>
      <c r="L2491" s="170">
        <v>45679</v>
      </c>
      <c r="M2491" s="116">
        <v>279.3</v>
      </c>
      <c r="N2491" s="116">
        <v>285.25</v>
      </c>
      <c r="O2491" s="116">
        <v>277</v>
      </c>
      <c r="P2491" s="116">
        <v>285.25</v>
      </c>
      <c r="Q2491" s="116">
        <v>279.3</v>
      </c>
      <c r="R2491">
        <v>15536</v>
      </c>
    </row>
    <row r="2492" spans="1:18" x14ac:dyDescent="0.25">
      <c r="A2492" s="170">
        <v>45708</v>
      </c>
      <c r="B2492" s="116">
        <v>314.7</v>
      </c>
      <c r="C2492" s="116">
        <v>309.25</v>
      </c>
      <c r="D2492" s="116">
        <v>290.75</v>
      </c>
      <c r="E2492" s="116">
        <v>290.75</v>
      </c>
      <c r="F2492" s="116">
        <v>309.25</v>
      </c>
      <c r="G2492">
        <v>4787</v>
      </c>
      <c r="H2492" s="116"/>
      <c r="I2492" s="116"/>
      <c r="L2492" s="170">
        <v>45680</v>
      </c>
      <c r="M2492" s="116">
        <v>289.85000000000002</v>
      </c>
      <c r="N2492" s="116">
        <v>298</v>
      </c>
      <c r="O2492" s="116">
        <v>278.10000000000002</v>
      </c>
      <c r="P2492" s="116">
        <v>278.10000000000002</v>
      </c>
      <c r="Q2492" s="116">
        <v>289.85000000000002</v>
      </c>
      <c r="R2492">
        <v>26495</v>
      </c>
    </row>
    <row r="2493" spans="1:18" x14ac:dyDescent="0.25">
      <c r="A2493" s="170">
        <v>45709</v>
      </c>
      <c r="B2493" s="116">
        <v>310.05</v>
      </c>
      <c r="C2493" s="116">
        <v>301.3</v>
      </c>
      <c r="D2493" s="116">
        <v>300</v>
      </c>
      <c r="E2493" s="116">
        <v>303.60000000000002</v>
      </c>
      <c r="F2493" s="116">
        <v>301.3</v>
      </c>
      <c r="G2493">
        <v>300</v>
      </c>
      <c r="H2493" s="116"/>
      <c r="I2493" s="116"/>
      <c r="L2493" s="170">
        <v>45681</v>
      </c>
      <c r="M2493" s="116">
        <v>295.85000000000002</v>
      </c>
      <c r="N2493" s="116">
        <v>302</v>
      </c>
      <c r="O2493" s="116">
        <v>283</v>
      </c>
      <c r="P2493" s="116">
        <v>292.75</v>
      </c>
      <c r="Q2493" s="116">
        <v>295.85000000000002</v>
      </c>
      <c r="R2493">
        <v>35124</v>
      </c>
    </row>
    <row r="2494" spans="1:18" x14ac:dyDescent="0.25">
      <c r="A2494" s="170">
        <v>45712</v>
      </c>
      <c r="B2494" s="116">
        <v>303.5</v>
      </c>
      <c r="C2494" s="116">
        <v>295.10000000000002</v>
      </c>
      <c r="D2494" s="116">
        <v>293.25</v>
      </c>
      <c r="E2494" s="116">
        <v>301</v>
      </c>
      <c r="F2494" s="116">
        <v>295.10000000000002</v>
      </c>
      <c r="G2494">
        <v>2523</v>
      </c>
      <c r="H2494" s="116"/>
      <c r="I2494" s="116"/>
      <c r="L2494" s="170">
        <v>45684</v>
      </c>
      <c r="M2494" s="116">
        <v>293.2</v>
      </c>
      <c r="N2494" s="116">
        <v>302.75</v>
      </c>
      <c r="O2494" s="116">
        <v>284.85000000000002</v>
      </c>
      <c r="P2494" s="116">
        <v>285.05</v>
      </c>
      <c r="Q2494" s="116">
        <v>293.2</v>
      </c>
      <c r="R2494">
        <v>34760</v>
      </c>
    </row>
    <row r="2495" spans="1:18" x14ac:dyDescent="0.25">
      <c r="A2495" s="170">
        <v>45713</v>
      </c>
      <c r="B2495" s="116">
        <v>296.3</v>
      </c>
      <c r="C2495" s="116">
        <v>288.5</v>
      </c>
      <c r="D2495" s="116">
        <v>284.85000000000002</v>
      </c>
      <c r="E2495" s="116">
        <v>296.3</v>
      </c>
      <c r="F2495" s="116">
        <v>288.5</v>
      </c>
      <c r="G2495">
        <v>513</v>
      </c>
      <c r="H2495" s="116"/>
      <c r="I2495" s="116"/>
      <c r="L2495" s="170">
        <v>45685</v>
      </c>
      <c r="M2495" s="116">
        <v>290.95</v>
      </c>
      <c r="N2495" s="116">
        <v>301</v>
      </c>
      <c r="O2495" s="116">
        <v>283.14999999999998</v>
      </c>
      <c r="P2495" s="116">
        <v>296</v>
      </c>
      <c r="Q2495" s="116">
        <v>290.95</v>
      </c>
      <c r="R2495">
        <v>21739</v>
      </c>
    </row>
    <row r="2496" spans="1:18" x14ac:dyDescent="0.25">
      <c r="A2496" s="170">
        <v>45715</v>
      </c>
      <c r="B2496" s="116">
        <v>297</v>
      </c>
      <c r="C2496" s="116">
        <v>285.7</v>
      </c>
      <c r="D2496" s="116">
        <v>285.45</v>
      </c>
      <c r="E2496" s="116">
        <v>297</v>
      </c>
      <c r="F2496" s="116">
        <v>285.7</v>
      </c>
      <c r="G2496">
        <v>1438</v>
      </c>
      <c r="H2496" s="116"/>
      <c r="I2496" s="116"/>
      <c r="L2496" s="170">
        <v>45686</v>
      </c>
      <c r="M2496" s="116">
        <v>299.14999999999998</v>
      </c>
      <c r="N2496" s="116">
        <v>305</v>
      </c>
      <c r="O2496" s="116">
        <v>290.45</v>
      </c>
      <c r="P2496" s="116">
        <v>291.3</v>
      </c>
      <c r="Q2496" s="116">
        <v>299.14999999999998</v>
      </c>
      <c r="R2496">
        <v>29078</v>
      </c>
    </row>
    <row r="2497" spans="1:18" x14ac:dyDescent="0.25">
      <c r="A2497" s="170">
        <v>45716</v>
      </c>
      <c r="B2497" s="116">
        <v>291.3</v>
      </c>
      <c r="C2497" s="116">
        <v>274.2</v>
      </c>
      <c r="D2497" s="116">
        <v>273</v>
      </c>
      <c r="E2497" s="116">
        <v>285.10000000000002</v>
      </c>
      <c r="F2497" s="116">
        <v>274.2</v>
      </c>
      <c r="G2497">
        <v>3238</v>
      </c>
      <c r="H2497" s="116"/>
      <c r="I2497" s="116"/>
      <c r="L2497" s="170">
        <v>45687</v>
      </c>
      <c r="M2497" s="116">
        <v>290.85000000000002</v>
      </c>
      <c r="N2497" s="116">
        <v>298.39999999999998</v>
      </c>
      <c r="O2497" s="116">
        <v>289.45</v>
      </c>
      <c r="P2497" s="116">
        <v>296.45</v>
      </c>
      <c r="Q2497" s="116">
        <v>290.85000000000002</v>
      </c>
      <c r="R2497">
        <v>13710</v>
      </c>
    </row>
    <row r="2498" spans="1:18" x14ac:dyDescent="0.25">
      <c r="A2498" s="170">
        <v>45719</v>
      </c>
      <c r="B2498" s="116">
        <v>293.64999999999998</v>
      </c>
      <c r="C2498" s="116">
        <v>286</v>
      </c>
      <c r="D2498" s="116">
        <v>267.3</v>
      </c>
      <c r="E2498" s="116">
        <v>275</v>
      </c>
      <c r="F2498" s="116">
        <v>286</v>
      </c>
      <c r="G2498">
        <v>3008</v>
      </c>
      <c r="H2498" s="116"/>
      <c r="I2498" s="116"/>
      <c r="L2498" s="170">
        <v>45688</v>
      </c>
      <c r="M2498" s="116">
        <v>292.85000000000002</v>
      </c>
      <c r="N2498" s="116">
        <v>296.75</v>
      </c>
      <c r="O2498" s="116">
        <v>290.8</v>
      </c>
      <c r="P2498" s="116">
        <v>290.85000000000002</v>
      </c>
      <c r="Q2498" s="116">
        <v>292.85000000000002</v>
      </c>
      <c r="R2498">
        <v>5706</v>
      </c>
    </row>
    <row r="2499" spans="1:18" x14ac:dyDescent="0.25">
      <c r="A2499" s="170">
        <v>45720</v>
      </c>
      <c r="B2499" s="116">
        <v>284</v>
      </c>
      <c r="C2499" s="116">
        <v>277.75</v>
      </c>
      <c r="D2499" s="116">
        <v>276.05</v>
      </c>
      <c r="E2499" s="116">
        <v>281</v>
      </c>
      <c r="F2499" s="116">
        <v>277.75</v>
      </c>
      <c r="G2499">
        <v>588</v>
      </c>
      <c r="H2499" s="116"/>
      <c r="I2499" s="116"/>
      <c r="L2499" s="170">
        <v>45689</v>
      </c>
      <c r="M2499" s="116">
        <v>293</v>
      </c>
      <c r="N2499" s="116">
        <v>294.95</v>
      </c>
      <c r="O2499" s="116">
        <v>290.35000000000002</v>
      </c>
      <c r="P2499" s="116">
        <v>292.7</v>
      </c>
      <c r="Q2499" s="116">
        <v>293</v>
      </c>
      <c r="R2499">
        <v>5261</v>
      </c>
    </row>
    <row r="2500" spans="1:18" x14ac:dyDescent="0.25">
      <c r="A2500" s="170">
        <v>45721</v>
      </c>
      <c r="B2500" s="116">
        <v>295.60000000000002</v>
      </c>
      <c r="C2500" s="116">
        <v>291.35000000000002</v>
      </c>
      <c r="D2500" s="116">
        <v>279</v>
      </c>
      <c r="E2500" s="116">
        <v>279</v>
      </c>
      <c r="F2500" s="116">
        <v>291.35000000000002</v>
      </c>
      <c r="G2500">
        <v>1031</v>
      </c>
      <c r="H2500" s="116"/>
      <c r="I2500" s="116"/>
      <c r="L2500" s="170">
        <v>45691</v>
      </c>
      <c r="M2500" s="116">
        <v>286.85000000000002</v>
      </c>
      <c r="N2500" s="116">
        <v>293.5</v>
      </c>
      <c r="O2500" s="116">
        <v>285.10000000000002</v>
      </c>
      <c r="P2500" s="116">
        <v>292.89999999999998</v>
      </c>
      <c r="Q2500" s="116">
        <v>286.85000000000002</v>
      </c>
      <c r="R2500">
        <v>6968</v>
      </c>
    </row>
    <row r="2501" spans="1:18" x14ac:dyDescent="0.25">
      <c r="A2501" s="170">
        <v>45722</v>
      </c>
      <c r="B2501" s="116">
        <v>295.8</v>
      </c>
      <c r="C2501" s="116">
        <v>285.60000000000002</v>
      </c>
      <c r="D2501" s="116">
        <v>283.95</v>
      </c>
      <c r="E2501" s="116">
        <v>291.85000000000002</v>
      </c>
      <c r="F2501" s="116">
        <v>285.60000000000002</v>
      </c>
      <c r="G2501">
        <v>503</v>
      </c>
      <c r="H2501" s="116"/>
      <c r="I2501" s="116"/>
      <c r="L2501" s="170">
        <v>45692</v>
      </c>
      <c r="M2501" s="116">
        <v>285.89999999999998</v>
      </c>
      <c r="N2501" s="116">
        <v>290.14999999999998</v>
      </c>
      <c r="O2501" s="116">
        <v>283.5</v>
      </c>
      <c r="P2501" s="116">
        <v>289.35000000000002</v>
      </c>
      <c r="Q2501" s="116">
        <v>285.89999999999998</v>
      </c>
      <c r="R2501">
        <v>10004</v>
      </c>
    </row>
    <row r="2502" spans="1:18" x14ac:dyDescent="0.25">
      <c r="A2502" s="170">
        <v>45723</v>
      </c>
      <c r="B2502" s="116">
        <v>288.95</v>
      </c>
      <c r="C2502" s="116">
        <v>284.2</v>
      </c>
      <c r="D2502" s="116">
        <v>284</v>
      </c>
      <c r="E2502" s="116">
        <v>284</v>
      </c>
      <c r="F2502" s="116">
        <v>284.2</v>
      </c>
      <c r="G2502">
        <v>146</v>
      </c>
      <c r="H2502" s="116"/>
      <c r="I2502" s="116"/>
      <c r="L2502" s="170">
        <v>45693</v>
      </c>
      <c r="M2502" s="116">
        <v>288.14999999999998</v>
      </c>
      <c r="N2502" s="116">
        <v>291.05</v>
      </c>
      <c r="O2502" s="116">
        <v>286.45</v>
      </c>
      <c r="P2502" s="116">
        <v>288.8</v>
      </c>
      <c r="Q2502" s="116">
        <v>288.14999999999998</v>
      </c>
      <c r="R2502">
        <v>4074</v>
      </c>
    </row>
    <row r="2503" spans="1:18" x14ac:dyDescent="0.25">
      <c r="A2503" s="170">
        <v>45726</v>
      </c>
      <c r="B2503" s="116">
        <v>283.25</v>
      </c>
      <c r="C2503" s="116">
        <v>274.8</v>
      </c>
      <c r="D2503" s="116">
        <v>269.10000000000002</v>
      </c>
      <c r="E2503" s="116">
        <v>283.25</v>
      </c>
      <c r="F2503" s="116">
        <v>274.8</v>
      </c>
      <c r="G2503">
        <v>283</v>
      </c>
      <c r="H2503" s="116"/>
      <c r="I2503" s="116"/>
      <c r="L2503" s="170">
        <v>45694</v>
      </c>
      <c r="M2503" s="116">
        <v>282.3</v>
      </c>
      <c r="N2503" s="116">
        <v>289.7</v>
      </c>
      <c r="O2503" s="116">
        <v>280.75</v>
      </c>
      <c r="P2503" s="116">
        <v>288</v>
      </c>
      <c r="Q2503" s="116">
        <v>282.3</v>
      </c>
      <c r="R2503">
        <v>13608</v>
      </c>
    </row>
    <row r="2504" spans="1:18" x14ac:dyDescent="0.25">
      <c r="A2504" s="170">
        <v>45727</v>
      </c>
      <c r="B2504" s="116">
        <v>289.95</v>
      </c>
      <c r="C2504" s="116">
        <v>269.14999999999998</v>
      </c>
      <c r="D2504" s="116">
        <v>267.95</v>
      </c>
      <c r="E2504" s="116">
        <v>289.95</v>
      </c>
      <c r="F2504" s="116">
        <v>269.14999999999998</v>
      </c>
      <c r="G2504">
        <v>2086</v>
      </c>
      <c r="H2504" s="116"/>
      <c r="I2504" s="116"/>
      <c r="L2504" s="170">
        <v>45695</v>
      </c>
      <c r="M2504" s="116">
        <v>282.14999999999998</v>
      </c>
      <c r="N2504" s="116">
        <v>285.35000000000002</v>
      </c>
      <c r="O2504" s="116">
        <v>281</v>
      </c>
      <c r="P2504" s="116">
        <v>284.8</v>
      </c>
      <c r="Q2504" s="116">
        <v>282.14999999999998</v>
      </c>
      <c r="R2504">
        <v>6226</v>
      </c>
    </row>
    <row r="2505" spans="1:18" x14ac:dyDescent="0.25">
      <c r="A2505" s="170">
        <v>45728</v>
      </c>
      <c r="B2505" s="116">
        <v>293</v>
      </c>
      <c r="C2505" s="116">
        <v>267.55</v>
      </c>
      <c r="D2505" s="116">
        <v>265.14999999999998</v>
      </c>
      <c r="E2505" s="116">
        <v>293</v>
      </c>
      <c r="F2505" s="116">
        <v>267.55</v>
      </c>
      <c r="G2505">
        <v>18259</v>
      </c>
      <c r="H2505" s="116"/>
      <c r="I2505" s="116"/>
      <c r="L2505" s="170">
        <v>45698</v>
      </c>
      <c r="M2505" s="116">
        <v>292.60000000000002</v>
      </c>
      <c r="N2505" s="116">
        <v>297</v>
      </c>
      <c r="O2505" s="116">
        <v>272</v>
      </c>
      <c r="P2505" s="116">
        <v>284.89999999999998</v>
      </c>
      <c r="Q2505" s="116">
        <v>292.60000000000002</v>
      </c>
      <c r="R2505">
        <v>39852</v>
      </c>
    </row>
    <row r="2506" spans="1:18" x14ac:dyDescent="0.25">
      <c r="A2506" s="170">
        <v>45729</v>
      </c>
      <c r="B2506" s="116">
        <v>285</v>
      </c>
      <c r="C2506" s="116">
        <v>265.3</v>
      </c>
      <c r="D2506" s="116">
        <v>265</v>
      </c>
      <c r="E2506" s="116">
        <v>285</v>
      </c>
      <c r="F2506" s="116">
        <v>265.3</v>
      </c>
      <c r="G2506">
        <v>941</v>
      </c>
      <c r="H2506" s="116"/>
      <c r="I2506" s="116"/>
      <c r="L2506" s="170">
        <v>45699</v>
      </c>
      <c r="M2506" s="116">
        <v>279.14999999999998</v>
      </c>
      <c r="N2506" s="116">
        <v>297.64999999999998</v>
      </c>
      <c r="O2506" s="116">
        <v>275.25</v>
      </c>
      <c r="P2506" s="116">
        <v>297.64999999999998</v>
      </c>
      <c r="Q2506" s="116">
        <v>279.14999999999998</v>
      </c>
      <c r="R2506">
        <v>24592</v>
      </c>
    </row>
    <row r="2507" spans="1:18" x14ac:dyDescent="0.25">
      <c r="A2507" s="170">
        <v>45733</v>
      </c>
      <c r="B2507" s="116">
        <v>264.95</v>
      </c>
      <c r="C2507" s="116">
        <v>260.89999999999998</v>
      </c>
      <c r="D2507" s="116">
        <v>251.05</v>
      </c>
      <c r="E2507" s="116">
        <v>251.05</v>
      </c>
      <c r="F2507" s="116">
        <v>260.89999999999998</v>
      </c>
      <c r="G2507">
        <v>250</v>
      </c>
      <c r="H2507" s="116"/>
      <c r="I2507" s="116"/>
      <c r="L2507" s="170">
        <v>45700</v>
      </c>
      <c r="M2507" s="116">
        <v>293.75</v>
      </c>
      <c r="N2507" s="116">
        <v>304</v>
      </c>
      <c r="O2507" s="116">
        <v>272.3</v>
      </c>
      <c r="P2507" s="116">
        <v>275.10000000000002</v>
      </c>
      <c r="Q2507" s="116">
        <v>293.75</v>
      </c>
      <c r="R2507">
        <v>32203</v>
      </c>
    </row>
    <row r="2508" spans="1:18" x14ac:dyDescent="0.25">
      <c r="A2508" s="170">
        <v>45734</v>
      </c>
      <c r="B2508" s="116">
        <v>279</v>
      </c>
      <c r="C2508" s="116">
        <v>272.45</v>
      </c>
      <c r="D2508" s="116">
        <v>260.39999999999998</v>
      </c>
      <c r="E2508" s="116">
        <v>263.05</v>
      </c>
      <c r="F2508" s="116">
        <v>272.45</v>
      </c>
      <c r="G2508">
        <v>2363</v>
      </c>
      <c r="H2508" s="116"/>
      <c r="I2508" s="116"/>
      <c r="L2508" s="170">
        <v>45701</v>
      </c>
      <c r="M2508" s="116">
        <v>289.25</v>
      </c>
      <c r="N2508" s="116">
        <v>293.10000000000002</v>
      </c>
      <c r="O2508" s="116">
        <v>286.8</v>
      </c>
      <c r="P2508" s="116">
        <v>286.8</v>
      </c>
      <c r="Q2508" s="116">
        <v>289.25</v>
      </c>
      <c r="R2508">
        <v>20820</v>
      </c>
    </row>
    <row r="2509" spans="1:18" x14ac:dyDescent="0.25">
      <c r="A2509" s="170">
        <v>45735</v>
      </c>
      <c r="B2509" s="116">
        <v>297</v>
      </c>
      <c r="C2509" s="116">
        <v>275</v>
      </c>
      <c r="D2509" s="116">
        <v>274.3</v>
      </c>
      <c r="E2509" s="116">
        <v>297</v>
      </c>
      <c r="F2509" s="116">
        <v>275</v>
      </c>
      <c r="G2509">
        <v>1158</v>
      </c>
      <c r="H2509" s="116"/>
      <c r="I2509" s="116"/>
      <c r="L2509" s="170">
        <v>45702</v>
      </c>
      <c r="M2509" s="116">
        <v>283.8</v>
      </c>
      <c r="N2509" s="116">
        <v>291.05</v>
      </c>
      <c r="O2509" s="116">
        <v>282.55</v>
      </c>
      <c r="P2509" s="116">
        <v>286.05</v>
      </c>
      <c r="Q2509" s="116">
        <v>283.8</v>
      </c>
      <c r="R2509">
        <v>15003</v>
      </c>
    </row>
    <row r="2510" spans="1:18" x14ac:dyDescent="0.25">
      <c r="A2510" s="170">
        <v>45736</v>
      </c>
      <c r="B2510" s="116">
        <v>277.35000000000002</v>
      </c>
      <c r="C2510" s="116">
        <v>268.25</v>
      </c>
      <c r="D2510" s="116">
        <v>266</v>
      </c>
      <c r="E2510" s="116">
        <v>266</v>
      </c>
      <c r="F2510" s="116">
        <v>268.25</v>
      </c>
      <c r="G2510">
        <v>15245</v>
      </c>
      <c r="H2510" s="116"/>
      <c r="I2510" s="116"/>
      <c r="L2510" s="170">
        <v>45705</v>
      </c>
      <c r="M2510" s="116">
        <v>283.39999999999998</v>
      </c>
      <c r="N2510" s="116">
        <v>290</v>
      </c>
      <c r="O2510" s="116">
        <v>276</v>
      </c>
      <c r="P2510" s="116">
        <v>276</v>
      </c>
      <c r="Q2510" s="116">
        <v>283.39999999999998</v>
      </c>
      <c r="R2510">
        <v>37098</v>
      </c>
    </row>
    <row r="2511" spans="1:18" x14ac:dyDescent="0.25">
      <c r="A2511" s="170">
        <v>45737</v>
      </c>
      <c r="B2511" s="116">
        <v>278.35000000000002</v>
      </c>
      <c r="C2511" s="116">
        <v>275.2</v>
      </c>
      <c r="D2511" s="116">
        <v>269.3</v>
      </c>
      <c r="E2511" s="116">
        <v>271.05</v>
      </c>
      <c r="F2511" s="116">
        <v>275.2</v>
      </c>
      <c r="G2511">
        <v>1918</v>
      </c>
      <c r="H2511" s="116"/>
      <c r="I2511" s="116"/>
      <c r="L2511" s="170">
        <v>45706</v>
      </c>
      <c r="M2511" s="116">
        <v>278.75</v>
      </c>
      <c r="N2511" s="116">
        <v>284.2</v>
      </c>
      <c r="O2511" s="116">
        <v>277.55</v>
      </c>
      <c r="P2511" s="116">
        <v>280.60000000000002</v>
      </c>
      <c r="Q2511" s="116">
        <v>278.75</v>
      </c>
      <c r="R2511">
        <v>10085</v>
      </c>
    </row>
    <row r="2512" spans="1:18" x14ac:dyDescent="0.25">
      <c r="A2512" s="170">
        <v>45740</v>
      </c>
      <c r="B2512" s="116">
        <v>280.14999999999998</v>
      </c>
      <c r="C2512" s="116">
        <v>278.95</v>
      </c>
      <c r="D2512" s="116">
        <v>266.95</v>
      </c>
      <c r="E2512" s="116">
        <v>274.2</v>
      </c>
      <c r="F2512" s="116">
        <v>278.95</v>
      </c>
      <c r="G2512">
        <v>5779</v>
      </c>
      <c r="H2512" s="116"/>
      <c r="I2512" s="116"/>
      <c r="L2512" s="170">
        <v>45707</v>
      </c>
      <c r="M2512" s="116">
        <v>294.75</v>
      </c>
      <c r="N2512" s="116">
        <v>299</v>
      </c>
      <c r="O2512" s="116">
        <v>275</v>
      </c>
      <c r="P2512" s="116">
        <v>277</v>
      </c>
      <c r="Q2512" s="116">
        <v>294.75</v>
      </c>
      <c r="R2512">
        <v>25903</v>
      </c>
    </row>
    <row r="2513" spans="1:18" x14ac:dyDescent="0.25">
      <c r="A2513" s="170">
        <v>45741</v>
      </c>
      <c r="B2513" s="116">
        <v>279.14999999999998</v>
      </c>
      <c r="C2513" s="116">
        <v>271.64999999999998</v>
      </c>
      <c r="D2513" s="116">
        <v>271.10000000000002</v>
      </c>
      <c r="E2513" s="116">
        <v>279.14999999999998</v>
      </c>
      <c r="F2513" s="116">
        <v>271.64999999999998</v>
      </c>
      <c r="G2513">
        <v>1368</v>
      </c>
      <c r="H2513" s="116"/>
      <c r="I2513" s="116"/>
      <c r="L2513" s="170">
        <v>45708</v>
      </c>
      <c r="M2513" s="116">
        <v>310.45</v>
      </c>
      <c r="N2513" s="116">
        <v>316.25</v>
      </c>
      <c r="O2513" s="116">
        <v>288.05</v>
      </c>
      <c r="P2513" s="116">
        <v>290.35000000000002</v>
      </c>
      <c r="Q2513" s="116">
        <v>310.45</v>
      </c>
      <c r="R2513">
        <v>56872</v>
      </c>
    </row>
    <row r="2514" spans="1:18" x14ac:dyDescent="0.25">
      <c r="A2514" s="170">
        <v>45742</v>
      </c>
      <c r="B2514" s="116">
        <v>273</v>
      </c>
      <c r="C2514" s="116">
        <v>265.60000000000002</v>
      </c>
      <c r="D2514" s="116">
        <v>262.89999999999998</v>
      </c>
      <c r="E2514" s="116">
        <v>271</v>
      </c>
      <c r="F2514" s="116">
        <v>265.60000000000002</v>
      </c>
      <c r="G2514">
        <v>3930</v>
      </c>
      <c r="H2514" s="116"/>
      <c r="I2514" s="116"/>
      <c r="L2514" s="170">
        <v>45709</v>
      </c>
      <c r="M2514" s="116">
        <v>301.35000000000002</v>
      </c>
      <c r="N2514" s="116">
        <v>308.60000000000002</v>
      </c>
      <c r="O2514" s="116">
        <v>300</v>
      </c>
      <c r="P2514" s="116">
        <v>304.5</v>
      </c>
      <c r="Q2514" s="116">
        <v>301.35000000000002</v>
      </c>
      <c r="R2514">
        <v>9846</v>
      </c>
    </row>
    <row r="2515" spans="1:18" x14ac:dyDescent="0.25">
      <c r="A2515" s="170">
        <v>45743</v>
      </c>
      <c r="B2515" s="116">
        <v>269.3</v>
      </c>
      <c r="C2515" s="116">
        <v>262.2</v>
      </c>
      <c r="D2515" s="116">
        <v>261</v>
      </c>
      <c r="E2515" s="116">
        <v>268</v>
      </c>
      <c r="F2515" s="116">
        <v>262.2</v>
      </c>
      <c r="G2515">
        <v>1330</v>
      </c>
      <c r="H2515" s="116"/>
      <c r="I2515" s="116"/>
      <c r="L2515" s="170">
        <v>45712</v>
      </c>
      <c r="M2515" s="116">
        <v>295.55</v>
      </c>
      <c r="N2515" s="116">
        <v>302.85000000000002</v>
      </c>
      <c r="O2515" s="116">
        <v>293.95</v>
      </c>
      <c r="P2515" s="116">
        <v>302.85000000000002</v>
      </c>
      <c r="Q2515" s="116">
        <v>295.55</v>
      </c>
      <c r="R2515">
        <v>13973</v>
      </c>
    </row>
    <row r="2516" spans="1:18" x14ac:dyDescent="0.25">
      <c r="A2516" s="170">
        <v>45744</v>
      </c>
      <c r="B2516" s="116">
        <v>268</v>
      </c>
      <c r="C2516" s="116">
        <v>260.25</v>
      </c>
      <c r="D2516" s="116">
        <v>259.5</v>
      </c>
      <c r="E2516" s="116">
        <v>268</v>
      </c>
      <c r="F2516" s="116">
        <v>260.25</v>
      </c>
      <c r="G2516">
        <v>594</v>
      </c>
      <c r="H2516" s="116"/>
      <c r="I2516" s="116"/>
      <c r="L2516" s="170">
        <v>45713</v>
      </c>
      <c r="M2516" s="116">
        <v>288</v>
      </c>
      <c r="N2516" s="116">
        <v>297.89999999999998</v>
      </c>
      <c r="O2516" s="116">
        <v>286.10000000000002</v>
      </c>
      <c r="P2516" s="116">
        <v>295.7</v>
      </c>
      <c r="Q2516" s="116">
        <v>288</v>
      </c>
      <c r="R2516">
        <v>12000</v>
      </c>
    </row>
    <row r="2517" spans="1:18" x14ac:dyDescent="0.25">
      <c r="A2517" s="170">
        <v>45748</v>
      </c>
      <c r="B2517" s="116">
        <v>266.45</v>
      </c>
      <c r="C2517" s="116">
        <v>265</v>
      </c>
      <c r="D2517" s="116">
        <v>261.7</v>
      </c>
      <c r="E2517" s="116">
        <v>262.60000000000002</v>
      </c>
      <c r="F2517" s="116">
        <v>265</v>
      </c>
      <c r="G2517">
        <v>613</v>
      </c>
      <c r="H2517" s="116"/>
      <c r="I2517" s="116"/>
      <c r="L2517" s="170">
        <v>45715</v>
      </c>
      <c r="M2517" s="116">
        <v>286.10000000000002</v>
      </c>
      <c r="N2517" s="116">
        <v>291</v>
      </c>
      <c r="O2517" s="116">
        <v>285.25</v>
      </c>
      <c r="P2517" s="116">
        <v>290.89999999999998</v>
      </c>
      <c r="Q2517" s="116">
        <v>286.10000000000002</v>
      </c>
      <c r="R2517">
        <v>7894</v>
      </c>
    </row>
    <row r="2518" spans="1:18" x14ac:dyDescent="0.25">
      <c r="A2518" s="170">
        <v>45749</v>
      </c>
      <c r="B2518" s="116">
        <v>268.85000000000002</v>
      </c>
      <c r="C2518" s="116">
        <v>265.3</v>
      </c>
      <c r="D2518" s="116">
        <v>262</v>
      </c>
      <c r="E2518" s="116">
        <v>262.85000000000002</v>
      </c>
      <c r="F2518" s="116">
        <v>265.3</v>
      </c>
      <c r="G2518">
        <v>204</v>
      </c>
      <c r="H2518" s="116"/>
      <c r="I2518" s="116"/>
      <c r="L2518" s="170">
        <v>45716</v>
      </c>
      <c r="M2518" s="116">
        <v>274.10000000000002</v>
      </c>
      <c r="N2518" s="116">
        <v>289.95</v>
      </c>
      <c r="O2518" s="116">
        <v>272.39999999999998</v>
      </c>
      <c r="P2518" s="116">
        <v>289</v>
      </c>
      <c r="Q2518" s="116">
        <v>274.10000000000002</v>
      </c>
      <c r="R2518">
        <v>32705</v>
      </c>
    </row>
    <row r="2519" spans="1:18" x14ac:dyDescent="0.25">
      <c r="A2519" s="170">
        <v>45750</v>
      </c>
      <c r="B2519" s="116">
        <v>272.3</v>
      </c>
      <c r="C2519" s="116">
        <v>270.05</v>
      </c>
      <c r="D2519" s="116">
        <v>265.8</v>
      </c>
      <c r="E2519" s="116">
        <v>266.85000000000002</v>
      </c>
      <c r="F2519" s="116">
        <v>270.05</v>
      </c>
      <c r="G2519">
        <v>1131</v>
      </c>
      <c r="H2519" s="116"/>
      <c r="I2519" s="116"/>
      <c r="L2519" s="170">
        <v>45719</v>
      </c>
      <c r="M2519" s="116">
        <v>287.85000000000002</v>
      </c>
      <c r="N2519" s="116">
        <v>291.89999999999998</v>
      </c>
      <c r="O2519" s="116">
        <v>268.05</v>
      </c>
      <c r="P2519" s="116">
        <v>274.14999999999998</v>
      </c>
      <c r="Q2519" s="116">
        <v>287.85000000000002</v>
      </c>
      <c r="R2519">
        <v>31000</v>
      </c>
    </row>
    <row r="2520" spans="1:18" x14ac:dyDescent="0.25">
      <c r="A2520" s="170">
        <v>45751</v>
      </c>
      <c r="B2520" s="116">
        <v>273</v>
      </c>
      <c r="C2520" s="116">
        <v>265.5</v>
      </c>
      <c r="D2520" s="116">
        <v>261.05</v>
      </c>
      <c r="E2520" s="116">
        <v>269.2</v>
      </c>
      <c r="F2520" s="116">
        <v>265.5</v>
      </c>
      <c r="G2520">
        <v>1506</v>
      </c>
      <c r="H2520" s="116"/>
      <c r="I2520" s="116"/>
      <c r="L2520" s="170">
        <v>45720</v>
      </c>
      <c r="M2520" s="116">
        <v>279.60000000000002</v>
      </c>
      <c r="N2520" s="116">
        <v>285</v>
      </c>
      <c r="O2520" s="116">
        <v>276.7</v>
      </c>
      <c r="P2520" s="116">
        <v>278</v>
      </c>
      <c r="Q2520" s="116">
        <v>279.60000000000002</v>
      </c>
      <c r="R2520">
        <v>15402</v>
      </c>
    </row>
    <row r="2521" spans="1:18" x14ac:dyDescent="0.25">
      <c r="A2521" s="170">
        <v>45754</v>
      </c>
      <c r="B2521" s="116">
        <v>263.5</v>
      </c>
      <c r="C2521" s="116">
        <v>260.75</v>
      </c>
      <c r="D2521" s="116">
        <v>255.15</v>
      </c>
      <c r="E2521" s="116">
        <v>262</v>
      </c>
      <c r="F2521" s="116">
        <v>260.75</v>
      </c>
      <c r="G2521">
        <v>2304</v>
      </c>
      <c r="H2521" s="116"/>
      <c r="I2521" s="116"/>
      <c r="L2521" s="170">
        <v>45721</v>
      </c>
      <c r="M2521" s="116">
        <v>291.64999999999998</v>
      </c>
      <c r="N2521" s="116">
        <v>293.39999999999998</v>
      </c>
      <c r="O2521" s="116">
        <v>278</v>
      </c>
      <c r="P2521" s="116">
        <v>278</v>
      </c>
      <c r="Q2521" s="116">
        <v>291.64999999999998</v>
      </c>
      <c r="R2521">
        <v>11881</v>
      </c>
    </row>
    <row r="2522" spans="1:18" x14ac:dyDescent="0.25">
      <c r="A2522" s="170">
        <v>45755</v>
      </c>
      <c r="B2522" s="116">
        <v>283</v>
      </c>
      <c r="C2522" s="116">
        <v>263.3</v>
      </c>
      <c r="D2522" s="116">
        <v>258.25</v>
      </c>
      <c r="E2522" s="116">
        <v>283</v>
      </c>
      <c r="F2522" s="116">
        <v>263.3</v>
      </c>
      <c r="G2522">
        <v>1894</v>
      </c>
      <c r="H2522" s="116"/>
      <c r="I2522" s="116"/>
      <c r="L2522" s="170">
        <v>45722</v>
      </c>
      <c r="M2522" s="116">
        <v>286.8</v>
      </c>
      <c r="N2522" s="116">
        <v>295.7</v>
      </c>
      <c r="O2522" s="116">
        <v>284</v>
      </c>
      <c r="P2522" s="116">
        <v>294</v>
      </c>
      <c r="Q2522" s="116">
        <v>286.8</v>
      </c>
      <c r="R2522">
        <v>30709</v>
      </c>
    </row>
    <row r="2523" spans="1:18" x14ac:dyDescent="0.25">
      <c r="A2523" s="170">
        <v>45756</v>
      </c>
      <c r="B2523" s="116">
        <v>287</v>
      </c>
      <c r="C2523" s="116">
        <v>260.60000000000002</v>
      </c>
      <c r="D2523" s="116">
        <v>260.10000000000002</v>
      </c>
      <c r="E2523" s="116">
        <v>287</v>
      </c>
      <c r="F2523" s="116">
        <v>260.60000000000002</v>
      </c>
      <c r="G2523">
        <v>458</v>
      </c>
      <c r="H2523" s="116"/>
      <c r="I2523" s="116"/>
      <c r="L2523" s="170">
        <v>45723</v>
      </c>
      <c r="M2523" s="116">
        <v>285</v>
      </c>
      <c r="N2523" s="116">
        <v>290</v>
      </c>
      <c r="O2523" s="116">
        <v>283.45</v>
      </c>
      <c r="P2523" s="116">
        <v>284</v>
      </c>
      <c r="Q2523" s="116">
        <v>285</v>
      </c>
      <c r="R2523">
        <v>6522</v>
      </c>
    </row>
    <row r="2524" spans="1:18" x14ac:dyDescent="0.25">
      <c r="A2524" s="170">
        <v>45758</v>
      </c>
      <c r="B2524" s="116">
        <v>265.89999999999998</v>
      </c>
      <c r="C2524" s="116">
        <v>262.10000000000002</v>
      </c>
      <c r="D2524" s="116">
        <v>258.25</v>
      </c>
      <c r="E2524" s="116">
        <v>263.5</v>
      </c>
      <c r="F2524" s="116">
        <v>262.10000000000002</v>
      </c>
      <c r="G2524">
        <v>210</v>
      </c>
      <c r="H2524" s="116"/>
      <c r="I2524" s="116"/>
      <c r="L2524" s="170">
        <v>45726</v>
      </c>
      <c r="M2524" s="116">
        <v>274.45</v>
      </c>
      <c r="N2524" s="116">
        <v>289.25</v>
      </c>
      <c r="O2524" s="116">
        <v>270</v>
      </c>
      <c r="P2524" s="116">
        <v>289.25</v>
      </c>
      <c r="Q2524" s="116">
        <v>274.45</v>
      </c>
      <c r="R2524">
        <v>22424</v>
      </c>
    </row>
    <row r="2525" spans="1:18" x14ac:dyDescent="0.25">
      <c r="A2525" s="170">
        <v>45762</v>
      </c>
      <c r="B2525" s="116">
        <v>269.2</v>
      </c>
      <c r="C2525" s="116">
        <v>266.89999999999998</v>
      </c>
      <c r="D2525" s="116">
        <v>266.2</v>
      </c>
      <c r="E2525" s="116">
        <v>268.55</v>
      </c>
      <c r="F2525" s="116">
        <v>266.89999999999998</v>
      </c>
      <c r="G2525">
        <v>251</v>
      </c>
      <c r="H2525" s="116"/>
      <c r="I2525" s="116"/>
      <c r="L2525" s="170">
        <v>45727</v>
      </c>
      <c r="M2525" s="116">
        <v>268.64999999999998</v>
      </c>
      <c r="N2525" s="116">
        <v>277.2</v>
      </c>
      <c r="O2525" s="116">
        <v>267.7</v>
      </c>
      <c r="P2525" s="116">
        <v>273</v>
      </c>
      <c r="Q2525" s="116">
        <v>268.64999999999998</v>
      </c>
      <c r="R2525">
        <v>17163</v>
      </c>
    </row>
    <row r="2526" spans="1:18" x14ac:dyDescent="0.25">
      <c r="A2526" s="170">
        <v>45763</v>
      </c>
      <c r="B2526" s="116">
        <v>268.95</v>
      </c>
      <c r="C2526" s="116">
        <v>266.60000000000002</v>
      </c>
      <c r="D2526" s="116">
        <v>263.55</v>
      </c>
      <c r="E2526" s="116">
        <v>268.60000000000002</v>
      </c>
      <c r="F2526" s="116">
        <v>266.60000000000002</v>
      </c>
      <c r="G2526">
        <v>1339</v>
      </c>
      <c r="H2526" s="116"/>
      <c r="I2526" s="116"/>
      <c r="L2526" s="170">
        <v>45728</v>
      </c>
      <c r="M2526" s="116">
        <v>268.14999999999998</v>
      </c>
      <c r="N2526" s="116">
        <v>271.75</v>
      </c>
      <c r="O2526" s="116">
        <v>265.2</v>
      </c>
      <c r="P2526" s="116">
        <v>271.75</v>
      </c>
      <c r="Q2526" s="116">
        <v>268.14999999999998</v>
      </c>
      <c r="R2526">
        <v>12857</v>
      </c>
    </row>
    <row r="2527" spans="1:18" x14ac:dyDescent="0.25">
      <c r="A2527" s="170">
        <v>45764</v>
      </c>
      <c r="B2527" s="116">
        <v>275.89999999999998</v>
      </c>
      <c r="C2527" s="116">
        <v>270.7</v>
      </c>
      <c r="D2527" s="116">
        <v>267.89999999999998</v>
      </c>
      <c r="E2527" s="116">
        <v>269</v>
      </c>
      <c r="F2527" s="116">
        <v>270.7</v>
      </c>
      <c r="G2527">
        <v>2070</v>
      </c>
      <c r="H2527" s="116"/>
      <c r="I2527" s="116"/>
      <c r="L2527" s="170">
        <v>45729</v>
      </c>
      <c r="M2527" s="116">
        <v>266.64999999999998</v>
      </c>
      <c r="N2527" s="116">
        <v>272</v>
      </c>
      <c r="O2527" s="116">
        <v>264.05</v>
      </c>
      <c r="P2527" s="116">
        <v>268.95</v>
      </c>
      <c r="Q2527" s="116">
        <v>266.64999999999998</v>
      </c>
      <c r="R2527">
        <v>73401</v>
      </c>
    </row>
    <row r="2528" spans="1:18" x14ac:dyDescent="0.25">
      <c r="A2528" s="170">
        <v>45768</v>
      </c>
      <c r="B2528" s="116">
        <v>274.64999999999998</v>
      </c>
      <c r="C2528" s="116">
        <v>273.75</v>
      </c>
      <c r="D2528" s="116">
        <v>269.60000000000002</v>
      </c>
      <c r="E2528" s="116">
        <v>269.60000000000002</v>
      </c>
      <c r="F2528" s="116">
        <v>273.75</v>
      </c>
      <c r="G2528">
        <v>138</v>
      </c>
      <c r="H2528" s="116"/>
      <c r="I2528" s="116"/>
      <c r="L2528" s="170">
        <v>45733</v>
      </c>
      <c r="M2528" s="116">
        <v>260.14999999999998</v>
      </c>
      <c r="N2528" s="116">
        <v>269.35000000000002</v>
      </c>
      <c r="O2528" s="116">
        <v>259.10000000000002</v>
      </c>
      <c r="P2528" s="116">
        <v>263</v>
      </c>
      <c r="Q2528" s="116">
        <v>260.14999999999998</v>
      </c>
      <c r="R2528">
        <v>20081</v>
      </c>
    </row>
    <row r="2529" spans="1:18" x14ac:dyDescent="0.25">
      <c r="A2529" s="170">
        <v>45769</v>
      </c>
      <c r="B2529" s="116">
        <v>278.25</v>
      </c>
      <c r="C2529" s="116">
        <v>277.75</v>
      </c>
      <c r="D2529" s="116">
        <v>273.75</v>
      </c>
      <c r="E2529" s="116">
        <v>277</v>
      </c>
      <c r="F2529" s="116">
        <v>277.75</v>
      </c>
      <c r="G2529">
        <v>590</v>
      </c>
      <c r="H2529" s="116"/>
      <c r="I2529" s="116"/>
      <c r="L2529" s="170">
        <v>45734</v>
      </c>
      <c r="M2529" s="116">
        <v>273.64999999999998</v>
      </c>
      <c r="N2529" s="116">
        <v>279.89999999999998</v>
      </c>
      <c r="O2529" s="116">
        <v>260.05</v>
      </c>
      <c r="P2529" s="116">
        <v>261.45</v>
      </c>
      <c r="Q2529" s="116">
        <v>273.64999999999998</v>
      </c>
      <c r="R2529">
        <v>35099</v>
      </c>
    </row>
    <row r="2530" spans="1:18" x14ac:dyDescent="0.25">
      <c r="A2530" s="170">
        <v>45770</v>
      </c>
      <c r="B2530" s="116">
        <v>280</v>
      </c>
      <c r="C2530" s="116">
        <v>274</v>
      </c>
      <c r="D2530" s="116">
        <v>270.25</v>
      </c>
      <c r="E2530" s="116">
        <v>278.95</v>
      </c>
      <c r="F2530" s="116">
        <v>274</v>
      </c>
      <c r="G2530">
        <v>2631</v>
      </c>
      <c r="H2530" s="116"/>
      <c r="I2530" s="116"/>
      <c r="L2530" s="170">
        <v>45735</v>
      </c>
      <c r="M2530" s="116">
        <v>275.35000000000002</v>
      </c>
      <c r="N2530" s="116">
        <v>280.35000000000002</v>
      </c>
      <c r="O2530" s="116">
        <v>270.2</v>
      </c>
      <c r="P2530" s="116">
        <v>270.2</v>
      </c>
      <c r="Q2530" s="116">
        <v>275.35000000000002</v>
      </c>
      <c r="R2530">
        <v>24442</v>
      </c>
    </row>
    <row r="2531" spans="1:18" x14ac:dyDescent="0.25">
      <c r="A2531" s="170">
        <v>45771</v>
      </c>
      <c r="B2531" s="116">
        <v>276.8</v>
      </c>
      <c r="C2531" s="116">
        <v>275.14999999999998</v>
      </c>
      <c r="D2531" s="116">
        <v>270</v>
      </c>
      <c r="E2531" s="116">
        <v>274.8</v>
      </c>
      <c r="F2531" s="116">
        <v>275.14999999999998</v>
      </c>
      <c r="G2531">
        <v>960</v>
      </c>
      <c r="H2531" s="116"/>
      <c r="I2531" s="116"/>
      <c r="L2531" s="170">
        <v>45736</v>
      </c>
      <c r="M2531" s="116">
        <v>268.3</v>
      </c>
      <c r="N2531" s="116">
        <v>279</v>
      </c>
      <c r="O2531" s="116">
        <v>266.7</v>
      </c>
      <c r="P2531" s="116">
        <v>271.60000000000002</v>
      </c>
      <c r="Q2531" s="116">
        <v>268.3</v>
      </c>
      <c r="R2531">
        <v>43961</v>
      </c>
    </row>
    <row r="2532" spans="1:18" x14ac:dyDescent="0.25">
      <c r="A2532" s="170">
        <v>45772</v>
      </c>
      <c r="B2532" s="116">
        <v>274.89999999999998</v>
      </c>
      <c r="C2532" s="116">
        <v>266.95</v>
      </c>
      <c r="D2532" s="116">
        <v>264.10000000000002</v>
      </c>
      <c r="E2532" s="116">
        <v>274.89999999999998</v>
      </c>
      <c r="F2532" s="116">
        <v>266.95</v>
      </c>
      <c r="G2532">
        <v>1575</v>
      </c>
      <c r="H2532" s="116"/>
      <c r="I2532" s="116"/>
      <c r="L2532" s="170">
        <v>45737</v>
      </c>
      <c r="M2532" s="116">
        <v>273.5</v>
      </c>
      <c r="N2532" s="116">
        <v>274.95</v>
      </c>
      <c r="O2532" s="116">
        <v>269.55</v>
      </c>
      <c r="P2532" s="116">
        <v>271</v>
      </c>
      <c r="Q2532" s="116">
        <v>273.5</v>
      </c>
      <c r="R2532">
        <v>24214</v>
      </c>
    </row>
    <row r="2533" spans="1:18" x14ac:dyDescent="0.25">
      <c r="A2533" s="170">
        <v>45775</v>
      </c>
      <c r="B2533" s="116">
        <v>271.89999999999998</v>
      </c>
      <c r="C2533" s="116">
        <v>271</v>
      </c>
      <c r="D2533" s="116">
        <v>264.35000000000002</v>
      </c>
      <c r="E2533" s="116">
        <v>265.95</v>
      </c>
      <c r="F2533" s="116">
        <v>271</v>
      </c>
      <c r="G2533">
        <v>569</v>
      </c>
      <c r="H2533" s="116"/>
      <c r="I2533" s="116"/>
      <c r="L2533" s="170">
        <v>45740</v>
      </c>
      <c r="M2533" s="116">
        <v>279.10000000000002</v>
      </c>
      <c r="N2533" s="116">
        <v>281.75</v>
      </c>
      <c r="O2533" s="116">
        <v>270.05</v>
      </c>
      <c r="P2533" s="116">
        <v>272</v>
      </c>
      <c r="Q2533" s="116">
        <v>279.10000000000002</v>
      </c>
      <c r="R2533">
        <v>40098</v>
      </c>
    </row>
    <row r="2534" spans="1:18" x14ac:dyDescent="0.25">
      <c r="A2534" s="170">
        <v>45776</v>
      </c>
      <c r="B2534" s="116">
        <v>282.64999999999998</v>
      </c>
      <c r="C2534" s="116">
        <v>277.45</v>
      </c>
      <c r="D2534" s="116">
        <v>268.64999999999998</v>
      </c>
      <c r="E2534" s="116">
        <v>274.75</v>
      </c>
      <c r="F2534" s="116">
        <v>277.45</v>
      </c>
      <c r="G2534">
        <v>328</v>
      </c>
      <c r="H2534" s="116"/>
      <c r="I2534" s="116"/>
      <c r="L2534" s="170">
        <v>45741</v>
      </c>
      <c r="M2534" s="116">
        <v>271.35000000000002</v>
      </c>
      <c r="N2534" s="116">
        <v>281.3</v>
      </c>
      <c r="O2534" s="116">
        <v>270.2</v>
      </c>
      <c r="P2534" s="116">
        <v>281.25</v>
      </c>
      <c r="Q2534" s="116">
        <v>271.35000000000002</v>
      </c>
      <c r="R2534">
        <v>18730</v>
      </c>
    </row>
    <row r="2535" spans="1:18" x14ac:dyDescent="0.25">
      <c r="A2535" s="170">
        <v>45777</v>
      </c>
      <c r="B2535" s="116">
        <v>279.45</v>
      </c>
      <c r="C2535" s="116">
        <v>270.14999999999998</v>
      </c>
      <c r="D2535" s="116">
        <v>269.10000000000002</v>
      </c>
      <c r="E2535" s="116">
        <v>273.3</v>
      </c>
      <c r="F2535" s="116">
        <v>270.14999999999998</v>
      </c>
      <c r="G2535">
        <v>102</v>
      </c>
      <c r="H2535" s="116"/>
      <c r="I2535" s="116"/>
      <c r="L2535" s="170">
        <v>45742</v>
      </c>
      <c r="M2535" s="116">
        <v>266.3</v>
      </c>
      <c r="N2535" s="116">
        <v>274.05</v>
      </c>
      <c r="O2535" s="116">
        <v>263</v>
      </c>
      <c r="P2535" s="116">
        <v>272.7</v>
      </c>
      <c r="Q2535" s="116">
        <v>266.3</v>
      </c>
      <c r="R2535">
        <v>21843</v>
      </c>
    </row>
    <row r="2536" spans="1:18" x14ac:dyDescent="0.25">
      <c r="A2536" s="170">
        <v>45779</v>
      </c>
      <c r="B2536" s="116">
        <v>272.75</v>
      </c>
      <c r="C2536" s="116">
        <v>268.95</v>
      </c>
      <c r="D2536" s="116">
        <v>268.05</v>
      </c>
      <c r="E2536" s="116">
        <v>270.14999999999998</v>
      </c>
      <c r="F2536" s="116">
        <v>268.95</v>
      </c>
      <c r="G2536">
        <v>237</v>
      </c>
      <c r="H2536" s="116"/>
      <c r="I2536" s="116"/>
      <c r="L2536" s="170">
        <v>45743</v>
      </c>
      <c r="M2536" s="116">
        <v>262.39999999999998</v>
      </c>
      <c r="N2536" s="116">
        <v>269.85000000000002</v>
      </c>
      <c r="O2536" s="116">
        <v>261</v>
      </c>
      <c r="P2536" s="116">
        <v>263</v>
      </c>
      <c r="Q2536" s="116">
        <v>262.39999999999998</v>
      </c>
      <c r="R2536">
        <v>36043</v>
      </c>
    </row>
    <row r="2537" spans="1:18" x14ac:dyDescent="0.25">
      <c r="A2537" s="170">
        <v>45782</v>
      </c>
      <c r="B2537" s="116">
        <v>271.5</v>
      </c>
      <c r="C2537" s="116">
        <v>268.05</v>
      </c>
      <c r="D2537" s="116">
        <v>267.14999999999998</v>
      </c>
      <c r="E2537" s="116">
        <v>269.8</v>
      </c>
      <c r="F2537" s="116">
        <v>268.05</v>
      </c>
      <c r="G2537">
        <v>441</v>
      </c>
      <c r="H2537" s="116"/>
      <c r="I2537" s="116"/>
      <c r="L2537" s="170">
        <v>45744</v>
      </c>
      <c r="M2537" s="116">
        <v>260.05</v>
      </c>
      <c r="N2537" s="116">
        <v>270.95</v>
      </c>
      <c r="O2537" s="116">
        <v>259</v>
      </c>
      <c r="P2537" s="116">
        <v>265.39999999999998</v>
      </c>
      <c r="Q2537" s="116">
        <v>260.05</v>
      </c>
      <c r="R2537">
        <v>31631</v>
      </c>
    </row>
    <row r="2538" spans="1:18" x14ac:dyDescent="0.25">
      <c r="A2538" s="170">
        <v>45783</v>
      </c>
      <c r="B2538" s="116">
        <v>281.39999999999998</v>
      </c>
      <c r="C2538" s="116">
        <v>281.39999999999998</v>
      </c>
      <c r="D2538" s="116">
        <v>266.39999999999998</v>
      </c>
      <c r="E2538" s="116">
        <v>266.95</v>
      </c>
      <c r="F2538" s="116">
        <v>281.39999999999998</v>
      </c>
      <c r="G2538">
        <v>19</v>
      </c>
      <c r="H2538" s="116"/>
      <c r="I2538" s="116"/>
      <c r="L2538" s="170">
        <v>45748</v>
      </c>
      <c r="M2538" s="116">
        <v>264.5</v>
      </c>
      <c r="N2538" s="116">
        <v>267</v>
      </c>
      <c r="O2538" s="116">
        <v>260.10000000000002</v>
      </c>
      <c r="P2538" s="116">
        <v>267</v>
      </c>
      <c r="Q2538" s="116">
        <v>264.5</v>
      </c>
      <c r="R2538">
        <v>11428</v>
      </c>
    </row>
    <row r="2539" spans="1:18" x14ac:dyDescent="0.25">
      <c r="A2539" s="170">
        <v>45784</v>
      </c>
      <c r="B2539" s="116">
        <v>274.2</v>
      </c>
      <c r="C2539" s="116">
        <v>268.3</v>
      </c>
      <c r="D2539" s="116">
        <v>266.8</v>
      </c>
      <c r="E2539" s="116">
        <v>267.05</v>
      </c>
      <c r="F2539" s="116">
        <v>268.3</v>
      </c>
      <c r="G2539">
        <v>1733</v>
      </c>
      <c r="H2539" s="116"/>
      <c r="I2539" s="116"/>
      <c r="L2539" s="170">
        <v>45749</v>
      </c>
      <c r="M2539" s="116">
        <v>265.25</v>
      </c>
      <c r="N2539" s="116">
        <v>267.95</v>
      </c>
      <c r="O2539" s="116">
        <v>261</v>
      </c>
      <c r="P2539" s="116">
        <v>267.2</v>
      </c>
      <c r="Q2539" s="116">
        <v>265.25</v>
      </c>
      <c r="R2539">
        <v>9159</v>
      </c>
    </row>
    <row r="2540" spans="1:18" x14ac:dyDescent="0.25">
      <c r="A2540" s="170">
        <v>45785</v>
      </c>
      <c r="B2540" s="116">
        <v>274.39999999999998</v>
      </c>
      <c r="C2540" s="116">
        <v>266.14999999999998</v>
      </c>
      <c r="D2540" s="116">
        <v>261.5</v>
      </c>
      <c r="E2540" s="116">
        <v>274.39999999999998</v>
      </c>
      <c r="F2540" s="116">
        <v>266.14999999999998</v>
      </c>
      <c r="G2540">
        <v>495</v>
      </c>
      <c r="H2540" s="116"/>
      <c r="I2540" s="116"/>
      <c r="L2540" s="170">
        <v>45750</v>
      </c>
      <c r="M2540" s="116">
        <v>270</v>
      </c>
      <c r="N2540" s="116">
        <v>275</v>
      </c>
      <c r="O2540" s="116">
        <v>264.8</v>
      </c>
      <c r="P2540" s="116">
        <v>266.35000000000002</v>
      </c>
      <c r="Q2540" s="116">
        <v>270</v>
      </c>
      <c r="R2540">
        <v>28817</v>
      </c>
    </row>
    <row r="2541" spans="1:18" x14ac:dyDescent="0.25">
      <c r="A2541" s="170">
        <v>45786</v>
      </c>
      <c r="B2541" s="116">
        <v>266.64999999999998</v>
      </c>
      <c r="C2541" s="116">
        <v>264.95</v>
      </c>
      <c r="D2541" s="116">
        <v>256.45</v>
      </c>
      <c r="E2541" s="116">
        <v>263.25</v>
      </c>
      <c r="F2541" s="116">
        <v>264.95</v>
      </c>
      <c r="G2541">
        <v>3530</v>
      </c>
      <c r="H2541" s="116"/>
      <c r="I2541" s="116"/>
      <c r="L2541" s="170">
        <v>45751</v>
      </c>
      <c r="M2541" s="116">
        <v>265.25</v>
      </c>
      <c r="N2541" s="116">
        <v>273.8</v>
      </c>
      <c r="O2541" s="116">
        <v>260.5</v>
      </c>
      <c r="P2541" s="116">
        <v>271.89999999999998</v>
      </c>
      <c r="Q2541" s="116">
        <v>265.25</v>
      </c>
      <c r="R2541">
        <v>21908</v>
      </c>
    </row>
    <row r="2542" spans="1:18" x14ac:dyDescent="0.25">
      <c r="A2542" s="170">
        <v>45789</v>
      </c>
      <c r="B2542" s="116">
        <v>274.35000000000002</v>
      </c>
      <c r="C2542" s="116">
        <v>269.35000000000002</v>
      </c>
      <c r="D2542" s="116">
        <v>259.85000000000002</v>
      </c>
      <c r="E2542" s="116">
        <v>268.05</v>
      </c>
      <c r="F2542" s="116">
        <v>269.35000000000002</v>
      </c>
      <c r="G2542">
        <v>5433</v>
      </c>
      <c r="H2542" s="116"/>
      <c r="I2542" s="116"/>
      <c r="L2542" s="170">
        <v>45754</v>
      </c>
      <c r="M2542" s="116">
        <v>260.3</v>
      </c>
      <c r="N2542" s="116">
        <v>263.5</v>
      </c>
      <c r="O2542" s="116">
        <v>256.25</v>
      </c>
      <c r="P2542" s="116">
        <v>256.25</v>
      </c>
      <c r="Q2542" s="116">
        <v>260.3</v>
      </c>
      <c r="R2542">
        <v>20850</v>
      </c>
    </row>
    <row r="2543" spans="1:18" x14ac:dyDescent="0.25">
      <c r="A2543" s="170">
        <v>45790</v>
      </c>
      <c r="B2543" s="116">
        <v>276.5</v>
      </c>
      <c r="C2543" s="116">
        <v>272.2</v>
      </c>
      <c r="D2543" s="116">
        <v>270.7</v>
      </c>
      <c r="E2543" s="116">
        <v>272.5</v>
      </c>
      <c r="F2543" s="116">
        <v>272.2</v>
      </c>
      <c r="G2543">
        <v>691</v>
      </c>
      <c r="H2543" s="116"/>
      <c r="I2543" s="116"/>
      <c r="L2543" s="170">
        <v>45755</v>
      </c>
      <c r="M2543" s="116">
        <v>263.05</v>
      </c>
      <c r="N2543" s="116">
        <v>265.64999999999998</v>
      </c>
      <c r="O2543" s="116">
        <v>261.25</v>
      </c>
      <c r="P2543" s="116">
        <v>261.95</v>
      </c>
      <c r="Q2543" s="116">
        <v>263.05</v>
      </c>
      <c r="R2543">
        <v>5895</v>
      </c>
    </row>
    <row r="2544" spans="1:18" x14ac:dyDescent="0.25">
      <c r="A2544" s="170">
        <v>45791</v>
      </c>
      <c r="B2544" s="116">
        <v>280</v>
      </c>
      <c r="C2544" s="116">
        <v>279.95</v>
      </c>
      <c r="D2544" s="116">
        <v>270.2</v>
      </c>
      <c r="E2544" s="116">
        <v>270.2</v>
      </c>
      <c r="F2544" s="116">
        <v>279.95</v>
      </c>
      <c r="G2544">
        <v>698</v>
      </c>
      <c r="H2544" s="116"/>
      <c r="I2544" s="116"/>
      <c r="L2544" s="170">
        <v>45756</v>
      </c>
      <c r="M2544" s="116">
        <v>260.89999999999998</v>
      </c>
      <c r="N2544" s="116">
        <v>264.8</v>
      </c>
      <c r="O2544" s="116">
        <v>260.05</v>
      </c>
      <c r="P2544" s="116">
        <v>261.55</v>
      </c>
      <c r="Q2544" s="116">
        <v>260.89999999999998</v>
      </c>
      <c r="R2544">
        <v>7881</v>
      </c>
    </row>
    <row r="2545" spans="1:18" x14ac:dyDescent="0.25">
      <c r="A2545" s="170">
        <v>45792</v>
      </c>
      <c r="B2545" s="116">
        <v>280.3</v>
      </c>
      <c r="C2545" s="116">
        <v>278</v>
      </c>
      <c r="D2545" s="116">
        <v>272.3</v>
      </c>
      <c r="E2545" s="116">
        <v>279.60000000000002</v>
      </c>
      <c r="F2545" s="116">
        <v>278</v>
      </c>
      <c r="G2545">
        <v>3157</v>
      </c>
      <c r="H2545" s="116"/>
      <c r="I2545" s="116"/>
      <c r="L2545" s="170">
        <v>45758</v>
      </c>
      <c r="M2545" s="116">
        <v>263.64999999999998</v>
      </c>
      <c r="N2545" s="116">
        <v>266.5</v>
      </c>
      <c r="O2545" s="116">
        <v>258.64999999999998</v>
      </c>
      <c r="P2545" s="116">
        <v>262</v>
      </c>
      <c r="Q2545" s="116">
        <v>263.64999999999998</v>
      </c>
      <c r="R2545">
        <v>23039</v>
      </c>
    </row>
    <row r="2546" spans="1:18" x14ac:dyDescent="0.25">
      <c r="A2546" s="170">
        <v>45793</v>
      </c>
      <c r="B2546" s="116">
        <v>300</v>
      </c>
      <c r="C2546" s="116">
        <v>278.8</v>
      </c>
      <c r="D2546" s="116">
        <v>274.45</v>
      </c>
      <c r="E2546" s="116">
        <v>300</v>
      </c>
      <c r="F2546" s="116">
        <v>278.8</v>
      </c>
      <c r="G2546">
        <v>4020</v>
      </c>
      <c r="H2546" s="116"/>
      <c r="I2546" s="116"/>
      <c r="L2546" s="170">
        <v>45762</v>
      </c>
      <c r="M2546" s="116">
        <v>267.05</v>
      </c>
      <c r="N2546" s="116">
        <v>269.45</v>
      </c>
      <c r="O2546" s="116">
        <v>263.60000000000002</v>
      </c>
      <c r="P2546" s="116">
        <v>264</v>
      </c>
      <c r="Q2546" s="116">
        <v>267.05</v>
      </c>
      <c r="R2546">
        <v>13947</v>
      </c>
    </row>
    <row r="2547" spans="1:18" x14ac:dyDescent="0.25">
      <c r="A2547" s="170">
        <v>45796</v>
      </c>
      <c r="B2547" s="116">
        <v>282.64999999999998</v>
      </c>
      <c r="C2547" s="116">
        <v>278.35000000000002</v>
      </c>
      <c r="D2547" s="116">
        <v>277.8</v>
      </c>
      <c r="E2547" s="116">
        <v>278.8</v>
      </c>
      <c r="F2547" s="116">
        <v>278.35000000000002</v>
      </c>
      <c r="G2547">
        <v>1411</v>
      </c>
      <c r="H2547" s="116"/>
      <c r="I2547" s="116"/>
      <c r="L2547" s="170">
        <v>45763</v>
      </c>
      <c r="M2547" s="116">
        <v>267.2</v>
      </c>
      <c r="N2547" s="116">
        <v>270.95</v>
      </c>
      <c r="O2547" s="116">
        <v>266.05</v>
      </c>
      <c r="P2547" s="116">
        <v>266.85000000000002</v>
      </c>
      <c r="Q2547" s="116">
        <v>267.2</v>
      </c>
      <c r="R2547">
        <v>12926</v>
      </c>
    </row>
    <row r="2548" spans="1:18" x14ac:dyDescent="0.25">
      <c r="A2548" s="170">
        <v>45797</v>
      </c>
      <c r="B2548" s="116">
        <v>283</v>
      </c>
      <c r="C2548" s="116">
        <v>277.55</v>
      </c>
      <c r="D2548" s="116">
        <v>277</v>
      </c>
      <c r="E2548" s="116">
        <v>283</v>
      </c>
      <c r="F2548" s="116">
        <v>277.55</v>
      </c>
      <c r="G2548">
        <v>491</v>
      </c>
      <c r="H2548" s="116"/>
      <c r="I2548" s="116"/>
      <c r="L2548" s="170">
        <v>45764</v>
      </c>
      <c r="M2548" s="116">
        <v>271.64999999999998</v>
      </c>
      <c r="N2548" s="116">
        <v>274</v>
      </c>
      <c r="O2548" s="116">
        <v>267</v>
      </c>
      <c r="P2548" s="116">
        <v>270</v>
      </c>
      <c r="Q2548" s="116">
        <v>271.64999999999998</v>
      </c>
      <c r="R2548">
        <v>14029</v>
      </c>
    </row>
    <row r="2549" spans="1:18" x14ac:dyDescent="0.25">
      <c r="A2549" s="170">
        <v>45798</v>
      </c>
      <c r="B2549" s="116">
        <v>279.3</v>
      </c>
      <c r="C2549" s="116">
        <v>277.14999999999998</v>
      </c>
      <c r="D2549" s="116">
        <v>275.35000000000002</v>
      </c>
      <c r="E2549" s="116">
        <v>278.95</v>
      </c>
      <c r="F2549" s="116">
        <v>277.14999999999998</v>
      </c>
      <c r="G2549">
        <v>724</v>
      </c>
      <c r="H2549" s="116"/>
      <c r="I2549" s="116"/>
      <c r="L2549" s="170">
        <v>45768</v>
      </c>
      <c r="M2549" s="116">
        <v>274.5</v>
      </c>
      <c r="N2549" s="116">
        <v>275.8</v>
      </c>
      <c r="O2549" s="116">
        <v>269.35000000000002</v>
      </c>
      <c r="P2549" s="116">
        <v>275</v>
      </c>
      <c r="Q2549" s="116">
        <v>274.5</v>
      </c>
      <c r="R2549">
        <v>16226</v>
      </c>
    </row>
    <row r="2550" spans="1:18" x14ac:dyDescent="0.25">
      <c r="A2550" s="170">
        <v>45799</v>
      </c>
      <c r="B2550" s="116">
        <v>307</v>
      </c>
      <c r="C2550" s="116">
        <v>302.39999999999998</v>
      </c>
      <c r="D2550" s="116">
        <v>277.14999999999998</v>
      </c>
      <c r="E2550" s="116">
        <v>278.05</v>
      </c>
      <c r="F2550" s="116">
        <v>302.39999999999998</v>
      </c>
      <c r="G2550">
        <v>3333</v>
      </c>
      <c r="H2550" s="116"/>
      <c r="I2550" s="116"/>
      <c r="L2550" s="170">
        <v>45769</v>
      </c>
      <c r="M2550" s="116">
        <v>277.39999999999998</v>
      </c>
      <c r="N2550" s="116">
        <v>279</v>
      </c>
      <c r="O2550" s="116">
        <v>272.95</v>
      </c>
      <c r="P2550" s="116">
        <v>277</v>
      </c>
      <c r="Q2550" s="116">
        <v>277.39999999999998</v>
      </c>
      <c r="R2550">
        <v>11194</v>
      </c>
    </row>
    <row r="2551" spans="1:18" x14ac:dyDescent="0.25">
      <c r="A2551" s="170">
        <v>45800</v>
      </c>
      <c r="B2551" s="116">
        <v>296.64999999999998</v>
      </c>
      <c r="C2551" s="116">
        <v>290.55</v>
      </c>
      <c r="D2551" s="116">
        <v>289.10000000000002</v>
      </c>
      <c r="E2551" s="116">
        <v>290.05</v>
      </c>
      <c r="F2551" s="116">
        <v>290.55</v>
      </c>
      <c r="G2551">
        <v>2949</v>
      </c>
      <c r="H2551" s="116"/>
      <c r="I2551" s="116"/>
      <c r="L2551" s="170">
        <v>45770</v>
      </c>
      <c r="M2551" s="116">
        <v>274</v>
      </c>
      <c r="N2551" s="116">
        <v>279</v>
      </c>
      <c r="O2551" s="116">
        <v>272.10000000000002</v>
      </c>
      <c r="P2551" s="116">
        <v>279</v>
      </c>
      <c r="Q2551" s="116">
        <v>274</v>
      </c>
      <c r="R2551">
        <v>13236</v>
      </c>
    </row>
    <row r="2552" spans="1:18" x14ac:dyDescent="0.25">
      <c r="A2552" s="170">
        <v>45803</v>
      </c>
      <c r="B2552" s="116">
        <v>300.35000000000002</v>
      </c>
      <c r="C2552" s="116">
        <v>292.5</v>
      </c>
      <c r="D2552" s="116">
        <v>289.39999999999998</v>
      </c>
      <c r="E2552" s="116">
        <v>291.10000000000002</v>
      </c>
      <c r="F2552" s="116">
        <v>292.5</v>
      </c>
      <c r="G2552">
        <v>2218</v>
      </c>
      <c r="H2552" s="116"/>
      <c r="I2552" s="116"/>
      <c r="L2552" s="170">
        <v>45771</v>
      </c>
      <c r="M2552" s="116">
        <v>274.85000000000002</v>
      </c>
      <c r="N2552" s="116">
        <v>278.85000000000002</v>
      </c>
      <c r="O2552" s="116">
        <v>267</v>
      </c>
      <c r="P2552" s="116">
        <v>274.60000000000002</v>
      </c>
      <c r="Q2552" s="116">
        <v>274.85000000000002</v>
      </c>
      <c r="R2552">
        <v>14638</v>
      </c>
    </row>
    <row r="2553" spans="1:18" x14ac:dyDescent="0.25">
      <c r="A2553" s="170">
        <v>45804</v>
      </c>
      <c r="B2553" s="116">
        <v>294.64999999999998</v>
      </c>
      <c r="C2553" s="116">
        <v>287.8</v>
      </c>
      <c r="D2553" s="116">
        <v>285.8</v>
      </c>
      <c r="E2553" s="116">
        <v>294</v>
      </c>
      <c r="F2553" s="116">
        <v>287.8</v>
      </c>
      <c r="G2553">
        <v>558</v>
      </c>
      <c r="H2553" s="116"/>
      <c r="I2553" s="116"/>
      <c r="L2553" s="170">
        <v>45772</v>
      </c>
      <c r="M2553" s="116">
        <v>267.39999999999998</v>
      </c>
      <c r="N2553" s="116">
        <v>276.5</v>
      </c>
      <c r="O2553" s="116">
        <v>265.45</v>
      </c>
      <c r="P2553" s="116">
        <v>274.85000000000002</v>
      </c>
      <c r="Q2553" s="116">
        <v>267.39999999999998</v>
      </c>
      <c r="R2553">
        <v>8905</v>
      </c>
    </row>
    <row r="2554" spans="1:18" x14ac:dyDescent="0.25">
      <c r="A2554" s="170">
        <v>45805</v>
      </c>
      <c r="B2554" s="116">
        <v>293.60000000000002</v>
      </c>
      <c r="C2554" s="116">
        <v>288.2</v>
      </c>
      <c r="D2554" s="116">
        <v>288.05</v>
      </c>
      <c r="E2554" s="116">
        <v>293.60000000000002</v>
      </c>
      <c r="F2554" s="116">
        <v>288.2</v>
      </c>
      <c r="G2554">
        <v>211</v>
      </c>
      <c r="H2554" s="116"/>
      <c r="I2554" s="116"/>
      <c r="L2554" s="170">
        <v>45775</v>
      </c>
      <c r="M2554" s="116">
        <v>271.95</v>
      </c>
      <c r="N2554" s="116">
        <v>274</v>
      </c>
      <c r="O2554" s="116">
        <v>264.60000000000002</v>
      </c>
      <c r="P2554" s="116">
        <v>267.39999999999998</v>
      </c>
      <c r="Q2554" s="116">
        <v>271.95</v>
      </c>
      <c r="R2554">
        <v>8552</v>
      </c>
    </row>
    <row r="2555" spans="1:18" x14ac:dyDescent="0.25">
      <c r="A2555" s="170">
        <v>45806</v>
      </c>
      <c r="B2555" s="116">
        <v>288</v>
      </c>
      <c r="C2555" s="116">
        <v>284.95</v>
      </c>
      <c r="D2555" s="116">
        <v>283.2</v>
      </c>
      <c r="E2555" s="116">
        <v>288</v>
      </c>
      <c r="F2555" s="116">
        <v>284.95</v>
      </c>
      <c r="G2555">
        <v>416</v>
      </c>
      <c r="H2555" s="116"/>
      <c r="I2555" s="116"/>
      <c r="L2555" s="170">
        <v>45776</v>
      </c>
      <c r="M2555" s="116">
        <v>278.3</v>
      </c>
      <c r="N2555" s="116">
        <v>284</v>
      </c>
      <c r="O2555" s="116">
        <v>268.35000000000002</v>
      </c>
      <c r="P2555" s="116">
        <v>269.7</v>
      </c>
      <c r="Q2555" s="116">
        <v>278.3</v>
      </c>
      <c r="R2555">
        <v>38139</v>
      </c>
    </row>
    <row r="2556" spans="1:18" x14ac:dyDescent="0.25">
      <c r="A2556" s="170">
        <v>45807</v>
      </c>
      <c r="B2556" s="116">
        <v>290.8</v>
      </c>
      <c r="C2556" s="116">
        <v>287</v>
      </c>
      <c r="D2556" s="116">
        <v>283.35000000000002</v>
      </c>
      <c r="E2556" s="116">
        <v>289.64999999999998</v>
      </c>
      <c r="F2556" s="116">
        <v>287</v>
      </c>
      <c r="G2556">
        <v>1109</v>
      </c>
      <c r="H2556" s="116"/>
      <c r="I2556" s="116"/>
      <c r="L2556" s="170">
        <v>45777</v>
      </c>
      <c r="M2556" s="116">
        <v>269.39999999999998</v>
      </c>
      <c r="N2556" s="116">
        <v>278.10000000000002</v>
      </c>
      <c r="O2556" s="116">
        <v>268.25</v>
      </c>
      <c r="P2556" s="116">
        <v>277.45</v>
      </c>
      <c r="Q2556" s="116">
        <v>269.39999999999998</v>
      </c>
      <c r="R2556">
        <v>10657</v>
      </c>
    </row>
    <row r="2557" spans="1:18" x14ac:dyDescent="0.25">
      <c r="A2557" s="170">
        <v>45810</v>
      </c>
      <c r="B2557" s="116">
        <v>295.3</v>
      </c>
      <c r="C2557" s="116">
        <v>290.64999999999998</v>
      </c>
      <c r="D2557" s="116">
        <v>287.60000000000002</v>
      </c>
      <c r="E2557" s="116">
        <v>295.3</v>
      </c>
      <c r="F2557" s="116">
        <v>290.64999999999998</v>
      </c>
      <c r="G2557">
        <v>1314</v>
      </c>
      <c r="H2557" s="116"/>
      <c r="I2557" s="116"/>
      <c r="L2557" s="170">
        <v>45779</v>
      </c>
      <c r="M2557" s="116">
        <v>269.39999999999998</v>
      </c>
      <c r="N2557" s="116">
        <v>272.3</v>
      </c>
      <c r="O2557" s="116">
        <v>267.64999999999998</v>
      </c>
      <c r="P2557" s="116">
        <v>271</v>
      </c>
      <c r="Q2557" s="116">
        <v>269.39999999999998</v>
      </c>
      <c r="R2557">
        <v>3528</v>
      </c>
    </row>
    <row r="2558" spans="1:18" x14ac:dyDescent="0.25">
      <c r="A2558" s="170">
        <v>45811</v>
      </c>
      <c r="B2558" s="116">
        <v>293.75</v>
      </c>
      <c r="C2558" s="116">
        <v>290.45</v>
      </c>
      <c r="D2558" s="116">
        <v>286.60000000000002</v>
      </c>
      <c r="E2558" s="116">
        <v>293</v>
      </c>
      <c r="F2558" s="116">
        <v>290.45</v>
      </c>
      <c r="G2558">
        <v>1208</v>
      </c>
      <c r="H2558" s="116"/>
      <c r="I2558" s="116"/>
      <c r="L2558" s="170">
        <v>45782</v>
      </c>
      <c r="M2558" s="116">
        <v>268.45</v>
      </c>
      <c r="N2558" s="116">
        <v>272</v>
      </c>
      <c r="O2558" s="116">
        <v>267.10000000000002</v>
      </c>
      <c r="P2558" s="116">
        <v>270.14999999999998</v>
      </c>
      <c r="Q2558" s="116">
        <v>268.45</v>
      </c>
      <c r="R2558">
        <v>4463</v>
      </c>
    </row>
    <row r="2559" spans="1:18" x14ac:dyDescent="0.25">
      <c r="A2559" s="170">
        <v>45812</v>
      </c>
      <c r="B2559" s="116">
        <v>289.7</v>
      </c>
      <c r="C2559" s="116">
        <v>285</v>
      </c>
      <c r="D2559" s="116">
        <v>283.3</v>
      </c>
      <c r="E2559" s="116">
        <v>289.7</v>
      </c>
      <c r="F2559" s="116">
        <v>285</v>
      </c>
      <c r="G2559">
        <v>6183</v>
      </c>
      <c r="H2559" s="116"/>
      <c r="I2559" s="116"/>
      <c r="L2559" s="170">
        <v>45783</v>
      </c>
      <c r="M2559" s="116">
        <v>270.2</v>
      </c>
      <c r="N2559" s="116">
        <v>277</v>
      </c>
      <c r="O2559" s="116">
        <v>265.85000000000002</v>
      </c>
      <c r="P2559" s="116">
        <v>269.35000000000002</v>
      </c>
      <c r="Q2559" s="116">
        <v>270.2</v>
      </c>
      <c r="R2559">
        <v>12346</v>
      </c>
    </row>
    <row r="2560" spans="1:18" x14ac:dyDescent="0.25">
      <c r="A2560" s="170">
        <v>45813</v>
      </c>
      <c r="B2560" s="116">
        <v>323.8</v>
      </c>
      <c r="C2560" s="116">
        <v>286.7</v>
      </c>
      <c r="D2560" s="116">
        <v>285.39999999999998</v>
      </c>
      <c r="E2560" s="116">
        <v>323.8</v>
      </c>
      <c r="F2560" s="116">
        <v>286.7</v>
      </c>
      <c r="G2560">
        <v>142</v>
      </c>
      <c r="H2560" s="116"/>
      <c r="I2560" s="116"/>
      <c r="L2560" s="170">
        <v>45784</v>
      </c>
      <c r="M2560" s="116">
        <v>268.25</v>
      </c>
      <c r="N2560" s="116">
        <v>275.8</v>
      </c>
      <c r="O2560" s="116">
        <v>266.05</v>
      </c>
      <c r="P2560" s="116">
        <v>272.2</v>
      </c>
      <c r="Q2560" s="116">
        <v>268.25</v>
      </c>
      <c r="R2560">
        <v>6011</v>
      </c>
    </row>
    <row r="2561" spans="1:18" x14ac:dyDescent="0.25">
      <c r="A2561" s="170">
        <v>45814</v>
      </c>
      <c r="B2561" s="116">
        <v>287.89999999999998</v>
      </c>
      <c r="C2561" s="116">
        <v>281.25</v>
      </c>
      <c r="D2561" s="116">
        <v>280.89999999999998</v>
      </c>
      <c r="E2561" s="116">
        <v>285.8</v>
      </c>
      <c r="F2561" s="116">
        <v>281.25</v>
      </c>
      <c r="G2561">
        <v>87</v>
      </c>
      <c r="H2561" s="116"/>
      <c r="I2561" s="116"/>
      <c r="L2561" s="170">
        <v>45785</v>
      </c>
      <c r="M2561" s="116">
        <v>264.89999999999998</v>
      </c>
      <c r="N2561" s="116">
        <v>274.85000000000002</v>
      </c>
      <c r="O2561" s="116">
        <v>261.55</v>
      </c>
      <c r="P2561" s="116">
        <v>270.85000000000002</v>
      </c>
      <c r="Q2561" s="116">
        <v>264.89999999999998</v>
      </c>
      <c r="R2561">
        <v>12598</v>
      </c>
    </row>
    <row r="2562" spans="1:18" x14ac:dyDescent="0.25">
      <c r="A2562" s="170">
        <v>45817</v>
      </c>
      <c r="B2562" s="116">
        <v>289.95</v>
      </c>
      <c r="C2562" s="116">
        <v>287.5</v>
      </c>
      <c r="D2562" s="116">
        <v>283.55</v>
      </c>
      <c r="E2562" s="116">
        <v>289.95</v>
      </c>
      <c r="F2562" s="116">
        <v>287.5</v>
      </c>
      <c r="G2562">
        <v>33</v>
      </c>
      <c r="H2562" s="116"/>
      <c r="I2562" s="116"/>
      <c r="L2562" s="170">
        <v>45786</v>
      </c>
      <c r="M2562" s="116">
        <v>263.60000000000002</v>
      </c>
      <c r="N2562" s="116">
        <v>266.39999999999998</v>
      </c>
      <c r="O2562" s="116">
        <v>257.55</v>
      </c>
      <c r="P2562" s="116">
        <v>264.64999999999998</v>
      </c>
      <c r="Q2562" s="116">
        <v>263.60000000000002</v>
      </c>
      <c r="R2562">
        <v>11625</v>
      </c>
    </row>
    <row r="2563" spans="1:18" x14ac:dyDescent="0.25">
      <c r="A2563" s="170">
        <v>45818</v>
      </c>
      <c r="B2563" s="116">
        <v>290.45</v>
      </c>
      <c r="C2563" s="116">
        <v>285.25</v>
      </c>
      <c r="D2563" s="116">
        <v>282.10000000000002</v>
      </c>
      <c r="E2563" s="116">
        <v>288.3</v>
      </c>
      <c r="F2563" s="116">
        <v>285.25</v>
      </c>
      <c r="G2563">
        <v>1362</v>
      </c>
      <c r="H2563" s="116"/>
      <c r="I2563" s="116"/>
      <c r="L2563" s="170">
        <v>45789</v>
      </c>
      <c r="M2563" s="116">
        <v>270.60000000000002</v>
      </c>
      <c r="N2563" s="116">
        <v>275.39999999999998</v>
      </c>
      <c r="O2563" s="116">
        <v>263.05</v>
      </c>
      <c r="P2563" s="116">
        <v>268</v>
      </c>
      <c r="Q2563" s="116">
        <v>270.60000000000002</v>
      </c>
      <c r="R2563">
        <v>19316</v>
      </c>
    </row>
    <row r="2564" spans="1:18" x14ac:dyDescent="0.25">
      <c r="A2564" s="170">
        <v>45819</v>
      </c>
      <c r="B2564" s="116">
        <v>289.45</v>
      </c>
      <c r="C2564" s="116">
        <v>286.60000000000002</v>
      </c>
      <c r="D2564" s="116">
        <v>281.5</v>
      </c>
      <c r="E2564" s="116">
        <v>286.25</v>
      </c>
      <c r="F2564" s="116">
        <v>286.60000000000002</v>
      </c>
      <c r="G2564">
        <v>1017</v>
      </c>
      <c r="H2564" s="116"/>
      <c r="I2564" s="116"/>
      <c r="L2564" s="170">
        <v>45790</v>
      </c>
      <c r="M2564" s="116">
        <v>272.75</v>
      </c>
      <c r="N2564" s="116">
        <v>277.95</v>
      </c>
      <c r="O2564" s="116">
        <v>267</v>
      </c>
      <c r="P2564" s="116">
        <v>267</v>
      </c>
      <c r="Q2564" s="116">
        <v>272.75</v>
      </c>
      <c r="R2564">
        <v>12491</v>
      </c>
    </row>
    <row r="2565" spans="1:18" x14ac:dyDescent="0.25">
      <c r="A2565" s="170">
        <v>45820</v>
      </c>
      <c r="B2565" s="116">
        <v>305</v>
      </c>
      <c r="C2565" s="116">
        <v>283.95</v>
      </c>
      <c r="D2565" s="116">
        <v>283.95</v>
      </c>
      <c r="E2565" s="116">
        <v>305</v>
      </c>
      <c r="F2565" s="116">
        <v>283.95</v>
      </c>
      <c r="G2565">
        <v>237</v>
      </c>
      <c r="H2565" s="116"/>
      <c r="I2565" s="116"/>
      <c r="L2565" s="170">
        <v>45791</v>
      </c>
      <c r="M2565" s="116">
        <v>278.7</v>
      </c>
      <c r="N2565" s="116">
        <v>280.75</v>
      </c>
      <c r="O2565" s="116">
        <v>270</v>
      </c>
      <c r="P2565" s="116">
        <v>272.75</v>
      </c>
      <c r="Q2565" s="116">
        <v>278.7</v>
      </c>
      <c r="R2565">
        <v>35548</v>
      </c>
    </row>
    <row r="2566" spans="1:18" x14ac:dyDescent="0.25">
      <c r="A2566" s="170">
        <v>45821</v>
      </c>
      <c r="B2566" s="116">
        <v>305</v>
      </c>
      <c r="C2566" s="116">
        <v>287.75</v>
      </c>
      <c r="D2566" s="116">
        <v>278.25</v>
      </c>
      <c r="E2566" s="116">
        <v>305</v>
      </c>
      <c r="F2566" s="116">
        <v>287.75</v>
      </c>
      <c r="G2566">
        <v>344</v>
      </c>
      <c r="H2566" s="116"/>
      <c r="I2566" s="116"/>
      <c r="L2566" s="170">
        <v>45792</v>
      </c>
      <c r="M2566" s="116">
        <v>277.8</v>
      </c>
      <c r="N2566" s="116">
        <v>281</v>
      </c>
      <c r="O2566" s="116">
        <v>272.85000000000002</v>
      </c>
      <c r="P2566" s="116">
        <v>278.7</v>
      </c>
      <c r="Q2566" s="116">
        <v>277.8</v>
      </c>
      <c r="R2566">
        <v>40827</v>
      </c>
    </row>
    <row r="2567" spans="1:18" x14ac:dyDescent="0.25">
      <c r="A2567" s="170">
        <v>45824</v>
      </c>
      <c r="B2567" s="116">
        <v>284.5</v>
      </c>
      <c r="C2567" s="116">
        <v>283.95</v>
      </c>
      <c r="D2567" s="116">
        <v>274.95</v>
      </c>
      <c r="E2567" s="116">
        <v>283</v>
      </c>
      <c r="F2567" s="116">
        <v>283.95</v>
      </c>
      <c r="G2567">
        <v>1759</v>
      </c>
      <c r="H2567" s="116"/>
      <c r="I2567" s="116"/>
      <c r="L2567" s="170">
        <v>45793</v>
      </c>
      <c r="M2567" s="116">
        <v>279.2</v>
      </c>
      <c r="N2567" s="116">
        <v>281.89999999999998</v>
      </c>
      <c r="O2567" s="116">
        <v>275.3</v>
      </c>
      <c r="P2567" s="116">
        <v>277.8</v>
      </c>
      <c r="Q2567" s="116">
        <v>279.2</v>
      </c>
      <c r="R2567">
        <v>19009</v>
      </c>
    </row>
    <row r="2568" spans="1:18" x14ac:dyDescent="0.25">
      <c r="A2568" s="170">
        <v>45825</v>
      </c>
      <c r="B2568" s="116">
        <v>296.95</v>
      </c>
      <c r="C2568" s="116">
        <v>281.3</v>
      </c>
      <c r="D2568" s="116">
        <v>279</v>
      </c>
      <c r="E2568" s="116">
        <v>289.95</v>
      </c>
      <c r="F2568" s="116">
        <v>281.3</v>
      </c>
      <c r="G2568">
        <v>968</v>
      </c>
      <c r="H2568" s="116"/>
      <c r="I2568" s="116"/>
      <c r="L2568" s="170">
        <v>45796</v>
      </c>
      <c r="M2568" s="116">
        <v>278.5</v>
      </c>
      <c r="N2568" s="116">
        <v>284</v>
      </c>
      <c r="O2568" s="116">
        <v>276.60000000000002</v>
      </c>
      <c r="P2568" s="116">
        <v>279.89999999999998</v>
      </c>
      <c r="Q2568" s="116">
        <v>278.5</v>
      </c>
      <c r="R2568">
        <v>28131</v>
      </c>
    </row>
    <row r="2569" spans="1:18" x14ac:dyDescent="0.25">
      <c r="A2569" s="170">
        <v>45826</v>
      </c>
      <c r="B2569" s="116">
        <v>299</v>
      </c>
      <c r="C2569" s="116">
        <v>279.05</v>
      </c>
      <c r="D2569" s="116">
        <v>275.60000000000002</v>
      </c>
      <c r="E2569" s="116">
        <v>299</v>
      </c>
      <c r="F2569" s="116">
        <v>279.05</v>
      </c>
      <c r="G2569">
        <v>730</v>
      </c>
      <c r="H2569" s="116"/>
      <c r="I2569" s="116"/>
      <c r="L2569" s="170">
        <v>45797</v>
      </c>
      <c r="M2569" s="116">
        <v>277.5</v>
      </c>
      <c r="N2569" s="116">
        <v>282.5</v>
      </c>
      <c r="O2569" s="116">
        <v>276</v>
      </c>
      <c r="P2569" s="116">
        <v>280</v>
      </c>
      <c r="Q2569" s="116">
        <v>277.5</v>
      </c>
      <c r="R2569">
        <v>14116</v>
      </c>
    </row>
    <row r="2570" spans="1:18" x14ac:dyDescent="0.25">
      <c r="A2570" s="170">
        <v>45827</v>
      </c>
      <c r="B2570" s="116">
        <v>293.2</v>
      </c>
      <c r="C2570" s="116">
        <v>284.75</v>
      </c>
      <c r="D2570" s="116">
        <v>275.45</v>
      </c>
      <c r="E2570" s="116">
        <v>281.95</v>
      </c>
      <c r="F2570" s="116">
        <v>284.75</v>
      </c>
      <c r="G2570">
        <v>2391</v>
      </c>
      <c r="H2570" s="116"/>
      <c r="I2570" s="116"/>
      <c r="L2570" s="170">
        <v>45798</v>
      </c>
      <c r="M2570" s="116">
        <v>278.35000000000002</v>
      </c>
      <c r="N2570" s="116">
        <v>280</v>
      </c>
      <c r="O2570" s="116">
        <v>272.8</v>
      </c>
      <c r="P2570" s="116">
        <v>272.8</v>
      </c>
      <c r="Q2570" s="116">
        <v>278.35000000000002</v>
      </c>
      <c r="R2570">
        <v>6762</v>
      </c>
    </row>
    <row r="2571" spans="1:18" x14ac:dyDescent="0.25">
      <c r="A2571" s="170">
        <v>45828</v>
      </c>
      <c r="B2571" s="116">
        <v>312.2</v>
      </c>
      <c r="C2571" s="116">
        <v>305.64999999999998</v>
      </c>
      <c r="D2571" s="116">
        <v>282.39999999999998</v>
      </c>
      <c r="E2571" s="116">
        <v>286.60000000000002</v>
      </c>
      <c r="F2571" s="116">
        <v>305.64999999999998</v>
      </c>
      <c r="G2571">
        <v>5015</v>
      </c>
      <c r="H2571" s="116"/>
      <c r="I2571" s="116"/>
      <c r="L2571" s="170">
        <v>45799</v>
      </c>
      <c r="M2571" s="116">
        <v>299.8</v>
      </c>
      <c r="N2571" s="116">
        <v>309.89999999999998</v>
      </c>
      <c r="O2571" s="116">
        <v>276.95</v>
      </c>
      <c r="P2571" s="116">
        <v>279</v>
      </c>
      <c r="Q2571" s="116">
        <v>299.8</v>
      </c>
      <c r="R2571">
        <v>93122</v>
      </c>
    </row>
    <row r="2572" spans="1:18" x14ac:dyDescent="0.25">
      <c r="A2572" s="170">
        <v>45831</v>
      </c>
      <c r="B2572" s="116">
        <v>316</v>
      </c>
      <c r="C2572" s="116">
        <v>309.05</v>
      </c>
      <c r="D2572" s="116">
        <v>296.05</v>
      </c>
      <c r="E2572" s="116">
        <v>296.05</v>
      </c>
      <c r="F2572" s="116">
        <v>309.05</v>
      </c>
      <c r="G2572">
        <v>5120</v>
      </c>
      <c r="H2572" s="116"/>
      <c r="I2572" s="116"/>
      <c r="L2572" s="170">
        <v>45800</v>
      </c>
      <c r="M2572" s="116">
        <v>290.55</v>
      </c>
      <c r="N2572" s="116">
        <v>302.75</v>
      </c>
      <c r="O2572" s="116">
        <v>290</v>
      </c>
      <c r="P2572" s="116">
        <v>295.10000000000002</v>
      </c>
      <c r="Q2572" s="116">
        <v>290.55</v>
      </c>
      <c r="R2572">
        <v>22836</v>
      </c>
    </row>
    <row r="2573" spans="1:18" x14ac:dyDescent="0.25">
      <c r="A2573" s="170">
        <v>45832</v>
      </c>
      <c r="B2573" s="116">
        <v>311</v>
      </c>
      <c r="C2573" s="116">
        <v>302.39999999999998</v>
      </c>
      <c r="D2573" s="116">
        <v>300</v>
      </c>
      <c r="E2573" s="116">
        <v>300</v>
      </c>
      <c r="F2573" s="116">
        <v>302.39999999999998</v>
      </c>
      <c r="G2573">
        <v>2433</v>
      </c>
      <c r="H2573" s="116"/>
      <c r="I2573" s="116"/>
      <c r="L2573" s="170">
        <v>45803</v>
      </c>
      <c r="M2573" s="116">
        <v>293.8</v>
      </c>
      <c r="N2573" s="116">
        <v>301.95</v>
      </c>
      <c r="O2573" s="116">
        <v>287</v>
      </c>
      <c r="P2573" s="116">
        <v>287</v>
      </c>
      <c r="Q2573" s="116">
        <v>293.8</v>
      </c>
      <c r="R2573">
        <v>39619</v>
      </c>
    </row>
    <row r="2574" spans="1:18" x14ac:dyDescent="0.25">
      <c r="A2574" s="170">
        <v>45833</v>
      </c>
      <c r="B2574" s="116">
        <v>312.8</v>
      </c>
      <c r="C2574" s="116">
        <v>302.85000000000002</v>
      </c>
      <c r="D2574" s="116">
        <v>298.5</v>
      </c>
      <c r="E2574" s="116">
        <v>305.14999999999998</v>
      </c>
      <c r="F2574" s="116">
        <v>302.85000000000002</v>
      </c>
      <c r="G2574">
        <v>2578</v>
      </c>
      <c r="H2574" s="116"/>
      <c r="I2574" s="116"/>
      <c r="L2574" s="170">
        <v>45804</v>
      </c>
      <c r="M2574" s="116">
        <v>290.55</v>
      </c>
      <c r="N2574" s="116">
        <v>294.7</v>
      </c>
      <c r="O2574" s="116">
        <v>287.05</v>
      </c>
      <c r="P2574" s="116">
        <v>290.85000000000002</v>
      </c>
      <c r="Q2574" s="116">
        <v>290.55</v>
      </c>
      <c r="R2574">
        <v>20282</v>
      </c>
    </row>
    <row r="2575" spans="1:18" x14ac:dyDescent="0.25">
      <c r="A2575" s="170">
        <v>45834</v>
      </c>
      <c r="B2575" s="116">
        <v>309</v>
      </c>
      <c r="C2575" s="116">
        <v>302.85000000000002</v>
      </c>
      <c r="D2575" s="116">
        <v>300.7</v>
      </c>
      <c r="E2575" s="116">
        <v>304.7</v>
      </c>
      <c r="F2575" s="116">
        <v>302.85000000000002</v>
      </c>
      <c r="G2575">
        <v>1424</v>
      </c>
      <c r="H2575" s="116"/>
      <c r="I2575" s="116"/>
      <c r="L2575" s="170">
        <v>45805</v>
      </c>
      <c r="M2575" s="116">
        <v>289.45</v>
      </c>
      <c r="N2575" s="116">
        <v>295</v>
      </c>
      <c r="O2575" s="116">
        <v>288.14999999999998</v>
      </c>
      <c r="P2575" s="116">
        <v>293.2</v>
      </c>
      <c r="Q2575" s="116">
        <v>289.45</v>
      </c>
      <c r="R2575">
        <v>15298</v>
      </c>
    </row>
    <row r="2576" spans="1:18" x14ac:dyDescent="0.25">
      <c r="A2576" s="170">
        <v>45835</v>
      </c>
      <c r="B2576" s="116">
        <v>304.10000000000002</v>
      </c>
      <c r="C2576" s="116">
        <v>301.8</v>
      </c>
      <c r="D2576" s="116">
        <v>300.05</v>
      </c>
      <c r="E2576" s="116">
        <v>304.10000000000002</v>
      </c>
      <c r="F2576" s="116">
        <v>301.8</v>
      </c>
      <c r="G2576">
        <v>67</v>
      </c>
      <c r="H2576" s="116"/>
      <c r="I2576" s="116"/>
      <c r="L2576" s="170">
        <v>45806</v>
      </c>
      <c r="M2576" s="116">
        <v>284.5</v>
      </c>
      <c r="N2576" s="116">
        <v>290.35000000000002</v>
      </c>
      <c r="O2576" s="116">
        <v>283</v>
      </c>
      <c r="P2576" s="116">
        <v>290.35000000000002</v>
      </c>
      <c r="Q2576" s="116">
        <v>284.5</v>
      </c>
      <c r="R2576">
        <v>52731</v>
      </c>
    </row>
    <row r="2577" spans="1:18" x14ac:dyDescent="0.25">
      <c r="A2577" s="170">
        <v>45838</v>
      </c>
      <c r="B2577" s="116">
        <v>304.8</v>
      </c>
      <c r="C2577" s="116">
        <v>300.14999999999998</v>
      </c>
      <c r="D2577" s="116">
        <v>296.3</v>
      </c>
      <c r="E2577" s="116">
        <v>300.3</v>
      </c>
      <c r="F2577" s="116">
        <v>300.14999999999998</v>
      </c>
      <c r="G2577">
        <v>702</v>
      </c>
      <c r="H2577" s="116"/>
      <c r="I2577" s="116"/>
      <c r="L2577" s="170">
        <v>45807</v>
      </c>
      <c r="M2577" s="116">
        <v>287.75</v>
      </c>
      <c r="N2577" s="116">
        <v>291.5</v>
      </c>
      <c r="O2577" s="116">
        <v>284</v>
      </c>
      <c r="P2577" s="116">
        <v>287.35000000000002</v>
      </c>
      <c r="Q2577" s="116">
        <v>287.75</v>
      </c>
      <c r="R2577">
        <v>12559</v>
      </c>
    </row>
    <row r="2578" spans="1:18" x14ac:dyDescent="0.25">
      <c r="A2578" s="170">
        <v>45839</v>
      </c>
      <c r="B2578" s="116">
        <v>310.10000000000002</v>
      </c>
      <c r="C2578" s="116">
        <v>309</v>
      </c>
      <c r="D2578" s="116">
        <v>297.55</v>
      </c>
      <c r="E2578" s="116">
        <v>299.14999999999998</v>
      </c>
      <c r="F2578" s="116">
        <v>309</v>
      </c>
      <c r="G2578">
        <v>6719</v>
      </c>
      <c r="H2578" s="116"/>
      <c r="I2578" s="116"/>
      <c r="L2578" s="170">
        <v>45810</v>
      </c>
      <c r="M2578" s="116">
        <v>289</v>
      </c>
      <c r="N2578" s="116">
        <v>298</v>
      </c>
      <c r="O2578" s="116">
        <v>286</v>
      </c>
      <c r="P2578" s="116">
        <v>290.64999999999998</v>
      </c>
      <c r="Q2578" s="116">
        <v>289</v>
      </c>
      <c r="R2578">
        <v>15549</v>
      </c>
    </row>
    <row r="2579" spans="1:18" x14ac:dyDescent="0.25">
      <c r="A2579" s="170">
        <v>45840</v>
      </c>
      <c r="B2579" s="116">
        <v>313.35000000000002</v>
      </c>
      <c r="C2579" s="116">
        <v>306.64999999999998</v>
      </c>
      <c r="D2579" s="116">
        <v>292.25</v>
      </c>
      <c r="E2579" s="116">
        <v>292.25</v>
      </c>
      <c r="F2579" s="116">
        <v>306.64999999999998</v>
      </c>
      <c r="G2579">
        <v>4630</v>
      </c>
      <c r="H2579" s="116"/>
      <c r="I2579" s="116"/>
      <c r="L2579" s="170">
        <v>45811</v>
      </c>
      <c r="M2579" s="116">
        <v>289.95</v>
      </c>
      <c r="N2579" s="116">
        <v>296.85000000000002</v>
      </c>
      <c r="O2579" s="116">
        <v>286.10000000000002</v>
      </c>
      <c r="P2579" s="116">
        <v>292.35000000000002</v>
      </c>
      <c r="Q2579" s="116">
        <v>289.95</v>
      </c>
      <c r="R2579">
        <v>31222</v>
      </c>
    </row>
    <row r="2580" spans="1:18" x14ac:dyDescent="0.25">
      <c r="A2580" s="170">
        <v>45841</v>
      </c>
      <c r="B2580" s="116">
        <v>307.2</v>
      </c>
      <c r="C2580" s="116">
        <v>298.35000000000002</v>
      </c>
      <c r="D2580" s="116">
        <v>295.55</v>
      </c>
      <c r="E2580" s="116">
        <v>307</v>
      </c>
      <c r="F2580" s="116">
        <v>298.35000000000002</v>
      </c>
      <c r="G2580">
        <v>3290</v>
      </c>
      <c r="H2580" s="116"/>
      <c r="I2580" s="116"/>
      <c r="L2580" s="170">
        <v>45812</v>
      </c>
      <c r="M2580" s="116">
        <v>285.64999999999998</v>
      </c>
      <c r="N2580" s="116">
        <v>290</v>
      </c>
      <c r="O2580" s="116">
        <v>284.25</v>
      </c>
      <c r="P2580" s="116">
        <v>289.95</v>
      </c>
      <c r="Q2580" s="116">
        <v>285.64999999999998</v>
      </c>
      <c r="R2580">
        <v>18673</v>
      </c>
    </row>
    <row r="2581" spans="1:18" x14ac:dyDescent="0.25">
      <c r="A2581" s="170">
        <v>45842</v>
      </c>
      <c r="B2581" s="116">
        <v>310.5</v>
      </c>
      <c r="C2581" s="116">
        <v>305.89999999999998</v>
      </c>
      <c r="D2581" s="116">
        <v>296.35000000000002</v>
      </c>
      <c r="E2581" s="116">
        <v>296.35000000000002</v>
      </c>
      <c r="F2581" s="116">
        <v>305.89999999999998</v>
      </c>
      <c r="G2581">
        <v>4549</v>
      </c>
      <c r="H2581" s="116"/>
      <c r="I2581" s="116"/>
      <c r="L2581" s="170">
        <v>45813</v>
      </c>
      <c r="M2581" s="116">
        <v>287.75</v>
      </c>
      <c r="N2581" s="116">
        <v>289.85000000000002</v>
      </c>
      <c r="O2581" s="116">
        <v>285.25</v>
      </c>
      <c r="P2581" s="116">
        <v>288.60000000000002</v>
      </c>
      <c r="Q2581" s="116">
        <v>287.75</v>
      </c>
      <c r="R2581">
        <v>10693</v>
      </c>
    </row>
    <row r="2582" spans="1:18" x14ac:dyDescent="0.25">
      <c r="A2582" s="170">
        <v>45845</v>
      </c>
      <c r="B2582" s="116">
        <v>315.2</v>
      </c>
      <c r="C2582" s="116">
        <v>306.39999999999998</v>
      </c>
      <c r="D2582" s="116">
        <v>302</v>
      </c>
      <c r="E2582" s="116">
        <v>302</v>
      </c>
      <c r="F2582" s="116">
        <v>306.39999999999998</v>
      </c>
      <c r="G2582">
        <v>3396</v>
      </c>
      <c r="H2582" s="116"/>
      <c r="I2582" s="116"/>
      <c r="L2582" s="170">
        <v>45814</v>
      </c>
      <c r="M2582" s="116">
        <v>282.14999999999998</v>
      </c>
      <c r="N2582" s="116">
        <v>289.75</v>
      </c>
      <c r="O2582" s="116">
        <v>281</v>
      </c>
      <c r="P2582" s="116">
        <v>289.75</v>
      </c>
      <c r="Q2582" s="116">
        <v>282.14999999999998</v>
      </c>
      <c r="R2582">
        <v>34482</v>
      </c>
    </row>
    <row r="2583" spans="1:18" x14ac:dyDescent="0.25">
      <c r="A2583" s="170">
        <v>45846</v>
      </c>
      <c r="B2583" s="116">
        <v>314.95</v>
      </c>
      <c r="C2583" s="116">
        <v>301.64999999999998</v>
      </c>
      <c r="D2583" s="116">
        <v>300.45</v>
      </c>
      <c r="E2583" s="116">
        <v>309.95</v>
      </c>
      <c r="F2583" s="116">
        <v>301.64999999999998</v>
      </c>
      <c r="G2583">
        <v>1248</v>
      </c>
      <c r="H2583" s="116"/>
      <c r="I2583" s="116"/>
      <c r="L2583" s="170">
        <v>45817</v>
      </c>
      <c r="M2583" s="116">
        <v>286.85000000000002</v>
      </c>
      <c r="N2583" s="116">
        <v>288.85000000000002</v>
      </c>
      <c r="O2583" s="116">
        <v>280.60000000000002</v>
      </c>
      <c r="P2583" s="116">
        <v>280.60000000000002</v>
      </c>
      <c r="Q2583" s="116">
        <v>286.85000000000002</v>
      </c>
      <c r="R2583">
        <v>13001</v>
      </c>
    </row>
    <row r="2584" spans="1:18" x14ac:dyDescent="0.25">
      <c r="A2584" s="170">
        <v>45847</v>
      </c>
      <c r="B2584" s="116">
        <v>308.55</v>
      </c>
      <c r="C2584" s="116">
        <v>304.55</v>
      </c>
      <c r="D2584" s="116">
        <v>303.95</v>
      </c>
      <c r="E2584" s="116">
        <v>308.55</v>
      </c>
      <c r="F2584" s="116">
        <v>304.55</v>
      </c>
      <c r="G2584">
        <v>56</v>
      </c>
      <c r="H2584" s="116"/>
      <c r="I2584" s="116"/>
      <c r="L2584" s="170">
        <v>45818</v>
      </c>
      <c r="M2584" s="116">
        <v>284.2</v>
      </c>
      <c r="N2584" s="116">
        <v>289.8</v>
      </c>
      <c r="O2584" s="116">
        <v>282.3</v>
      </c>
      <c r="P2584" s="116">
        <v>286.3</v>
      </c>
      <c r="Q2584" s="116">
        <v>284.2</v>
      </c>
      <c r="R2584">
        <v>19782</v>
      </c>
    </row>
    <row r="2585" spans="1:18" x14ac:dyDescent="0.25">
      <c r="A2585" s="170">
        <v>45848</v>
      </c>
      <c r="B2585" s="116">
        <v>303.89999999999998</v>
      </c>
      <c r="C2585" s="116">
        <v>299.85000000000002</v>
      </c>
      <c r="D2585" s="116">
        <v>298.2</v>
      </c>
      <c r="E2585" s="116">
        <v>302.64999999999998</v>
      </c>
      <c r="F2585" s="116">
        <v>299.85000000000002</v>
      </c>
      <c r="G2585">
        <v>462</v>
      </c>
      <c r="H2585" s="116"/>
      <c r="I2585" s="116"/>
      <c r="L2585" s="170">
        <v>45819</v>
      </c>
      <c r="M2585" s="116">
        <v>287.05</v>
      </c>
      <c r="N2585" s="116">
        <v>291</v>
      </c>
      <c r="O2585" s="116">
        <v>284.95</v>
      </c>
      <c r="P2585" s="116">
        <v>286.89999999999998</v>
      </c>
      <c r="Q2585" s="116">
        <v>287.05</v>
      </c>
      <c r="R2585">
        <v>12441</v>
      </c>
    </row>
    <row r="2586" spans="1:18" x14ac:dyDescent="0.25">
      <c r="A2586" s="170">
        <v>45849</v>
      </c>
      <c r="B2586" s="116">
        <v>300.89999999999998</v>
      </c>
      <c r="C2586" s="116">
        <v>296.60000000000002</v>
      </c>
      <c r="D2586" s="116">
        <v>294.39999999999998</v>
      </c>
      <c r="E2586" s="116">
        <v>300.89999999999998</v>
      </c>
      <c r="F2586" s="116">
        <v>296.60000000000002</v>
      </c>
      <c r="G2586">
        <v>528</v>
      </c>
      <c r="H2586" s="116"/>
      <c r="I2586" s="116"/>
      <c r="L2586" s="170">
        <v>45820</v>
      </c>
      <c r="M2586" s="116">
        <v>284.7</v>
      </c>
      <c r="N2586" s="116">
        <v>290.2</v>
      </c>
      <c r="O2586" s="116">
        <v>282.45</v>
      </c>
      <c r="P2586" s="116">
        <v>290.2</v>
      </c>
      <c r="Q2586" s="116">
        <v>284.7</v>
      </c>
      <c r="R2586">
        <v>9039</v>
      </c>
    </row>
    <row r="2587" spans="1:18" x14ac:dyDescent="0.25">
      <c r="A2587" s="170">
        <v>45852</v>
      </c>
      <c r="B2587" s="116">
        <v>303.5</v>
      </c>
      <c r="C2587" s="116">
        <v>297.14999999999998</v>
      </c>
      <c r="D2587" s="116">
        <v>291.05</v>
      </c>
      <c r="E2587" s="116">
        <v>291.05</v>
      </c>
      <c r="F2587" s="116">
        <v>297.14999999999998</v>
      </c>
      <c r="G2587">
        <v>1374</v>
      </c>
      <c r="H2587" s="116"/>
      <c r="I2587" s="116"/>
      <c r="L2587" s="170">
        <v>45821</v>
      </c>
      <c r="M2587" s="116">
        <v>283.39999999999998</v>
      </c>
      <c r="N2587" s="116">
        <v>285.95</v>
      </c>
      <c r="O2587" s="116">
        <v>279.3</v>
      </c>
      <c r="P2587" s="116">
        <v>285.95</v>
      </c>
      <c r="Q2587" s="116">
        <v>283.39999999999998</v>
      </c>
      <c r="R2587">
        <v>7652</v>
      </c>
    </row>
    <row r="2588" spans="1:18" x14ac:dyDescent="0.25">
      <c r="A2588" s="170">
        <v>45853</v>
      </c>
      <c r="B2588" s="116">
        <v>300.25</v>
      </c>
      <c r="C2588" s="116">
        <v>295.95</v>
      </c>
      <c r="D2588" s="116">
        <v>295.5</v>
      </c>
      <c r="E2588" s="116">
        <v>297.2</v>
      </c>
      <c r="F2588" s="116">
        <v>295.95</v>
      </c>
      <c r="G2588">
        <v>1937</v>
      </c>
      <c r="H2588" s="116"/>
      <c r="I2588" s="116"/>
      <c r="L2588" s="170">
        <v>45824</v>
      </c>
      <c r="M2588" s="116">
        <v>282.39999999999998</v>
      </c>
      <c r="N2588" s="116">
        <v>284.45</v>
      </c>
      <c r="O2588" s="116">
        <v>278</v>
      </c>
      <c r="P2588" s="116">
        <v>283.89999999999998</v>
      </c>
      <c r="Q2588" s="116">
        <v>282.39999999999998</v>
      </c>
      <c r="R2588">
        <v>15857</v>
      </c>
    </row>
    <row r="2589" spans="1:18" x14ac:dyDescent="0.25">
      <c r="A2589" s="170">
        <v>45854</v>
      </c>
      <c r="B2589" s="116">
        <v>299.10000000000002</v>
      </c>
      <c r="C2589" s="116">
        <v>293</v>
      </c>
      <c r="D2589" s="116">
        <v>292.8</v>
      </c>
      <c r="E2589" s="116">
        <v>297.60000000000002</v>
      </c>
      <c r="F2589" s="116">
        <v>293</v>
      </c>
      <c r="G2589">
        <v>615</v>
      </c>
      <c r="H2589" s="116"/>
      <c r="I2589" s="116"/>
      <c r="L2589" s="170">
        <v>45825</v>
      </c>
      <c r="M2589" s="116">
        <v>282.3</v>
      </c>
      <c r="N2589" s="116">
        <v>285.2</v>
      </c>
      <c r="O2589" s="116">
        <v>281.2</v>
      </c>
      <c r="P2589" s="116">
        <v>283.75</v>
      </c>
      <c r="Q2589" s="116">
        <v>282.3</v>
      </c>
      <c r="R2589">
        <v>6610</v>
      </c>
    </row>
    <row r="2590" spans="1:18" x14ac:dyDescent="0.25">
      <c r="A2590" s="170">
        <v>45855</v>
      </c>
      <c r="B2590" s="116">
        <v>298</v>
      </c>
      <c r="C2590" s="116">
        <v>297.85000000000002</v>
      </c>
      <c r="D2590" s="116">
        <v>290.8</v>
      </c>
      <c r="E2590" s="116">
        <v>293.95</v>
      </c>
      <c r="F2590" s="116">
        <v>297.85000000000002</v>
      </c>
      <c r="G2590">
        <v>378</v>
      </c>
      <c r="H2590" s="116"/>
      <c r="I2590" s="116"/>
      <c r="L2590" s="170">
        <v>45826</v>
      </c>
      <c r="M2590" s="116">
        <v>279.10000000000002</v>
      </c>
      <c r="N2590" s="116">
        <v>283.95</v>
      </c>
      <c r="O2590" s="116">
        <v>276</v>
      </c>
      <c r="P2590" s="116">
        <v>283.95</v>
      </c>
      <c r="Q2590" s="116">
        <v>279.10000000000002</v>
      </c>
      <c r="R2590">
        <v>8811</v>
      </c>
    </row>
    <row r="2591" spans="1:18" x14ac:dyDescent="0.25">
      <c r="A2591" s="170">
        <v>45856</v>
      </c>
      <c r="B2591" s="116">
        <v>301.05</v>
      </c>
      <c r="C2591" s="116">
        <v>295.8</v>
      </c>
      <c r="D2591" s="116">
        <v>292.3</v>
      </c>
      <c r="E2591" s="116">
        <v>299.35000000000002</v>
      </c>
      <c r="F2591" s="116">
        <v>295.8</v>
      </c>
      <c r="G2591">
        <v>613</v>
      </c>
      <c r="H2591" s="116"/>
      <c r="I2591" s="116"/>
      <c r="L2591" s="170">
        <v>45827</v>
      </c>
      <c r="M2591" s="116">
        <v>285.3</v>
      </c>
      <c r="N2591" s="116">
        <v>294.39999999999998</v>
      </c>
      <c r="O2591" s="116">
        <v>275.8</v>
      </c>
      <c r="P2591" s="116">
        <v>281</v>
      </c>
      <c r="Q2591" s="116">
        <v>285.3</v>
      </c>
      <c r="R2591">
        <v>51733</v>
      </c>
    </row>
    <row r="2592" spans="1:18" x14ac:dyDescent="0.25">
      <c r="A2592" s="170">
        <v>45859</v>
      </c>
      <c r="B2592" s="116">
        <v>294</v>
      </c>
      <c r="C2592" s="116">
        <v>288.85000000000002</v>
      </c>
      <c r="D2592" s="116">
        <v>280</v>
      </c>
      <c r="E2592" s="116">
        <v>294</v>
      </c>
      <c r="F2592" s="116">
        <v>288.85000000000002</v>
      </c>
      <c r="G2592">
        <v>6338</v>
      </c>
      <c r="H2592" s="116"/>
      <c r="I2592" s="116"/>
      <c r="L2592" s="170">
        <v>45828</v>
      </c>
      <c r="M2592" s="116">
        <v>306.45</v>
      </c>
      <c r="N2592" s="116">
        <v>314</v>
      </c>
      <c r="O2592" s="116">
        <v>281.05</v>
      </c>
      <c r="P2592" s="116">
        <v>287.89999999999998</v>
      </c>
      <c r="Q2592" s="116">
        <v>306.45</v>
      </c>
      <c r="R2592">
        <v>156360</v>
      </c>
    </row>
    <row r="2593" spans="1:18" x14ac:dyDescent="0.25">
      <c r="A2593" s="170">
        <v>45860</v>
      </c>
      <c r="B2593" s="116">
        <v>290.89999999999998</v>
      </c>
      <c r="C2593" s="116">
        <v>285</v>
      </c>
      <c r="D2593" s="116">
        <v>283.85000000000002</v>
      </c>
      <c r="E2593" s="116">
        <v>289.95</v>
      </c>
      <c r="F2593" s="116">
        <v>285</v>
      </c>
      <c r="G2593">
        <v>1036</v>
      </c>
      <c r="H2593" s="116"/>
      <c r="I2593" s="116"/>
      <c r="L2593" s="170">
        <v>45831</v>
      </c>
      <c r="M2593" s="116">
        <v>309.45</v>
      </c>
      <c r="N2593" s="116">
        <v>318</v>
      </c>
      <c r="O2593" s="116">
        <v>298.8</v>
      </c>
      <c r="P2593" s="116">
        <v>304</v>
      </c>
      <c r="Q2593" s="116">
        <v>309.45</v>
      </c>
      <c r="R2593">
        <v>90678</v>
      </c>
    </row>
    <row r="2594" spans="1:18" x14ac:dyDescent="0.25">
      <c r="A2594" s="170">
        <v>45861</v>
      </c>
      <c r="B2594" s="116">
        <v>305</v>
      </c>
      <c r="C2594" s="116">
        <v>280</v>
      </c>
      <c r="D2594" s="116">
        <v>280</v>
      </c>
      <c r="E2594" s="116">
        <v>305</v>
      </c>
      <c r="F2594" s="116">
        <v>280</v>
      </c>
      <c r="G2594">
        <v>1037</v>
      </c>
      <c r="H2594" s="116"/>
      <c r="I2594" s="116"/>
      <c r="L2594" s="170">
        <v>45832</v>
      </c>
      <c r="M2594" s="116">
        <v>302.05</v>
      </c>
      <c r="N2594" s="116">
        <v>312.8</v>
      </c>
      <c r="O2594" s="116">
        <v>301.2</v>
      </c>
      <c r="P2594" s="116">
        <v>311</v>
      </c>
      <c r="Q2594" s="116">
        <v>302.05</v>
      </c>
      <c r="R2594">
        <v>35639</v>
      </c>
    </row>
    <row r="2595" spans="1:18" x14ac:dyDescent="0.25">
      <c r="A2595" s="170">
        <v>45862</v>
      </c>
      <c r="B2595" s="116">
        <v>288.45</v>
      </c>
      <c r="C2595" s="116">
        <v>284</v>
      </c>
      <c r="D2595" s="116">
        <v>281.7</v>
      </c>
      <c r="E2595" s="116">
        <v>286</v>
      </c>
      <c r="F2595" s="116">
        <v>284</v>
      </c>
      <c r="G2595">
        <v>233</v>
      </c>
      <c r="H2595" s="116"/>
      <c r="I2595" s="116"/>
      <c r="L2595" s="170">
        <v>45833</v>
      </c>
      <c r="M2595" s="116">
        <v>302.8</v>
      </c>
      <c r="N2595" s="116">
        <v>314.14999999999998</v>
      </c>
      <c r="O2595" s="116">
        <v>297</v>
      </c>
      <c r="P2595" s="116">
        <v>302</v>
      </c>
      <c r="Q2595" s="116">
        <v>302.8</v>
      </c>
      <c r="R2595">
        <v>50583</v>
      </c>
    </row>
    <row r="2596" spans="1:18" x14ac:dyDescent="0.25">
      <c r="A2596" s="170">
        <v>45863</v>
      </c>
      <c r="B2596" s="116">
        <v>283.75</v>
      </c>
      <c r="C2596" s="116">
        <v>282</v>
      </c>
      <c r="D2596" s="116">
        <v>280</v>
      </c>
      <c r="E2596" s="116">
        <v>281.64999999999998</v>
      </c>
      <c r="F2596" s="116">
        <v>282</v>
      </c>
      <c r="G2596">
        <v>1144</v>
      </c>
      <c r="H2596" s="116"/>
      <c r="I2596" s="116"/>
      <c r="L2596" s="170">
        <v>45834</v>
      </c>
      <c r="M2596" s="116">
        <v>303</v>
      </c>
      <c r="N2596" s="116">
        <v>309.05</v>
      </c>
      <c r="O2596" s="116">
        <v>300.2</v>
      </c>
      <c r="P2596" s="116">
        <v>305.89999999999998</v>
      </c>
      <c r="Q2596" s="116">
        <v>303</v>
      </c>
      <c r="R2596">
        <v>23620</v>
      </c>
    </row>
    <row r="2597" spans="1:18" x14ac:dyDescent="0.25">
      <c r="A2597" s="170">
        <v>45866</v>
      </c>
      <c r="B2597" s="116">
        <v>282.10000000000002</v>
      </c>
      <c r="C2597" s="116">
        <v>276.85000000000002</v>
      </c>
      <c r="D2597" s="116">
        <v>276.5</v>
      </c>
      <c r="E2597" s="116">
        <v>282.10000000000002</v>
      </c>
      <c r="F2597" s="116">
        <v>276.85000000000002</v>
      </c>
      <c r="G2597">
        <v>487</v>
      </c>
      <c r="H2597" s="116"/>
      <c r="I2597" s="116"/>
      <c r="L2597" s="170">
        <v>45835</v>
      </c>
      <c r="M2597" s="116">
        <v>300.5</v>
      </c>
      <c r="N2597" s="116">
        <v>305.60000000000002</v>
      </c>
      <c r="O2597" s="116">
        <v>299.2</v>
      </c>
      <c r="P2597" s="116">
        <v>305</v>
      </c>
      <c r="Q2597" s="116">
        <v>300.5</v>
      </c>
      <c r="R2597">
        <v>10413</v>
      </c>
    </row>
    <row r="2598" spans="1:18" x14ac:dyDescent="0.25">
      <c r="A2598" s="170">
        <v>45867</v>
      </c>
      <c r="B2598" s="116">
        <v>290</v>
      </c>
      <c r="C2598" s="116">
        <v>280</v>
      </c>
      <c r="D2598" s="116">
        <v>277.7</v>
      </c>
      <c r="E2598" s="116">
        <v>290</v>
      </c>
      <c r="F2598" s="116">
        <v>280</v>
      </c>
      <c r="G2598">
        <v>9</v>
      </c>
      <c r="H2598" s="116"/>
      <c r="I2598" s="116"/>
      <c r="L2598" s="170">
        <v>45838</v>
      </c>
      <c r="M2598" s="116">
        <v>297.10000000000002</v>
      </c>
      <c r="N2598" s="116">
        <v>307.05</v>
      </c>
      <c r="O2598" s="116">
        <v>295</v>
      </c>
      <c r="P2598" s="116">
        <v>303.5</v>
      </c>
      <c r="Q2598" s="116">
        <v>297.10000000000002</v>
      </c>
      <c r="R2598">
        <v>16535</v>
      </c>
    </row>
    <row r="2599" spans="1:18" x14ac:dyDescent="0.25">
      <c r="A2599" s="170">
        <v>45868</v>
      </c>
      <c r="B2599" s="116">
        <v>282.25</v>
      </c>
      <c r="C2599" s="116">
        <v>273.25</v>
      </c>
      <c r="D2599" s="116">
        <v>270.10000000000002</v>
      </c>
      <c r="E2599" s="116">
        <v>279.5</v>
      </c>
      <c r="F2599" s="116">
        <v>273.25</v>
      </c>
      <c r="G2599">
        <v>2280</v>
      </c>
      <c r="H2599" s="116"/>
      <c r="I2599" s="116"/>
      <c r="L2599" s="170">
        <v>45839</v>
      </c>
      <c r="M2599" s="116">
        <v>307.55</v>
      </c>
      <c r="N2599" s="116">
        <v>309</v>
      </c>
      <c r="O2599" s="116">
        <v>297</v>
      </c>
      <c r="P2599" s="116">
        <v>300.2</v>
      </c>
      <c r="Q2599" s="116">
        <v>307.55</v>
      </c>
      <c r="R2599">
        <v>29067</v>
      </c>
    </row>
    <row r="2600" spans="1:18" x14ac:dyDescent="0.25">
      <c r="A2600" s="170">
        <v>45869</v>
      </c>
      <c r="B2600" s="116">
        <v>275</v>
      </c>
      <c r="C2600" s="116">
        <v>271.14999999999998</v>
      </c>
      <c r="D2600" s="116">
        <v>270.10000000000002</v>
      </c>
      <c r="E2600" s="116">
        <v>270.10000000000002</v>
      </c>
      <c r="F2600" s="116">
        <v>271.14999999999998</v>
      </c>
      <c r="G2600">
        <v>1371</v>
      </c>
      <c r="H2600" s="116"/>
      <c r="I2600" s="116"/>
      <c r="L2600" s="170">
        <v>45840</v>
      </c>
      <c r="M2600" s="116">
        <v>306.60000000000002</v>
      </c>
      <c r="N2600" s="116">
        <v>314</v>
      </c>
      <c r="O2600" s="116">
        <v>304.8</v>
      </c>
      <c r="P2600" s="116">
        <v>310</v>
      </c>
      <c r="Q2600" s="116">
        <v>306.60000000000002</v>
      </c>
      <c r="R2600">
        <v>44494</v>
      </c>
    </row>
    <row r="2601" spans="1:18" x14ac:dyDescent="0.25">
      <c r="A2601" s="170">
        <v>45870</v>
      </c>
      <c r="B2601" s="116">
        <v>272.75</v>
      </c>
      <c r="C2601" s="116">
        <v>267.75</v>
      </c>
      <c r="D2601" s="116">
        <v>265</v>
      </c>
      <c r="E2601" s="116">
        <v>270.10000000000002</v>
      </c>
      <c r="F2601" s="116">
        <v>267.75</v>
      </c>
      <c r="G2601">
        <v>939</v>
      </c>
      <c r="H2601" s="116"/>
      <c r="I2601" s="116"/>
      <c r="L2601" s="170">
        <v>45841</v>
      </c>
      <c r="M2601" s="116">
        <v>297.45</v>
      </c>
      <c r="N2601" s="116">
        <v>309</v>
      </c>
      <c r="O2601" s="116">
        <v>295.25</v>
      </c>
      <c r="P2601" s="116">
        <v>309</v>
      </c>
      <c r="Q2601" s="116">
        <v>297.45</v>
      </c>
      <c r="R2601">
        <v>32564</v>
      </c>
    </row>
    <row r="2602" spans="1:18" x14ac:dyDescent="0.25">
      <c r="A2602" s="170">
        <v>45873</v>
      </c>
      <c r="B2602" s="116">
        <v>279</v>
      </c>
      <c r="C2602" s="116">
        <v>268.60000000000002</v>
      </c>
      <c r="D2602" s="116">
        <v>265.5</v>
      </c>
      <c r="E2602" s="116">
        <v>279</v>
      </c>
      <c r="F2602" s="116">
        <v>268.60000000000002</v>
      </c>
      <c r="G2602">
        <v>1399</v>
      </c>
      <c r="H2602" s="116"/>
      <c r="I2602" s="116"/>
      <c r="L2602" s="170">
        <v>45842</v>
      </c>
      <c r="M2602" s="116">
        <v>305.60000000000002</v>
      </c>
      <c r="N2602" s="116">
        <v>311</v>
      </c>
      <c r="O2602" s="116">
        <v>297</v>
      </c>
      <c r="P2602" s="116">
        <v>297</v>
      </c>
      <c r="Q2602" s="116">
        <v>305.60000000000002</v>
      </c>
      <c r="R2602">
        <v>92573</v>
      </c>
    </row>
    <row r="2603" spans="1:18" x14ac:dyDescent="0.25">
      <c r="A2603" s="170">
        <v>45874</v>
      </c>
      <c r="B2603" s="116">
        <v>270.25</v>
      </c>
      <c r="C2603" s="116">
        <v>265.64999999999998</v>
      </c>
      <c r="D2603" s="116">
        <v>262.5</v>
      </c>
      <c r="E2603" s="116">
        <v>270.25</v>
      </c>
      <c r="F2603" s="116">
        <v>265.64999999999998</v>
      </c>
      <c r="G2603">
        <v>5029</v>
      </c>
      <c r="H2603" s="116"/>
      <c r="I2603" s="116"/>
      <c r="L2603" s="170">
        <v>45845</v>
      </c>
      <c r="M2603" s="116">
        <v>306.60000000000002</v>
      </c>
      <c r="N2603" s="116">
        <v>316.95</v>
      </c>
      <c r="O2603" s="116">
        <v>304.5</v>
      </c>
      <c r="P2603" s="116">
        <v>307</v>
      </c>
      <c r="Q2603" s="116">
        <v>306.60000000000002</v>
      </c>
      <c r="R2603">
        <v>88119</v>
      </c>
    </row>
    <row r="2604" spans="1:18" x14ac:dyDescent="0.25">
      <c r="A2604" s="170">
        <v>45875</v>
      </c>
      <c r="B2604" s="116">
        <v>271.95</v>
      </c>
      <c r="C2604" s="116">
        <v>271.5</v>
      </c>
      <c r="D2604" s="116">
        <v>265.3</v>
      </c>
      <c r="E2604" s="116">
        <v>265.64999999999998</v>
      </c>
      <c r="F2604" s="116">
        <v>271.5</v>
      </c>
      <c r="G2604">
        <v>1207</v>
      </c>
      <c r="H2604" s="116"/>
      <c r="I2604" s="116"/>
      <c r="L2604" s="170">
        <v>45846</v>
      </c>
      <c r="M2604" s="116">
        <v>302.5</v>
      </c>
      <c r="N2604" s="116">
        <v>316</v>
      </c>
      <c r="O2604" s="116">
        <v>300.3</v>
      </c>
      <c r="P2604" s="116">
        <v>304.3</v>
      </c>
      <c r="Q2604" s="116">
        <v>302.5</v>
      </c>
      <c r="R2604">
        <v>39780</v>
      </c>
    </row>
    <row r="2605" spans="1:18" x14ac:dyDescent="0.25">
      <c r="A2605" s="170">
        <v>45876</v>
      </c>
      <c r="B2605" s="116">
        <v>267</v>
      </c>
      <c r="C2605" s="116">
        <v>265.45</v>
      </c>
      <c r="D2605" s="116">
        <v>264</v>
      </c>
      <c r="E2605" s="116">
        <v>265.75</v>
      </c>
      <c r="F2605" s="116">
        <v>265.45</v>
      </c>
      <c r="G2605">
        <v>894</v>
      </c>
      <c r="H2605" s="116"/>
      <c r="I2605" s="116"/>
      <c r="L2605" s="170">
        <v>45847</v>
      </c>
      <c r="M2605" s="116">
        <v>305.10000000000002</v>
      </c>
      <c r="N2605" s="116">
        <v>309.2</v>
      </c>
      <c r="O2605" s="116">
        <v>300.89999999999998</v>
      </c>
      <c r="P2605" s="116">
        <v>300.89999999999998</v>
      </c>
      <c r="Q2605" s="116">
        <v>305.10000000000002</v>
      </c>
      <c r="R2605">
        <v>25429</v>
      </c>
    </row>
    <row r="2606" spans="1:18" x14ac:dyDescent="0.25">
      <c r="A2606" s="170">
        <v>45877</v>
      </c>
      <c r="B2606" s="116">
        <v>267.89999999999998</v>
      </c>
      <c r="C2606" s="116">
        <v>266.05</v>
      </c>
      <c r="D2606" s="116">
        <v>265.3</v>
      </c>
      <c r="E2606" s="116">
        <v>265.45</v>
      </c>
      <c r="F2606" s="116">
        <v>266.05</v>
      </c>
      <c r="G2606">
        <v>182</v>
      </c>
      <c r="H2606" s="116"/>
      <c r="I2606" s="116"/>
      <c r="L2606" s="170">
        <v>45848</v>
      </c>
      <c r="M2606" s="116">
        <v>299.5</v>
      </c>
      <c r="N2606" s="116">
        <v>305.60000000000002</v>
      </c>
      <c r="O2606" s="116">
        <v>297.95</v>
      </c>
      <c r="P2606" s="116">
        <v>305.25</v>
      </c>
      <c r="Q2606" s="116">
        <v>299.5</v>
      </c>
      <c r="R2606">
        <v>17185</v>
      </c>
    </row>
    <row r="2607" spans="1:18" x14ac:dyDescent="0.25">
      <c r="A2607" s="170">
        <v>45880</v>
      </c>
      <c r="B2607" s="116">
        <v>272.85000000000002</v>
      </c>
      <c r="C2607" s="116">
        <v>267.89999999999998</v>
      </c>
      <c r="D2607" s="116">
        <v>261.60000000000002</v>
      </c>
      <c r="E2607" s="116">
        <v>262.64999999999998</v>
      </c>
      <c r="F2607" s="116">
        <v>267.89999999999998</v>
      </c>
      <c r="G2607">
        <v>684</v>
      </c>
      <c r="H2607" s="116"/>
      <c r="I2607" s="116"/>
      <c r="L2607" s="170">
        <v>45849</v>
      </c>
      <c r="M2607" s="116">
        <v>295.2</v>
      </c>
      <c r="N2607" s="116">
        <v>302.2</v>
      </c>
      <c r="O2607" s="116">
        <v>294</v>
      </c>
      <c r="P2607" s="116">
        <v>300</v>
      </c>
      <c r="Q2607" s="116">
        <v>295.2</v>
      </c>
      <c r="R2607">
        <v>12983</v>
      </c>
    </row>
    <row r="2608" spans="1:18" x14ac:dyDescent="0.25">
      <c r="A2608" s="170">
        <v>45881</v>
      </c>
      <c r="B2608" s="116">
        <v>275.39999999999998</v>
      </c>
      <c r="C2608" s="116">
        <v>269.14999999999998</v>
      </c>
      <c r="D2608" s="116">
        <v>262.05</v>
      </c>
      <c r="E2608" s="116">
        <v>269.5</v>
      </c>
      <c r="F2608" s="116">
        <v>269.14999999999998</v>
      </c>
      <c r="G2608">
        <v>923</v>
      </c>
      <c r="H2608" s="116"/>
      <c r="I2608" s="116"/>
      <c r="L2608" s="170">
        <v>45852</v>
      </c>
      <c r="M2608" s="116">
        <v>297.2</v>
      </c>
      <c r="N2608" s="116">
        <v>305</v>
      </c>
      <c r="O2608" s="116">
        <v>294.89999999999998</v>
      </c>
      <c r="P2608" s="116">
        <v>295</v>
      </c>
      <c r="Q2608" s="116">
        <v>297.2</v>
      </c>
      <c r="R2608">
        <v>22454</v>
      </c>
    </row>
    <row r="2609" spans="1:18" x14ac:dyDescent="0.25">
      <c r="A2609" s="170">
        <v>45882</v>
      </c>
      <c r="B2609" s="116">
        <v>271.39999999999998</v>
      </c>
      <c r="C2609" s="116">
        <v>270.05</v>
      </c>
      <c r="D2609" s="116">
        <v>267.89999999999998</v>
      </c>
      <c r="E2609" s="116">
        <v>269.55</v>
      </c>
      <c r="F2609" s="116">
        <v>270.05</v>
      </c>
      <c r="G2609">
        <v>1149</v>
      </c>
      <c r="H2609" s="116"/>
      <c r="I2609" s="116"/>
      <c r="L2609" s="170">
        <v>45853</v>
      </c>
      <c r="M2609" s="116">
        <v>296.8</v>
      </c>
      <c r="N2609" s="116">
        <v>301.55</v>
      </c>
      <c r="O2609" s="116">
        <v>296.05</v>
      </c>
      <c r="P2609" s="116">
        <v>296.10000000000002</v>
      </c>
      <c r="Q2609" s="116">
        <v>296.8</v>
      </c>
      <c r="R2609">
        <v>21981</v>
      </c>
    </row>
    <row r="2610" spans="1:18" x14ac:dyDescent="0.25">
      <c r="A2610" s="170">
        <v>45883</v>
      </c>
      <c r="B2610" s="116">
        <v>270</v>
      </c>
      <c r="C2610" s="116">
        <v>265.5</v>
      </c>
      <c r="D2610" s="116">
        <v>264</v>
      </c>
      <c r="E2610" s="116">
        <v>264.35000000000002</v>
      </c>
      <c r="F2610" s="116">
        <v>265.5</v>
      </c>
      <c r="G2610">
        <v>653</v>
      </c>
      <c r="H2610" s="116"/>
      <c r="I2610" s="116"/>
      <c r="L2610" s="170">
        <v>45854</v>
      </c>
      <c r="M2610" s="116">
        <v>293.05</v>
      </c>
      <c r="N2610" s="116">
        <v>299.10000000000002</v>
      </c>
      <c r="O2610" s="116">
        <v>292.64999999999998</v>
      </c>
      <c r="P2610" s="116">
        <v>298.8</v>
      </c>
      <c r="Q2610" s="116">
        <v>293.05</v>
      </c>
      <c r="R2610">
        <v>26494</v>
      </c>
    </row>
    <row r="2611" spans="1:18" x14ac:dyDescent="0.25">
      <c r="A2611" s="170">
        <v>45887</v>
      </c>
      <c r="B2611" s="116">
        <v>268.64999999999998</v>
      </c>
      <c r="C2611" s="116">
        <v>260</v>
      </c>
      <c r="D2611" s="116">
        <v>259.2</v>
      </c>
      <c r="E2611" s="116">
        <v>266.5</v>
      </c>
      <c r="F2611" s="116">
        <v>260</v>
      </c>
      <c r="G2611">
        <v>869</v>
      </c>
      <c r="H2611" s="116"/>
      <c r="I2611" s="116"/>
      <c r="L2611" s="170">
        <v>45855</v>
      </c>
      <c r="M2611" s="116">
        <v>297.89999999999998</v>
      </c>
      <c r="N2611" s="116">
        <v>300</v>
      </c>
      <c r="O2611" s="116">
        <v>291.05</v>
      </c>
      <c r="P2611" s="116">
        <v>293</v>
      </c>
      <c r="Q2611" s="116">
        <v>297.89999999999998</v>
      </c>
      <c r="R2611">
        <v>25761</v>
      </c>
    </row>
    <row r="2612" spans="1:18" x14ac:dyDescent="0.25">
      <c r="A2612" s="170">
        <v>45888</v>
      </c>
      <c r="B2612" s="116">
        <v>265</v>
      </c>
      <c r="C2612" s="116">
        <v>265</v>
      </c>
      <c r="D2612" s="116">
        <v>262.60000000000002</v>
      </c>
      <c r="E2612" s="116">
        <v>262.60000000000002</v>
      </c>
      <c r="F2612" s="116">
        <v>265</v>
      </c>
      <c r="G2612">
        <v>132</v>
      </c>
      <c r="H2612" s="116"/>
      <c r="I2612" s="116"/>
      <c r="L2612" s="170">
        <v>45856</v>
      </c>
      <c r="M2612" s="116">
        <v>295.45</v>
      </c>
      <c r="N2612" s="116">
        <v>301.7</v>
      </c>
      <c r="O2612" s="116">
        <v>293.39999999999998</v>
      </c>
      <c r="P2612" s="116">
        <v>295.10000000000002</v>
      </c>
      <c r="Q2612" s="116">
        <v>295.45</v>
      </c>
      <c r="R2612">
        <v>18801</v>
      </c>
    </row>
    <row r="2613" spans="1:18" x14ac:dyDescent="0.25">
      <c r="A2613" s="170">
        <v>45889</v>
      </c>
      <c r="B2613" s="116">
        <v>268.7</v>
      </c>
      <c r="C2613" s="116">
        <v>264.35000000000002</v>
      </c>
      <c r="D2613" s="116">
        <v>263</v>
      </c>
      <c r="E2613" s="116">
        <v>264.55</v>
      </c>
      <c r="F2613" s="116">
        <v>264.35000000000002</v>
      </c>
      <c r="G2613">
        <v>1001</v>
      </c>
      <c r="H2613" s="116"/>
      <c r="I2613" s="116"/>
      <c r="L2613" s="170">
        <v>45859</v>
      </c>
      <c r="M2613" s="116">
        <v>290.10000000000002</v>
      </c>
      <c r="N2613" s="116">
        <v>297</v>
      </c>
      <c r="O2613" s="116">
        <v>281</v>
      </c>
      <c r="P2613" s="116">
        <v>287.5</v>
      </c>
      <c r="Q2613" s="116">
        <v>290.10000000000002</v>
      </c>
      <c r="R2613">
        <v>58199</v>
      </c>
    </row>
    <row r="2614" spans="1:18" x14ac:dyDescent="0.25">
      <c r="A2614" s="170">
        <v>45890</v>
      </c>
      <c r="B2614" s="116">
        <v>279</v>
      </c>
      <c r="C2614" s="116">
        <v>273</v>
      </c>
      <c r="D2614" s="116">
        <v>265.10000000000002</v>
      </c>
      <c r="E2614" s="116">
        <v>265.10000000000002</v>
      </c>
      <c r="F2614" s="116">
        <v>273</v>
      </c>
      <c r="G2614">
        <v>718</v>
      </c>
      <c r="H2614" s="116"/>
      <c r="I2614" s="116"/>
      <c r="L2614" s="170">
        <v>45860</v>
      </c>
      <c r="M2614" s="116">
        <v>285</v>
      </c>
      <c r="N2614" s="116">
        <v>290.85000000000002</v>
      </c>
      <c r="O2614" s="116">
        <v>284.10000000000002</v>
      </c>
      <c r="P2614" s="116">
        <v>290</v>
      </c>
      <c r="Q2614" s="116">
        <v>285</v>
      </c>
      <c r="R2614">
        <v>16937</v>
      </c>
    </row>
    <row r="2615" spans="1:18" x14ac:dyDescent="0.25">
      <c r="A2615" s="170">
        <v>45891</v>
      </c>
      <c r="B2615" s="116">
        <v>272.35000000000002</v>
      </c>
      <c r="C2615" s="116">
        <v>262.55</v>
      </c>
      <c r="D2615" s="116">
        <v>260</v>
      </c>
      <c r="E2615" s="116">
        <v>271.45</v>
      </c>
      <c r="F2615" s="116">
        <v>262.55</v>
      </c>
      <c r="G2615">
        <v>3499</v>
      </c>
      <c r="H2615" s="116"/>
      <c r="I2615" s="116"/>
      <c r="L2615" s="170">
        <v>45861</v>
      </c>
      <c r="M2615" s="116">
        <v>280.5</v>
      </c>
      <c r="N2615" s="116">
        <v>287.85000000000002</v>
      </c>
      <c r="O2615" s="116">
        <v>279.3</v>
      </c>
      <c r="P2615" s="116">
        <v>287.85000000000002</v>
      </c>
      <c r="Q2615" s="116">
        <v>280.5</v>
      </c>
      <c r="R2615">
        <v>35561</v>
      </c>
    </row>
    <row r="2616" spans="1:18" x14ac:dyDescent="0.25">
      <c r="A2616" s="170">
        <v>45894</v>
      </c>
      <c r="B2616" s="116">
        <v>285.35000000000002</v>
      </c>
      <c r="C2616" s="116">
        <v>279.10000000000002</v>
      </c>
      <c r="D2616" s="116">
        <v>266.89999999999998</v>
      </c>
      <c r="E2616" s="116">
        <v>266.89999999999998</v>
      </c>
      <c r="F2616" s="116">
        <v>279.10000000000002</v>
      </c>
      <c r="G2616">
        <v>31069</v>
      </c>
      <c r="H2616" s="116"/>
      <c r="I2616" s="116"/>
      <c r="L2616" s="170">
        <v>45862</v>
      </c>
      <c r="M2616" s="116">
        <v>284</v>
      </c>
      <c r="N2616" s="116">
        <v>284.95</v>
      </c>
      <c r="O2616" s="116">
        <v>280.25</v>
      </c>
      <c r="P2616" s="116">
        <v>283.3</v>
      </c>
      <c r="Q2616" s="116">
        <v>284</v>
      </c>
      <c r="R2616">
        <v>6670</v>
      </c>
    </row>
    <row r="2617" spans="1:18" x14ac:dyDescent="0.25">
      <c r="A2617" s="170">
        <v>45895</v>
      </c>
      <c r="B2617" s="116">
        <v>281.3</v>
      </c>
      <c r="C2617" s="116">
        <v>273.14999999999998</v>
      </c>
      <c r="D2617" s="116">
        <v>269.95</v>
      </c>
      <c r="E2617" s="116">
        <v>281.3</v>
      </c>
      <c r="F2617" s="116">
        <v>273.14999999999998</v>
      </c>
      <c r="G2617">
        <v>2022</v>
      </c>
      <c r="H2617" s="116"/>
      <c r="I2617" s="116"/>
      <c r="L2617" s="170">
        <v>45863</v>
      </c>
      <c r="M2617" s="116">
        <v>285.10000000000002</v>
      </c>
      <c r="N2617" s="116">
        <v>288.05</v>
      </c>
      <c r="O2617" s="116">
        <v>280.10000000000002</v>
      </c>
      <c r="P2617" s="116">
        <v>281.10000000000002</v>
      </c>
      <c r="Q2617" s="116">
        <v>285.10000000000002</v>
      </c>
      <c r="R2617">
        <v>9197</v>
      </c>
    </row>
    <row r="2618" spans="1:18" x14ac:dyDescent="0.25">
      <c r="A2618" s="170">
        <v>45897</v>
      </c>
      <c r="B2618" s="116">
        <v>272.95</v>
      </c>
      <c r="C2618" s="116">
        <v>268.89999999999998</v>
      </c>
      <c r="D2618" s="116">
        <v>267.45</v>
      </c>
      <c r="E2618" s="116">
        <v>270</v>
      </c>
      <c r="F2618" s="116">
        <v>268.89999999999998</v>
      </c>
      <c r="G2618">
        <v>2171</v>
      </c>
      <c r="H2618" s="116"/>
      <c r="I2618" s="116"/>
      <c r="L2618" s="170">
        <v>45866</v>
      </c>
      <c r="M2618" s="116">
        <v>277.60000000000002</v>
      </c>
      <c r="N2618" s="116">
        <v>285</v>
      </c>
      <c r="O2618" s="116">
        <v>276.55</v>
      </c>
      <c r="P2618" s="116">
        <v>285</v>
      </c>
      <c r="Q2618" s="116">
        <v>277.60000000000002</v>
      </c>
      <c r="R2618">
        <v>9145</v>
      </c>
    </row>
    <row r="2619" spans="1:18" x14ac:dyDescent="0.25">
      <c r="A2619" s="170">
        <v>45898</v>
      </c>
      <c r="B2619" s="116">
        <v>269.5</v>
      </c>
      <c r="C2619" s="116">
        <v>265.7</v>
      </c>
      <c r="D2619" s="116">
        <v>263.25</v>
      </c>
      <c r="E2619" s="116">
        <v>268.95</v>
      </c>
      <c r="F2619" s="116">
        <v>265.7</v>
      </c>
      <c r="G2619">
        <v>693</v>
      </c>
      <c r="H2619" s="116"/>
      <c r="I2619" s="116"/>
      <c r="L2619" s="170">
        <v>45867</v>
      </c>
      <c r="M2619" s="116">
        <v>279.10000000000002</v>
      </c>
      <c r="N2619" s="116">
        <v>280.5</v>
      </c>
      <c r="O2619" s="116">
        <v>276</v>
      </c>
      <c r="P2619" s="116">
        <v>276</v>
      </c>
      <c r="Q2619" s="116">
        <v>279.10000000000002</v>
      </c>
      <c r="R2619">
        <v>2623</v>
      </c>
    </row>
    <row r="2620" spans="1:18" x14ac:dyDescent="0.25">
      <c r="A2620" s="170">
        <v>45901</v>
      </c>
      <c r="B2620" s="116">
        <v>271.64999999999998</v>
      </c>
      <c r="C2620" s="116">
        <v>270.3</v>
      </c>
      <c r="D2620" s="116">
        <v>264.7</v>
      </c>
      <c r="E2620" s="116">
        <v>266</v>
      </c>
      <c r="F2620" s="116">
        <v>270.3</v>
      </c>
      <c r="G2620">
        <v>1531</v>
      </c>
      <c r="H2620" s="116"/>
      <c r="I2620" s="116"/>
      <c r="L2620" s="170">
        <v>45868</v>
      </c>
      <c r="M2620" s="116">
        <v>272.14999999999998</v>
      </c>
      <c r="N2620" s="116">
        <v>281.89999999999998</v>
      </c>
      <c r="O2620" s="116">
        <v>269.64999999999998</v>
      </c>
      <c r="P2620" s="116">
        <v>280.85000000000002</v>
      </c>
      <c r="Q2620" s="116">
        <v>272.14999999999998</v>
      </c>
      <c r="R2620">
        <v>35768</v>
      </c>
    </row>
    <row r="2621" spans="1:18" x14ac:dyDescent="0.25">
      <c r="A2621" s="170">
        <v>45902</v>
      </c>
      <c r="B2621" s="116">
        <v>273.5</v>
      </c>
      <c r="C2621" s="116">
        <v>266.8</v>
      </c>
      <c r="D2621" s="116">
        <v>266</v>
      </c>
      <c r="E2621" s="116">
        <v>270.85000000000002</v>
      </c>
      <c r="F2621" s="116">
        <v>266.8</v>
      </c>
      <c r="G2621">
        <v>480</v>
      </c>
      <c r="H2621" s="116"/>
      <c r="I2621" s="116"/>
      <c r="L2621" s="170">
        <v>45869</v>
      </c>
      <c r="M2621" s="116">
        <v>271.10000000000002</v>
      </c>
      <c r="N2621" s="116">
        <v>274.85000000000002</v>
      </c>
      <c r="O2621" s="116">
        <v>269.55</v>
      </c>
      <c r="P2621" s="116">
        <v>271.10000000000002</v>
      </c>
      <c r="Q2621" s="116">
        <v>271.10000000000002</v>
      </c>
      <c r="R2621">
        <v>15750</v>
      </c>
    </row>
    <row r="2622" spans="1:18" x14ac:dyDescent="0.25">
      <c r="A2622" s="170">
        <v>45903</v>
      </c>
      <c r="B2622" s="116">
        <v>270.45</v>
      </c>
      <c r="C2622" s="116">
        <v>269.7</v>
      </c>
      <c r="D2622" s="116">
        <v>268.8</v>
      </c>
      <c r="E2622" s="116">
        <v>269.35000000000002</v>
      </c>
      <c r="F2622" s="116">
        <v>269.7</v>
      </c>
      <c r="G2622">
        <v>210</v>
      </c>
      <c r="H2622" s="116"/>
      <c r="I2622" s="116"/>
      <c r="L2622" s="170">
        <v>45870</v>
      </c>
      <c r="M2622" s="116">
        <v>266.2</v>
      </c>
      <c r="N2622" s="116">
        <v>273.89999999999998</v>
      </c>
      <c r="O2622" s="116">
        <v>265.35000000000002</v>
      </c>
      <c r="P2622" s="116">
        <v>273.89999999999998</v>
      </c>
      <c r="Q2622" s="116">
        <v>266.2</v>
      </c>
      <c r="R2622">
        <v>15712</v>
      </c>
    </row>
    <row r="2623" spans="1:18" x14ac:dyDescent="0.25">
      <c r="A2623" s="170">
        <v>45904</v>
      </c>
      <c r="B2623" s="116">
        <v>284.35000000000002</v>
      </c>
      <c r="C2623" s="116">
        <v>268.25</v>
      </c>
      <c r="D2623" s="116">
        <v>265.2</v>
      </c>
      <c r="E2623" s="116">
        <v>284.35000000000002</v>
      </c>
      <c r="F2623" s="116">
        <v>268.25</v>
      </c>
      <c r="G2623">
        <v>1707</v>
      </c>
      <c r="H2623" s="116"/>
      <c r="I2623" s="116"/>
      <c r="L2623" s="170">
        <v>45873</v>
      </c>
      <c r="M2623" s="116">
        <v>268.95</v>
      </c>
      <c r="N2623" s="116">
        <v>272.14999999999998</v>
      </c>
      <c r="O2623" s="116">
        <v>265.60000000000002</v>
      </c>
      <c r="P2623" s="116">
        <v>269</v>
      </c>
      <c r="Q2623" s="116">
        <v>268.95</v>
      </c>
      <c r="R2623">
        <v>12127</v>
      </c>
    </row>
    <row r="2624" spans="1:18" x14ac:dyDescent="0.25">
      <c r="A2624" s="170">
        <v>45905</v>
      </c>
      <c r="B2624" s="116">
        <v>268.25</v>
      </c>
      <c r="C2624" s="116">
        <v>266.10000000000002</v>
      </c>
      <c r="D2624" s="116">
        <v>264.3</v>
      </c>
      <c r="E2624" s="116">
        <v>268.25</v>
      </c>
      <c r="F2624" s="116">
        <v>266.10000000000002</v>
      </c>
      <c r="G2624">
        <v>1495</v>
      </c>
      <c r="H2624" s="116"/>
      <c r="I2624" s="116"/>
      <c r="L2624" s="170">
        <v>45874</v>
      </c>
      <c r="M2624" s="116">
        <v>264.7</v>
      </c>
      <c r="N2624" s="116">
        <v>271.7</v>
      </c>
      <c r="O2624" s="116">
        <v>263</v>
      </c>
      <c r="P2624" s="116">
        <v>271.7</v>
      </c>
      <c r="Q2624" s="116">
        <v>264.7</v>
      </c>
      <c r="R2624">
        <v>25192</v>
      </c>
    </row>
    <row r="2625" spans="1:18" x14ac:dyDescent="0.25">
      <c r="A2625" s="170">
        <v>45908</v>
      </c>
      <c r="B2625" s="116">
        <v>269.35000000000002</v>
      </c>
      <c r="C2625" s="116">
        <v>267</v>
      </c>
      <c r="D2625" s="116">
        <v>259.14999999999998</v>
      </c>
      <c r="E2625" s="116">
        <v>259.14999999999998</v>
      </c>
      <c r="F2625" s="116">
        <v>267</v>
      </c>
      <c r="G2625">
        <v>1096</v>
      </c>
      <c r="H2625" s="116"/>
      <c r="I2625" s="116"/>
      <c r="L2625" s="170">
        <v>45875</v>
      </c>
      <c r="M2625" s="116">
        <v>269.55</v>
      </c>
      <c r="N2625" s="116">
        <v>272.95</v>
      </c>
      <c r="O2625" s="116">
        <v>263.3</v>
      </c>
      <c r="P2625" s="116">
        <v>263.3</v>
      </c>
      <c r="Q2625" s="116">
        <v>269.55</v>
      </c>
      <c r="R2625">
        <v>12513</v>
      </c>
    </row>
    <row r="2626" spans="1:18" x14ac:dyDescent="0.25">
      <c r="A2626" s="170">
        <v>45909</v>
      </c>
      <c r="B2626" s="116">
        <v>273.05</v>
      </c>
      <c r="C2626" s="116">
        <v>272.7</v>
      </c>
      <c r="D2626" s="116">
        <v>268.05</v>
      </c>
      <c r="E2626" s="116">
        <v>268.05</v>
      </c>
      <c r="F2626" s="116">
        <v>272.7</v>
      </c>
      <c r="G2626">
        <v>115</v>
      </c>
      <c r="H2626" s="116"/>
      <c r="I2626" s="116"/>
      <c r="L2626" s="170">
        <v>45876</v>
      </c>
      <c r="M2626" s="116">
        <v>266.05</v>
      </c>
      <c r="N2626" s="116">
        <v>270</v>
      </c>
      <c r="O2626" s="116">
        <v>263.85000000000002</v>
      </c>
      <c r="P2626" s="116">
        <v>270</v>
      </c>
      <c r="Q2626" s="116">
        <v>266.05</v>
      </c>
      <c r="R2626">
        <v>7417</v>
      </c>
    </row>
    <row r="2627" spans="1:18" x14ac:dyDescent="0.25">
      <c r="A2627" s="170">
        <v>45910</v>
      </c>
      <c r="B2627" s="116">
        <v>272</v>
      </c>
      <c r="C2627" s="116">
        <v>272</v>
      </c>
      <c r="D2627" s="116">
        <v>266.3</v>
      </c>
      <c r="E2627" s="116">
        <v>269.35000000000002</v>
      </c>
      <c r="F2627" s="116">
        <v>272</v>
      </c>
      <c r="G2627">
        <v>950</v>
      </c>
      <c r="H2627" s="116"/>
      <c r="I2627" s="116"/>
      <c r="L2627" s="170">
        <v>45877</v>
      </c>
      <c r="M2627" s="116">
        <v>263.3</v>
      </c>
      <c r="N2627" s="116">
        <v>268.8</v>
      </c>
      <c r="O2627" s="116">
        <v>261.8</v>
      </c>
      <c r="P2627" s="116">
        <v>266.10000000000002</v>
      </c>
      <c r="Q2627" s="116">
        <v>263.3</v>
      </c>
      <c r="R2627">
        <v>5571</v>
      </c>
    </row>
    <row r="2628" spans="1:18" x14ac:dyDescent="0.25">
      <c r="A2628" s="170">
        <v>45911</v>
      </c>
      <c r="B2628" s="116">
        <v>278</v>
      </c>
      <c r="C2628" s="116">
        <v>269.89999999999998</v>
      </c>
      <c r="D2628" s="116">
        <v>268.35000000000002</v>
      </c>
      <c r="E2628" s="116">
        <v>270</v>
      </c>
      <c r="F2628" s="116">
        <v>269.89999999999998</v>
      </c>
      <c r="G2628">
        <v>781</v>
      </c>
      <c r="H2628" s="116"/>
      <c r="I2628" s="116"/>
      <c r="L2628" s="170">
        <v>45880</v>
      </c>
      <c r="M2628" s="116">
        <v>270.2</v>
      </c>
      <c r="N2628" s="116">
        <v>272.95</v>
      </c>
      <c r="O2628" s="116">
        <v>261.95</v>
      </c>
      <c r="P2628" s="116">
        <v>263.55</v>
      </c>
      <c r="Q2628" s="116">
        <v>270.2</v>
      </c>
      <c r="R2628">
        <v>12139</v>
      </c>
    </row>
    <row r="2629" spans="1:18" x14ac:dyDescent="0.25">
      <c r="A2629" s="170">
        <v>45912</v>
      </c>
      <c r="B2629" s="116">
        <v>270.35000000000002</v>
      </c>
      <c r="C2629" s="116">
        <v>268</v>
      </c>
      <c r="D2629" s="116">
        <v>267.3</v>
      </c>
      <c r="E2629" s="116">
        <v>270.35000000000002</v>
      </c>
      <c r="F2629" s="116">
        <v>268</v>
      </c>
      <c r="G2629">
        <v>1684</v>
      </c>
      <c r="H2629" s="116"/>
      <c r="I2629" s="116"/>
      <c r="L2629" s="170">
        <v>45881</v>
      </c>
      <c r="M2629" s="116">
        <v>268.35000000000002</v>
      </c>
      <c r="N2629" s="116">
        <v>271.89999999999998</v>
      </c>
      <c r="O2629" s="116">
        <v>261.5</v>
      </c>
      <c r="P2629" s="116">
        <v>265.55</v>
      </c>
      <c r="Q2629" s="116">
        <v>268.35000000000002</v>
      </c>
      <c r="R2629">
        <v>18166</v>
      </c>
    </row>
    <row r="2630" spans="1:18" x14ac:dyDescent="0.25">
      <c r="A2630" s="170">
        <v>45915</v>
      </c>
      <c r="B2630" s="116">
        <v>270.45</v>
      </c>
      <c r="C2630" s="116">
        <v>268.14999999999998</v>
      </c>
      <c r="D2630" s="116">
        <v>266.5</v>
      </c>
      <c r="E2630" s="116">
        <v>266.75</v>
      </c>
      <c r="F2630" s="116">
        <v>268.14999999999998</v>
      </c>
      <c r="G2630">
        <v>444</v>
      </c>
      <c r="H2630" s="116"/>
      <c r="I2630" s="116"/>
      <c r="L2630" s="170">
        <v>45882</v>
      </c>
      <c r="M2630" s="116">
        <v>268.75</v>
      </c>
      <c r="N2630" s="116">
        <v>270.45</v>
      </c>
      <c r="O2630" s="116">
        <v>265.64999999999998</v>
      </c>
      <c r="P2630" s="116">
        <v>268.8</v>
      </c>
      <c r="Q2630" s="116">
        <v>268.75</v>
      </c>
      <c r="R2630">
        <v>6371</v>
      </c>
    </row>
    <row r="2631" spans="1:18" x14ac:dyDescent="0.25">
      <c r="A2631" s="170">
        <v>45916</v>
      </c>
      <c r="B2631" s="116">
        <v>268.55</v>
      </c>
      <c r="C2631" s="116">
        <v>266.05</v>
      </c>
      <c r="D2631" s="116">
        <v>265.89999999999998</v>
      </c>
      <c r="E2631" s="116">
        <v>268.14999999999998</v>
      </c>
      <c r="F2631" s="116">
        <v>266.05</v>
      </c>
      <c r="G2631">
        <v>687</v>
      </c>
      <c r="H2631" s="116"/>
      <c r="I2631" s="116"/>
      <c r="L2631" s="170">
        <v>45883</v>
      </c>
      <c r="M2631" s="116">
        <v>266</v>
      </c>
      <c r="N2631" s="116">
        <v>268.64999999999998</v>
      </c>
      <c r="O2631" s="116">
        <v>260</v>
      </c>
      <c r="P2631" s="116">
        <v>267.2</v>
      </c>
      <c r="Q2631" s="116">
        <v>266</v>
      </c>
      <c r="R2631">
        <v>10800</v>
      </c>
    </row>
    <row r="2632" spans="1:18" x14ac:dyDescent="0.25">
      <c r="A2632" s="170">
        <v>45917</v>
      </c>
      <c r="B2632" s="116">
        <v>270</v>
      </c>
      <c r="C2632" s="116">
        <v>267.85000000000002</v>
      </c>
      <c r="D2632" s="116">
        <v>260.95</v>
      </c>
      <c r="E2632" s="116">
        <v>270</v>
      </c>
      <c r="F2632" s="116">
        <v>267.85000000000002</v>
      </c>
      <c r="G2632">
        <v>3521</v>
      </c>
      <c r="H2632" s="116"/>
      <c r="I2632" s="116"/>
      <c r="L2632" s="170">
        <v>45887</v>
      </c>
      <c r="M2632" s="116">
        <v>260.35000000000002</v>
      </c>
      <c r="N2632" s="116">
        <v>270.7</v>
      </c>
      <c r="O2632" s="116">
        <v>259.39999999999998</v>
      </c>
      <c r="P2632" s="116">
        <v>262.3</v>
      </c>
      <c r="Q2632" s="116">
        <v>260.35000000000002</v>
      </c>
      <c r="R2632">
        <v>25025</v>
      </c>
    </row>
    <row r="2633" spans="1:18" x14ac:dyDescent="0.25">
      <c r="A2633" s="170">
        <v>45918</v>
      </c>
      <c r="B2633" s="116">
        <v>269.5</v>
      </c>
      <c r="C2633" s="116">
        <v>266.05</v>
      </c>
      <c r="D2633" s="116">
        <v>262.05</v>
      </c>
      <c r="E2633" s="116">
        <v>262.05</v>
      </c>
      <c r="F2633" s="116">
        <v>266.05</v>
      </c>
      <c r="G2633">
        <v>1631</v>
      </c>
      <c r="H2633" s="116"/>
      <c r="I2633" s="116"/>
      <c r="L2633" s="170">
        <v>45888</v>
      </c>
      <c r="M2633" s="116">
        <v>265.14999999999998</v>
      </c>
      <c r="N2633" s="116">
        <v>267.64999999999998</v>
      </c>
      <c r="O2633" s="116">
        <v>260.64999999999998</v>
      </c>
      <c r="P2633" s="116">
        <v>260.95</v>
      </c>
      <c r="Q2633" s="116">
        <v>265.14999999999998</v>
      </c>
      <c r="R2633">
        <v>9999</v>
      </c>
    </row>
    <row r="2634" spans="1:18" x14ac:dyDescent="0.25">
      <c r="A2634" s="170">
        <v>45919</v>
      </c>
      <c r="B2634" s="116">
        <v>266.10000000000002</v>
      </c>
      <c r="C2634" s="116">
        <v>262.8</v>
      </c>
      <c r="D2634" s="116">
        <v>260.10000000000002</v>
      </c>
      <c r="E2634" s="116">
        <v>266.10000000000002</v>
      </c>
      <c r="F2634" s="116">
        <v>262.8</v>
      </c>
      <c r="G2634">
        <v>372</v>
      </c>
      <c r="H2634" s="116"/>
      <c r="I2634" s="116"/>
      <c r="L2634" s="170">
        <v>45889</v>
      </c>
      <c r="M2634" s="116">
        <v>263.8</v>
      </c>
      <c r="N2634" s="116">
        <v>267.85000000000002</v>
      </c>
      <c r="O2634" s="116">
        <v>262.89999999999998</v>
      </c>
      <c r="P2634" s="116">
        <v>265.8</v>
      </c>
      <c r="Q2634" s="116">
        <v>263.8</v>
      </c>
      <c r="R2634">
        <v>7256</v>
      </c>
    </row>
    <row r="2635" spans="1:18" x14ac:dyDescent="0.25">
      <c r="A2635" s="170">
        <v>45922</v>
      </c>
      <c r="B2635" s="116">
        <v>266.55</v>
      </c>
      <c r="C2635" s="116">
        <v>262.64999999999998</v>
      </c>
      <c r="D2635" s="116">
        <v>258.3</v>
      </c>
      <c r="E2635" s="116">
        <v>264.35000000000002</v>
      </c>
      <c r="F2635" s="116">
        <v>262.64999999999998</v>
      </c>
      <c r="G2635">
        <v>2541</v>
      </c>
      <c r="H2635" s="116"/>
      <c r="I2635" s="116"/>
      <c r="L2635" s="170">
        <v>45890</v>
      </c>
      <c r="M2635" s="116">
        <v>273.5</v>
      </c>
      <c r="N2635" s="116">
        <v>275.95</v>
      </c>
      <c r="O2635" s="116">
        <v>264.75</v>
      </c>
      <c r="P2635" s="116">
        <v>265</v>
      </c>
      <c r="Q2635" s="116">
        <v>273.5</v>
      </c>
      <c r="R2635">
        <v>16681</v>
      </c>
    </row>
    <row r="2636" spans="1:18" x14ac:dyDescent="0.25">
      <c r="A2636" s="170">
        <v>45923</v>
      </c>
      <c r="B2636" s="116">
        <v>263.3</v>
      </c>
      <c r="C2636" s="116">
        <v>261.25</v>
      </c>
      <c r="D2636" s="116">
        <v>259</v>
      </c>
      <c r="E2636" s="116">
        <v>263.3</v>
      </c>
      <c r="F2636" s="116">
        <v>261.25</v>
      </c>
      <c r="G2636">
        <v>572</v>
      </c>
      <c r="H2636" s="116"/>
      <c r="I2636" s="116"/>
      <c r="L2636" s="170">
        <v>45891</v>
      </c>
      <c r="M2636" s="116">
        <v>262.95</v>
      </c>
      <c r="N2636" s="116">
        <v>273.10000000000002</v>
      </c>
      <c r="O2636" s="116">
        <v>258.7</v>
      </c>
      <c r="P2636" s="116">
        <v>273.05</v>
      </c>
      <c r="Q2636" s="116">
        <v>262.95</v>
      </c>
      <c r="R2636">
        <v>50459</v>
      </c>
    </row>
    <row r="2637" spans="1:18" x14ac:dyDescent="0.25">
      <c r="A2637" s="170">
        <v>45924</v>
      </c>
      <c r="B2637" s="116">
        <v>263.8</v>
      </c>
      <c r="C2637" s="116">
        <v>262.14999999999998</v>
      </c>
      <c r="D2637" s="116">
        <v>259.3</v>
      </c>
      <c r="E2637" s="116">
        <v>262</v>
      </c>
      <c r="F2637" s="116">
        <v>262.14999999999998</v>
      </c>
      <c r="G2637">
        <v>503</v>
      </c>
      <c r="H2637" s="116"/>
      <c r="I2637" s="116"/>
      <c r="L2637" s="170">
        <v>45894</v>
      </c>
      <c r="M2637" s="116">
        <v>280.89999999999998</v>
      </c>
      <c r="N2637" s="116">
        <v>287.39999999999998</v>
      </c>
      <c r="O2637" s="116">
        <v>261.85000000000002</v>
      </c>
      <c r="P2637" s="116">
        <v>262</v>
      </c>
      <c r="Q2637" s="116">
        <v>280.89999999999998</v>
      </c>
      <c r="R2637">
        <v>385377</v>
      </c>
    </row>
    <row r="2638" spans="1:18" x14ac:dyDescent="0.25">
      <c r="A2638" s="170">
        <v>45925</v>
      </c>
      <c r="B2638" s="116">
        <v>261.3</v>
      </c>
      <c r="C2638" s="116">
        <v>256.39999999999998</v>
      </c>
      <c r="D2638" s="116">
        <v>255</v>
      </c>
      <c r="E2638" s="116">
        <v>261.3</v>
      </c>
      <c r="F2638" s="116">
        <v>256.39999999999998</v>
      </c>
      <c r="G2638">
        <v>4611</v>
      </c>
      <c r="H2638" s="116"/>
      <c r="I2638" s="116"/>
      <c r="L2638" s="170">
        <v>45895</v>
      </c>
      <c r="M2638" s="116">
        <v>272.85000000000002</v>
      </c>
      <c r="N2638" s="116">
        <v>278</v>
      </c>
      <c r="O2638" s="116">
        <v>270.05</v>
      </c>
      <c r="P2638" s="116">
        <v>278</v>
      </c>
      <c r="Q2638" s="116">
        <v>272.85000000000002</v>
      </c>
      <c r="R2638">
        <v>22370</v>
      </c>
    </row>
    <row r="2639" spans="1:18" x14ac:dyDescent="0.25">
      <c r="A2639" s="170">
        <v>45926</v>
      </c>
      <c r="B2639" s="116">
        <v>257</v>
      </c>
      <c r="C2639" s="116">
        <v>251.4</v>
      </c>
      <c r="D2639" s="116">
        <v>246.3</v>
      </c>
      <c r="E2639" s="116">
        <v>252</v>
      </c>
      <c r="F2639" s="116">
        <v>251.4</v>
      </c>
      <c r="G2639">
        <v>4361</v>
      </c>
      <c r="H2639" s="116"/>
      <c r="I2639" s="116"/>
      <c r="L2639" s="170">
        <v>45897</v>
      </c>
      <c r="M2639" s="116">
        <v>269.60000000000002</v>
      </c>
      <c r="N2639" s="116">
        <v>273.05</v>
      </c>
      <c r="O2639" s="116">
        <v>268</v>
      </c>
      <c r="P2639" s="116">
        <v>270.10000000000002</v>
      </c>
      <c r="Q2639" s="116">
        <v>269.60000000000002</v>
      </c>
      <c r="R2639">
        <v>16293</v>
      </c>
    </row>
    <row r="2640" spans="1:18" x14ac:dyDescent="0.25">
      <c r="A2640" s="170">
        <v>45929</v>
      </c>
      <c r="B2640" s="116">
        <v>255.95</v>
      </c>
      <c r="C2640" s="116">
        <v>254.45</v>
      </c>
      <c r="D2640" s="116">
        <v>251.5</v>
      </c>
      <c r="E2640" s="116">
        <v>252</v>
      </c>
      <c r="F2640" s="116">
        <v>254.45</v>
      </c>
      <c r="G2640">
        <v>334</v>
      </c>
      <c r="H2640" s="116"/>
      <c r="I2640" s="116"/>
      <c r="L2640" s="170">
        <v>45898</v>
      </c>
      <c r="M2640" s="116">
        <v>265.55</v>
      </c>
      <c r="N2640" s="116">
        <v>270.8</v>
      </c>
      <c r="O2640" s="116">
        <v>263</v>
      </c>
      <c r="P2640" s="116">
        <v>268</v>
      </c>
      <c r="Q2640" s="116">
        <v>265.55</v>
      </c>
      <c r="R2640">
        <v>17672</v>
      </c>
    </row>
    <row r="2641" spans="1:18" x14ac:dyDescent="0.25">
      <c r="A2641" s="170">
        <v>45930</v>
      </c>
      <c r="B2641" s="116">
        <v>265.60000000000002</v>
      </c>
      <c r="C2641" s="116">
        <v>251.6</v>
      </c>
      <c r="D2641" s="116">
        <v>249.65</v>
      </c>
      <c r="E2641" s="116">
        <v>257.05</v>
      </c>
      <c r="F2641" s="116">
        <v>251.6</v>
      </c>
      <c r="G2641">
        <v>1030</v>
      </c>
      <c r="H2641" s="116"/>
      <c r="I2641" s="116"/>
      <c r="L2641" s="170">
        <v>45901</v>
      </c>
      <c r="M2641" s="116">
        <v>270.39999999999998</v>
      </c>
      <c r="N2641" s="116">
        <v>273.45</v>
      </c>
      <c r="O2641" s="116">
        <v>264.95</v>
      </c>
      <c r="P2641" s="116">
        <v>265.5</v>
      </c>
      <c r="Q2641" s="116">
        <v>270.39999999999998</v>
      </c>
      <c r="R2641">
        <v>11131</v>
      </c>
    </row>
    <row r="2642" spans="1:18" x14ac:dyDescent="0.25">
      <c r="A2642" s="170">
        <v>45931</v>
      </c>
      <c r="B2642" s="116">
        <v>258.64999999999998</v>
      </c>
      <c r="C2642" s="116">
        <v>258.10000000000002</v>
      </c>
      <c r="D2642" s="116">
        <v>252.5</v>
      </c>
      <c r="E2642" s="116">
        <v>253.6</v>
      </c>
      <c r="F2642" s="116">
        <v>258.10000000000002</v>
      </c>
      <c r="G2642">
        <v>100</v>
      </c>
      <c r="H2642" s="116"/>
      <c r="I2642" s="116"/>
      <c r="L2642" s="170">
        <v>45902</v>
      </c>
      <c r="M2642" s="116">
        <v>267.60000000000002</v>
      </c>
      <c r="N2642" s="116">
        <v>274.64999999999998</v>
      </c>
      <c r="O2642" s="116">
        <v>266.5</v>
      </c>
      <c r="P2642" s="116">
        <v>271.95</v>
      </c>
      <c r="Q2642" s="116">
        <v>267.60000000000002</v>
      </c>
      <c r="R2642">
        <v>14616</v>
      </c>
    </row>
    <row r="2643" spans="1:18" x14ac:dyDescent="0.25">
      <c r="A2643" s="170">
        <v>45933</v>
      </c>
      <c r="B2643" s="116">
        <v>265.10000000000002</v>
      </c>
      <c r="C2643" s="116">
        <v>263.10000000000002</v>
      </c>
      <c r="D2643" s="116">
        <v>254.65</v>
      </c>
      <c r="E2643" s="116">
        <v>256.85000000000002</v>
      </c>
      <c r="F2643" s="116">
        <v>263.10000000000002</v>
      </c>
      <c r="G2643">
        <v>3621</v>
      </c>
      <c r="H2643" s="116"/>
      <c r="I2643" s="116"/>
      <c r="L2643" s="170">
        <v>45903</v>
      </c>
      <c r="M2643" s="116">
        <v>269.14999999999998</v>
      </c>
      <c r="N2643" s="116">
        <v>272.2</v>
      </c>
      <c r="O2643" s="116">
        <v>267.8</v>
      </c>
      <c r="P2643" s="116">
        <v>268</v>
      </c>
      <c r="Q2643" s="116">
        <v>269.14999999999998</v>
      </c>
      <c r="R2643">
        <v>3993</v>
      </c>
    </row>
    <row r="2644" spans="1:18" x14ac:dyDescent="0.25">
      <c r="A2644" s="170">
        <v>45936</v>
      </c>
      <c r="B2644" s="116">
        <v>266.7</v>
      </c>
      <c r="C2644" s="116">
        <v>264.64999999999998</v>
      </c>
      <c r="D2644" s="116">
        <v>260.3</v>
      </c>
      <c r="E2644" s="116">
        <v>264.39999999999998</v>
      </c>
      <c r="F2644" s="116">
        <v>264.64999999999998</v>
      </c>
      <c r="G2644">
        <v>1231</v>
      </c>
      <c r="H2644" s="116"/>
      <c r="I2644" s="116"/>
      <c r="L2644" s="170">
        <v>45904</v>
      </c>
      <c r="M2644" s="116">
        <v>267.95</v>
      </c>
      <c r="N2644" s="116">
        <v>276</v>
      </c>
      <c r="O2644" s="116">
        <v>266.95</v>
      </c>
      <c r="P2644" s="116">
        <v>275</v>
      </c>
      <c r="Q2644" s="116">
        <v>267.95</v>
      </c>
      <c r="R2644">
        <v>10266</v>
      </c>
    </row>
    <row r="2645" spans="1:18" x14ac:dyDescent="0.25">
      <c r="A2645" s="170">
        <v>45937</v>
      </c>
      <c r="B2645" s="116">
        <v>265.3</v>
      </c>
      <c r="C2645" s="116">
        <v>259.05</v>
      </c>
      <c r="D2645" s="116">
        <v>257.3</v>
      </c>
      <c r="E2645" s="116">
        <v>264.45</v>
      </c>
      <c r="F2645" s="116">
        <v>259.05</v>
      </c>
      <c r="G2645">
        <v>1103</v>
      </c>
      <c r="H2645" s="116"/>
      <c r="I2645" s="116"/>
      <c r="L2645" s="170">
        <v>45905</v>
      </c>
      <c r="M2645" s="116">
        <v>266.7</v>
      </c>
      <c r="N2645" s="116">
        <v>269.95</v>
      </c>
      <c r="O2645" s="116">
        <v>264.35000000000002</v>
      </c>
      <c r="P2645" s="116">
        <v>267</v>
      </c>
      <c r="Q2645" s="116">
        <v>266.7</v>
      </c>
      <c r="R2645">
        <v>10337</v>
      </c>
    </row>
    <row r="2646" spans="1:18" x14ac:dyDescent="0.25">
      <c r="A2646" s="170">
        <v>45938</v>
      </c>
      <c r="B2646" s="116">
        <v>261</v>
      </c>
      <c r="C2646" s="116">
        <v>258.95</v>
      </c>
      <c r="D2646" s="116">
        <v>257.39999999999998</v>
      </c>
      <c r="E2646" s="116">
        <v>261</v>
      </c>
      <c r="F2646" s="116">
        <v>258.95</v>
      </c>
      <c r="G2646">
        <v>588</v>
      </c>
      <c r="H2646" s="116"/>
      <c r="I2646" s="116"/>
      <c r="L2646" s="170">
        <v>45908</v>
      </c>
      <c r="M2646" s="116">
        <v>267.39999999999998</v>
      </c>
      <c r="N2646" s="116">
        <v>269.55</v>
      </c>
      <c r="O2646" s="116">
        <v>264.64999999999998</v>
      </c>
      <c r="P2646" s="116">
        <v>266</v>
      </c>
      <c r="Q2646" s="116">
        <v>267.39999999999998</v>
      </c>
      <c r="R2646">
        <v>16956</v>
      </c>
    </row>
    <row r="2647" spans="1:18" x14ac:dyDescent="0.25">
      <c r="A2647" s="170">
        <v>45939</v>
      </c>
      <c r="B2647" s="116">
        <v>260.8</v>
      </c>
      <c r="C2647" s="116">
        <v>259.45</v>
      </c>
      <c r="D2647" s="116">
        <v>256.8</v>
      </c>
      <c r="E2647" s="116">
        <v>259</v>
      </c>
      <c r="F2647" s="116">
        <v>259.45</v>
      </c>
      <c r="G2647">
        <v>295</v>
      </c>
      <c r="H2647" s="116"/>
      <c r="I2647" s="116"/>
      <c r="L2647" s="170">
        <v>45909</v>
      </c>
      <c r="M2647" s="116">
        <v>271.60000000000002</v>
      </c>
      <c r="N2647" s="116">
        <v>273.95</v>
      </c>
      <c r="O2647" s="116">
        <v>265.95</v>
      </c>
      <c r="P2647" s="116">
        <v>270.2</v>
      </c>
      <c r="Q2647" s="116">
        <v>271.60000000000002</v>
      </c>
      <c r="R2647">
        <v>14667</v>
      </c>
    </row>
    <row r="2648" spans="1:18" x14ac:dyDescent="0.25">
      <c r="A2648" s="170">
        <v>45940</v>
      </c>
      <c r="B2648" s="116">
        <v>258.89999999999998</v>
      </c>
      <c r="C2648" s="116">
        <v>256.14999999999998</v>
      </c>
      <c r="D2648" s="116">
        <v>255</v>
      </c>
      <c r="E2648" s="116">
        <v>256.85000000000002</v>
      </c>
      <c r="F2648" s="116">
        <v>256.14999999999998</v>
      </c>
      <c r="G2648">
        <v>850</v>
      </c>
      <c r="H2648" s="116"/>
      <c r="I2648" s="116"/>
      <c r="L2648" s="170">
        <v>45910</v>
      </c>
      <c r="M2648" s="116">
        <v>270.45</v>
      </c>
      <c r="N2648" s="116">
        <v>271.95</v>
      </c>
      <c r="O2648" s="116">
        <v>268.8</v>
      </c>
      <c r="P2648" s="116">
        <v>268.89999999999998</v>
      </c>
      <c r="Q2648" s="116">
        <v>270.45</v>
      </c>
      <c r="R2648">
        <v>7235</v>
      </c>
    </row>
    <row r="2649" spans="1:18" x14ac:dyDescent="0.25">
      <c r="A2649" s="170">
        <v>45943</v>
      </c>
      <c r="B2649" s="116">
        <v>260.89999999999998</v>
      </c>
      <c r="C2649" s="116">
        <v>259.2</v>
      </c>
      <c r="D2649" s="116">
        <v>255</v>
      </c>
      <c r="E2649" s="116">
        <v>255</v>
      </c>
      <c r="F2649" s="116">
        <v>259.2</v>
      </c>
      <c r="G2649">
        <v>295</v>
      </c>
      <c r="H2649" s="116"/>
      <c r="I2649" s="116"/>
      <c r="L2649" s="170">
        <v>45911</v>
      </c>
      <c r="M2649" s="116">
        <v>269.45</v>
      </c>
      <c r="N2649" s="116">
        <v>273.95</v>
      </c>
      <c r="O2649" s="116">
        <v>266.2</v>
      </c>
      <c r="P2649" s="116">
        <v>272.95</v>
      </c>
      <c r="Q2649" s="116">
        <v>269.45</v>
      </c>
      <c r="R2649">
        <v>17117</v>
      </c>
    </row>
    <row r="2650" spans="1:18" x14ac:dyDescent="0.25">
      <c r="A2650" s="170">
        <v>45944</v>
      </c>
      <c r="B2650" s="116">
        <v>258.75</v>
      </c>
      <c r="C2650" s="116">
        <v>258.75</v>
      </c>
      <c r="D2650" s="116">
        <v>250.35</v>
      </c>
      <c r="E2650" s="116">
        <v>255</v>
      </c>
      <c r="F2650" s="116">
        <v>258.75</v>
      </c>
      <c r="G2650">
        <v>2661</v>
      </c>
      <c r="H2650" s="116"/>
      <c r="I2650" s="116"/>
      <c r="L2650" s="170">
        <v>45912</v>
      </c>
      <c r="M2650" s="116">
        <v>268.3</v>
      </c>
      <c r="N2650" s="116">
        <v>271</v>
      </c>
      <c r="O2650" s="116">
        <v>268</v>
      </c>
      <c r="P2650" s="116">
        <v>269.45</v>
      </c>
      <c r="Q2650" s="116">
        <v>268.3</v>
      </c>
      <c r="R2650">
        <v>9153</v>
      </c>
    </row>
    <row r="2651" spans="1:18" x14ac:dyDescent="0.25">
      <c r="A2651" s="170">
        <v>45945</v>
      </c>
      <c r="B2651" s="116">
        <v>259.14999999999998</v>
      </c>
      <c r="C2651" s="116">
        <v>255.75</v>
      </c>
      <c r="D2651" s="116">
        <v>254.15</v>
      </c>
      <c r="E2651" s="116">
        <v>256</v>
      </c>
      <c r="F2651" s="116">
        <v>255.75</v>
      </c>
      <c r="G2651">
        <v>98</v>
      </c>
      <c r="H2651" s="116"/>
      <c r="I2651" s="116"/>
      <c r="L2651" s="170">
        <v>45915</v>
      </c>
      <c r="M2651" s="116">
        <v>269.60000000000002</v>
      </c>
      <c r="N2651" s="116">
        <v>270.75</v>
      </c>
      <c r="O2651" s="116">
        <v>266</v>
      </c>
      <c r="P2651" s="116">
        <v>266</v>
      </c>
      <c r="Q2651" s="116">
        <v>269.60000000000002</v>
      </c>
      <c r="R2651">
        <v>9080</v>
      </c>
    </row>
    <row r="2652" spans="1:18" x14ac:dyDescent="0.25">
      <c r="A2652" s="170">
        <v>45946</v>
      </c>
      <c r="B2652" s="116">
        <v>256.5</v>
      </c>
      <c r="C2652" s="116">
        <v>254.35</v>
      </c>
      <c r="D2652" s="116">
        <v>251.55</v>
      </c>
      <c r="E2652" s="116">
        <v>253.95</v>
      </c>
      <c r="F2652" s="116">
        <v>254.35</v>
      </c>
      <c r="G2652">
        <v>128</v>
      </c>
      <c r="H2652" s="116"/>
      <c r="I2652" s="116"/>
      <c r="L2652" s="170">
        <v>45916</v>
      </c>
      <c r="M2652" s="116">
        <v>266</v>
      </c>
      <c r="N2652" s="116">
        <v>270.39999999999998</v>
      </c>
      <c r="O2652" s="116">
        <v>264.8</v>
      </c>
      <c r="P2652" s="116">
        <v>270.39999999999998</v>
      </c>
      <c r="Q2652" s="116">
        <v>266</v>
      </c>
      <c r="R2652">
        <v>22907</v>
      </c>
    </row>
    <row r="2653" spans="1:18" x14ac:dyDescent="0.25">
      <c r="A2653" s="170">
        <v>45947</v>
      </c>
      <c r="B2653" s="116">
        <v>255.1</v>
      </c>
      <c r="C2653" s="116">
        <v>251.8</v>
      </c>
      <c r="D2653" s="116">
        <v>250.45</v>
      </c>
      <c r="E2653" s="116">
        <v>250.55</v>
      </c>
      <c r="F2653" s="116">
        <v>251.8</v>
      </c>
      <c r="G2653">
        <v>1538</v>
      </c>
      <c r="H2653" s="116"/>
      <c r="I2653" s="116"/>
      <c r="L2653" s="170">
        <v>45917</v>
      </c>
      <c r="M2653" s="116">
        <v>265.89999999999998</v>
      </c>
      <c r="N2653" s="116">
        <v>268.5</v>
      </c>
      <c r="O2653" s="116">
        <v>264.85000000000002</v>
      </c>
      <c r="P2653" s="116">
        <v>267.35000000000002</v>
      </c>
      <c r="Q2653" s="116">
        <v>265.89999999999998</v>
      </c>
      <c r="R2653">
        <v>10169</v>
      </c>
    </row>
    <row r="2654" spans="1:18" x14ac:dyDescent="0.25">
      <c r="A2654" s="170">
        <v>45950</v>
      </c>
      <c r="B2654" s="116">
        <v>258.10000000000002</v>
      </c>
      <c r="C2654" s="116">
        <v>258.10000000000002</v>
      </c>
      <c r="D2654" s="116">
        <v>251.8</v>
      </c>
      <c r="E2654" s="116">
        <v>253.45</v>
      </c>
      <c r="F2654" s="116">
        <v>258.10000000000002</v>
      </c>
      <c r="G2654">
        <v>227</v>
      </c>
      <c r="H2654" s="116"/>
      <c r="I2654" s="116"/>
      <c r="L2654" s="170">
        <v>45918</v>
      </c>
      <c r="M2654" s="116">
        <v>266.89999999999998</v>
      </c>
      <c r="N2654" s="116">
        <v>270</v>
      </c>
      <c r="O2654" s="116">
        <v>265.60000000000002</v>
      </c>
      <c r="P2654" s="116">
        <v>265.60000000000002</v>
      </c>
      <c r="Q2654" s="116">
        <v>266.89999999999998</v>
      </c>
      <c r="R2654">
        <v>15309</v>
      </c>
    </row>
    <row r="2655" spans="1:18" x14ac:dyDescent="0.25">
      <c r="A2655" s="170">
        <v>45951</v>
      </c>
      <c r="B2655" s="116">
        <v>259.05</v>
      </c>
      <c r="C2655" s="116">
        <v>257.45</v>
      </c>
      <c r="D2655" s="116">
        <v>256.75</v>
      </c>
      <c r="E2655" s="116">
        <v>257.89999999999998</v>
      </c>
      <c r="F2655" s="116">
        <v>257.45</v>
      </c>
      <c r="G2655">
        <v>92</v>
      </c>
      <c r="H2655" s="116"/>
      <c r="I2655" s="116"/>
      <c r="L2655" s="170">
        <v>45919</v>
      </c>
      <c r="M2655" s="116">
        <v>262.3</v>
      </c>
      <c r="N2655" s="116">
        <v>267.5</v>
      </c>
      <c r="O2655" s="116">
        <v>260</v>
      </c>
      <c r="P2655" s="116">
        <v>267</v>
      </c>
      <c r="Q2655" s="116">
        <v>262.3</v>
      </c>
      <c r="R2655">
        <v>28845</v>
      </c>
    </row>
    <row r="2656" spans="1:18" x14ac:dyDescent="0.25">
      <c r="A2656" s="170">
        <v>45953</v>
      </c>
      <c r="B2656" s="116">
        <v>256.85000000000002</v>
      </c>
      <c r="C2656" s="116">
        <v>254.45</v>
      </c>
      <c r="D2656" s="116">
        <v>252.3</v>
      </c>
      <c r="E2656" s="116">
        <v>256.75</v>
      </c>
      <c r="F2656" s="116">
        <v>254.45</v>
      </c>
      <c r="G2656">
        <v>1702</v>
      </c>
      <c r="H2656" s="116"/>
      <c r="I2656" s="116"/>
      <c r="L2656" s="170">
        <v>45922</v>
      </c>
      <c r="M2656" s="116">
        <v>263.5</v>
      </c>
      <c r="N2656" s="116">
        <v>264.95</v>
      </c>
      <c r="O2656" s="116">
        <v>262.3</v>
      </c>
      <c r="P2656" s="116">
        <v>262.3</v>
      </c>
      <c r="Q2656" s="116">
        <v>263.5</v>
      </c>
      <c r="R2656">
        <v>7560</v>
      </c>
    </row>
    <row r="2657" spans="1:18" x14ac:dyDescent="0.25">
      <c r="A2657" s="170">
        <v>45954</v>
      </c>
      <c r="B2657" s="116">
        <v>256.75</v>
      </c>
      <c r="C2657" s="116">
        <v>251.55</v>
      </c>
      <c r="D2657" s="116">
        <v>249.3</v>
      </c>
      <c r="E2657" s="116">
        <v>255.1</v>
      </c>
      <c r="F2657" s="116">
        <v>251.55</v>
      </c>
      <c r="G2657">
        <v>2799</v>
      </c>
      <c r="H2657" s="116"/>
      <c r="I2657" s="116"/>
      <c r="L2657" s="170">
        <v>45923</v>
      </c>
      <c r="M2657" s="116">
        <v>260.5</v>
      </c>
      <c r="N2657" s="116">
        <v>264.2</v>
      </c>
      <c r="O2657" s="116">
        <v>258.60000000000002</v>
      </c>
      <c r="P2657" s="116">
        <v>261</v>
      </c>
      <c r="Q2657" s="116">
        <v>260.5</v>
      </c>
      <c r="R2657">
        <v>17075</v>
      </c>
    </row>
    <row r="2658" spans="1:18" x14ac:dyDescent="0.25">
      <c r="A2658" s="170">
        <v>45957</v>
      </c>
      <c r="B2658" s="116">
        <v>256.60000000000002</v>
      </c>
      <c r="C2658" s="116">
        <v>254.75</v>
      </c>
      <c r="D2658" s="116">
        <v>250</v>
      </c>
      <c r="E2658" s="116">
        <v>250</v>
      </c>
      <c r="F2658" s="116">
        <v>254.75</v>
      </c>
      <c r="G2658">
        <v>911</v>
      </c>
      <c r="H2658" s="116"/>
      <c r="I2658" s="116"/>
      <c r="L2658" s="170">
        <v>45924</v>
      </c>
      <c r="M2658" s="116">
        <v>260.45</v>
      </c>
      <c r="N2658" s="116">
        <v>263.39999999999998</v>
      </c>
      <c r="O2658" s="116">
        <v>259.10000000000002</v>
      </c>
      <c r="P2658" s="116">
        <v>262.89999999999998</v>
      </c>
      <c r="Q2658" s="116">
        <v>260.45</v>
      </c>
      <c r="R2658">
        <v>13229</v>
      </c>
    </row>
    <row r="2659" spans="1:18" x14ac:dyDescent="0.25">
      <c r="A2659" s="170">
        <v>45958</v>
      </c>
      <c r="B2659" s="116">
        <v>256</v>
      </c>
      <c r="C2659" s="116">
        <v>255.55</v>
      </c>
      <c r="D2659" s="116">
        <v>250.85</v>
      </c>
      <c r="E2659" s="116">
        <v>256</v>
      </c>
      <c r="F2659" s="116">
        <v>255.55</v>
      </c>
      <c r="G2659">
        <v>970</v>
      </c>
      <c r="H2659" s="116"/>
      <c r="I2659" s="116"/>
      <c r="L2659" s="170">
        <v>45925</v>
      </c>
      <c r="M2659" s="116">
        <v>256.35000000000002</v>
      </c>
      <c r="N2659" s="116">
        <v>263.3</v>
      </c>
      <c r="O2659" s="116">
        <v>255</v>
      </c>
      <c r="P2659" s="116">
        <v>260.05</v>
      </c>
      <c r="Q2659" s="116">
        <v>256.35000000000002</v>
      </c>
      <c r="R2659">
        <v>15012</v>
      </c>
    </row>
    <row r="2660" spans="1:18" x14ac:dyDescent="0.25">
      <c r="A2660" s="170">
        <v>45959</v>
      </c>
      <c r="B2660" s="116">
        <v>254.9</v>
      </c>
      <c r="C2660" s="116">
        <v>254.1</v>
      </c>
      <c r="D2660" s="116">
        <v>252.6</v>
      </c>
      <c r="E2660" s="116">
        <v>253.35</v>
      </c>
      <c r="F2660" s="116">
        <v>254.1</v>
      </c>
      <c r="G2660">
        <v>65</v>
      </c>
      <c r="H2660" s="116"/>
      <c r="I2660" s="116"/>
      <c r="L2660" s="170">
        <v>45926</v>
      </c>
      <c r="M2660" s="116">
        <v>252</v>
      </c>
      <c r="N2660" s="116">
        <v>256.39999999999998</v>
      </c>
      <c r="O2660" s="116">
        <v>250</v>
      </c>
      <c r="P2660" s="116">
        <v>256.39999999999998</v>
      </c>
      <c r="Q2660" s="116">
        <v>252</v>
      </c>
      <c r="R2660">
        <v>17409</v>
      </c>
    </row>
    <row r="2661" spans="1:18" x14ac:dyDescent="0.25">
      <c r="A2661" s="170">
        <v>45960</v>
      </c>
      <c r="B2661" s="116">
        <v>257.75</v>
      </c>
      <c r="C2661" s="116">
        <v>254.05</v>
      </c>
      <c r="D2661" s="116">
        <v>252.8</v>
      </c>
      <c r="E2661" s="116">
        <v>252.8</v>
      </c>
      <c r="F2661" s="116">
        <v>254.05</v>
      </c>
      <c r="G2661">
        <v>250</v>
      </c>
      <c r="H2661" s="116"/>
      <c r="I2661" s="116"/>
      <c r="L2661" s="170">
        <v>45929</v>
      </c>
      <c r="M2661" s="116">
        <v>254.75</v>
      </c>
      <c r="N2661" s="116">
        <v>256.45</v>
      </c>
      <c r="O2661" s="116">
        <v>250</v>
      </c>
      <c r="P2661" s="116">
        <v>252.1</v>
      </c>
      <c r="Q2661" s="116">
        <v>254.75</v>
      </c>
      <c r="R2661">
        <v>20837</v>
      </c>
    </row>
    <row r="2662" spans="1:18" x14ac:dyDescent="0.25">
      <c r="A2662" s="170">
        <v>45961</v>
      </c>
      <c r="B2662" s="116">
        <v>256.95</v>
      </c>
      <c r="C2662" s="116">
        <v>256.5</v>
      </c>
      <c r="D2662" s="116">
        <v>253.25</v>
      </c>
      <c r="E2662" s="116">
        <v>256.95</v>
      </c>
      <c r="F2662" s="116">
        <v>256.5</v>
      </c>
      <c r="G2662">
        <v>189</v>
      </c>
      <c r="H2662" s="116"/>
      <c r="I2662" s="116"/>
      <c r="L2662" s="170">
        <v>45930</v>
      </c>
      <c r="M2662" s="116">
        <v>252.25</v>
      </c>
      <c r="N2662" s="116">
        <v>265.3</v>
      </c>
      <c r="O2662" s="116">
        <v>248.35</v>
      </c>
      <c r="P2662" s="116">
        <v>257.25</v>
      </c>
      <c r="Q2662" s="116">
        <v>252.25</v>
      </c>
      <c r="R2662">
        <v>51020</v>
      </c>
    </row>
    <row r="2663" spans="1:18" x14ac:dyDescent="0.25">
      <c r="A2663" s="170">
        <v>45964</v>
      </c>
      <c r="B2663" s="116">
        <v>261.89999999999998</v>
      </c>
      <c r="C2663" s="116">
        <v>261.89999999999998</v>
      </c>
      <c r="D2663" s="116">
        <v>253.75</v>
      </c>
      <c r="E2663" s="116">
        <v>256</v>
      </c>
      <c r="F2663" s="116">
        <v>261.89999999999998</v>
      </c>
      <c r="G2663">
        <v>110</v>
      </c>
      <c r="H2663" s="116"/>
      <c r="I2663" s="116"/>
      <c r="L2663" s="170">
        <v>45931</v>
      </c>
      <c r="M2663" s="116">
        <v>258.10000000000002</v>
      </c>
      <c r="N2663" s="116">
        <v>260.45</v>
      </c>
      <c r="O2663" s="116">
        <v>251.2</v>
      </c>
      <c r="P2663" s="116">
        <v>252.2</v>
      </c>
      <c r="Q2663" s="116">
        <v>258.10000000000002</v>
      </c>
      <c r="R2663">
        <v>13657</v>
      </c>
    </row>
    <row r="2664" spans="1:18" x14ac:dyDescent="0.25">
      <c r="A2664" s="170">
        <v>45965</v>
      </c>
      <c r="B2664" s="116">
        <v>261.7</v>
      </c>
      <c r="C2664" s="116">
        <v>257.95</v>
      </c>
      <c r="D2664" s="116">
        <v>256.3</v>
      </c>
      <c r="E2664" s="116">
        <v>261.7</v>
      </c>
      <c r="F2664" s="116">
        <v>257.95</v>
      </c>
      <c r="G2664">
        <v>147</v>
      </c>
      <c r="H2664" s="116"/>
      <c r="I2664" s="116"/>
      <c r="L2664" s="170">
        <v>45933</v>
      </c>
      <c r="M2664" s="116">
        <v>263.60000000000002</v>
      </c>
      <c r="N2664" s="116">
        <v>267.5</v>
      </c>
      <c r="O2664" s="116">
        <v>255</v>
      </c>
      <c r="P2664" s="116">
        <v>259.89999999999998</v>
      </c>
      <c r="Q2664" s="116">
        <v>263.60000000000002</v>
      </c>
      <c r="R2664">
        <v>33423</v>
      </c>
    </row>
    <row r="2665" spans="1:18" x14ac:dyDescent="0.25">
      <c r="A2665" s="170">
        <v>45967</v>
      </c>
      <c r="B2665" s="116">
        <v>259.5</v>
      </c>
      <c r="C2665" s="116">
        <v>253.65</v>
      </c>
      <c r="D2665" s="116">
        <v>249.4</v>
      </c>
      <c r="E2665" s="116">
        <v>249.4</v>
      </c>
      <c r="F2665" s="116">
        <v>253.65</v>
      </c>
      <c r="G2665">
        <v>123</v>
      </c>
      <c r="H2665" s="116"/>
      <c r="I2665" s="116"/>
      <c r="L2665" s="170">
        <v>45936</v>
      </c>
      <c r="M2665" s="116">
        <v>264.7</v>
      </c>
      <c r="N2665" s="116">
        <v>267</v>
      </c>
      <c r="O2665" s="116">
        <v>260.3</v>
      </c>
      <c r="P2665" s="116">
        <v>266</v>
      </c>
      <c r="Q2665" s="116">
        <v>264.7</v>
      </c>
      <c r="R2665">
        <v>11028</v>
      </c>
    </row>
    <row r="2666" spans="1:18" x14ac:dyDescent="0.25">
      <c r="A2666" s="170">
        <v>45968</v>
      </c>
      <c r="B2666" s="116">
        <v>254.3</v>
      </c>
      <c r="C2666" s="116">
        <v>252.05</v>
      </c>
      <c r="D2666" s="116">
        <v>251.95</v>
      </c>
      <c r="E2666" s="116">
        <v>254.3</v>
      </c>
      <c r="F2666" s="116">
        <v>252.05</v>
      </c>
      <c r="G2666">
        <v>72</v>
      </c>
      <c r="H2666" s="116"/>
      <c r="I2666" s="116"/>
      <c r="L2666" s="170">
        <v>45937</v>
      </c>
      <c r="M2666" s="116">
        <v>259.7</v>
      </c>
      <c r="N2666" s="116">
        <v>266.89999999999998</v>
      </c>
      <c r="O2666" s="116">
        <v>257.5</v>
      </c>
      <c r="P2666" s="116">
        <v>266.89999999999998</v>
      </c>
      <c r="Q2666" s="116">
        <v>259.7</v>
      </c>
      <c r="R2666">
        <v>16717</v>
      </c>
    </row>
    <row r="2667" spans="1:18" x14ac:dyDescent="0.25">
      <c r="A2667" s="170">
        <v>45971</v>
      </c>
      <c r="B2667" s="116">
        <v>253.4</v>
      </c>
      <c r="C2667" s="116">
        <v>249.55</v>
      </c>
      <c r="D2667" s="116">
        <v>249.55</v>
      </c>
      <c r="E2667" s="116">
        <v>252.05</v>
      </c>
      <c r="F2667" s="116">
        <v>249.55</v>
      </c>
      <c r="G2667">
        <v>102</v>
      </c>
      <c r="H2667" s="116"/>
      <c r="I2667" s="116"/>
      <c r="L2667" s="170">
        <v>45938</v>
      </c>
      <c r="M2667" s="116">
        <v>258.95</v>
      </c>
      <c r="N2667" s="116">
        <v>262</v>
      </c>
      <c r="O2667" s="116">
        <v>257.10000000000002</v>
      </c>
      <c r="P2667" s="116">
        <v>261.10000000000002</v>
      </c>
      <c r="Q2667" s="116">
        <v>258.95</v>
      </c>
      <c r="R2667">
        <v>11043</v>
      </c>
    </row>
    <row r="2668" spans="1:18" x14ac:dyDescent="0.25">
      <c r="A2668" s="170">
        <v>45972</v>
      </c>
      <c r="B2668" s="116">
        <v>252.65</v>
      </c>
      <c r="C2668" s="116">
        <v>249.45</v>
      </c>
      <c r="D2668" s="116">
        <v>247</v>
      </c>
      <c r="E2668" s="116">
        <v>252.65</v>
      </c>
      <c r="F2668" s="116">
        <v>249.45</v>
      </c>
      <c r="G2668">
        <v>134</v>
      </c>
      <c r="H2668" s="116"/>
      <c r="I2668" s="116"/>
      <c r="L2668" s="170">
        <v>45939</v>
      </c>
      <c r="M2668" s="116">
        <v>256.35000000000002</v>
      </c>
      <c r="N2668" s="116">
        <v>261.60000000000002</v>
      </c>
      <c r="O2668" s="116">
        <v>255.05</v>
      </c>
      <c r="P2668" s="116">
        <v>261.60000000000002</v>
      </c>
      <c r="Q2668" s="116">
        <v>256.35000000000002</v>
      </c>
      <c r="R2668">
        <v>6634</v>
      </c>
    </row>
    <row r="2669" spans="1:18" x14ac:dyDescent="0.25">
      <c r="A2669" s="170">
        <v>45973</v>
      </c>
      <c r="B2669" s="116">
        <v>252</v>
      </c>
      <c r="C2669" s="116">
        <v>249.8</v>
      </c>
      <c r="D2669" s="116">
        <v>247.75</v>
      </c>
      <c r="E2669" s="116">
        <v>252</v>
      </c>
      <c r="F2669" s="116">
        <v>249.8</v>
      </c>
      <c r="G2669">
        <v>339</v>
      </c>
      <c r="H2669" s="116"/>
      <c r="I2669" s="116"/>
      <c r="L2669" s="170">
        <v>45940</v>
      </c>
      <c r="M2669" s="116">
        <v>256.85000000000002</v>
      </c>
      <c r="N2669" s="116">
        <v>258.60000000000002</v>
      </c>
      <c r="O2669" s="116">
        <v>254.25</v>
      </c>
      <c r="P2669" s="116">
        <v>257.45</v>
      </c>
      <c r="Q2669" s="116">
        <v>256.85000000000002</v>
      </c>
      <c r="R2669">
        <v>10425</v>
      </c>
    </row>
    <row r="2670" spans="1:18" x14ac:dyDescent="0.25">
      <c r="A2670" s="170">
        <v>45974</v>
      </c>
      <c r="B2670" s="116">
        <v>250.1</v>
      </c>
      <c r="C2670" s="116">
        <v>247.5</v>
      </c>
      <c r="D2670" s="116">
        <v>247</v>
      </c>
      <c r="E2670" s="116">
        <v>249.75</v>
      </c>
      <c r="F2670" s="116">
        <v>247.5</v>
      </c>
      <c r="G2670">
        <v>841</v>
      </c>
      <c r="H2670" s="116"/>
      <c r="I2670" s="116"/>
      <c r="L2670" s="170">
        <v>45943</v>
      </c>
      <c r="M2670" s="116">
        <v>258.55</v>
      </c>
      <c r="N2670" s="116">
        <v>259.85000000000002</v>
      </c>
      <c r="O2670" s="116">
        <v>255.6</v>
      </c>
      <c r="P2670" s="116">
        <v>255.6</v>
      </c>
      <c r="Q2670" s="116">
        <v>258.55</v>
      </c>
      <c r="R2670">
        <v>6841</v>
      </c>
    </row>
    <row r="2671" spans="1:18" x14ac:dyDescent="0.25">
      <c r="A2671" s="170">
        <v>45975</v>
      </c>
      <c r="B2671" s="116">
        <v>258.45</v>
      </c>
      <c r="C2671" s="116">
        <v>257.10000000000002</v>
      </c>
      <c r="D2671" s="116">
        <v>247</v>
      </c>
      <c r="E2671" s="116">
        <v>252.55</v>
      </c>
      <c r="F2671" s="116">
        <v>257.10000000000002</v>
      </c>
      <c r="G2671">
        <v>12945</v>
      </c>
      <c r="H2671" s="116"/>
      <c r="I2671" s="116"/>
      <c r="L2671" s="170">
        <v>45944</v>
      </c>
      <c r="M2671" s="116">
        <v>254.5</v>
      </c>
      <c r="N2671" s="116">
        <v>261.10000000000002</v>
      </c>
      <c r="O2671" s="116">
        <v>252</v>
      </c>
      <c r="P2671" s="116">
        <v>253.65</v>
      </c>
      <c r="Q2671" s="116">
        <v>254.5</v>
      </c>
      <c r="R2671">
        <v>9894</v>
      </c>
    </row>
    <row r="2672" spans="1:18" x14ac:dyDescent="0.25">
      <c r="A2672" s="170">
        <v>45978</v>
      </c>
      <c r="B2672" s="116">
        <v>254.95</v>
      </c>
      <c r="C2672" s="116">
        <v>252</v>
      </c>
      <c r="D2672" s="116">
        <v>249.25</v>
      </c>
      <c r="E2672" s="116">
        <v>254.95</v>
      </c>
      <c r="F2672" s="116">
        <v>252</v>
      </c>
      <c r="G2672">
        <v>861</v>
      </c>
      <c r="H2672" s="116"/>
      <c r="I2672" s="116"/>
      <c r="L2672" s="170">
        <v>45945</v>
      </c>
      <c r="M2672" s="116">
        <v>255.4</v>
      </c>
      <c r="N2672" s="116">
        <v>259.64999999999998</v>
      </c>
      <c r="O2672" s="116">
        <v>252</v>
      </c>
      <c r="P2672" s="116">
        <v>252</v>
      </c>
      <c r="Q2672" s="116">
        <v>255.4</v>
      </c>
      <c r="R2672">
        <v>6502</v>
      </c>
    </row>
    <row r="2673" spans="1:18" x14ac:dyDescent="0.25">
      <c r="A2673" s="170">
        <v>45979</v>
      </c>
      <c r="B2673" s="116">
        <v>253</v>
      </c>
      <c r="C2673" s="116">
        <v>249.6</v>
      </c>
      <c r="D2673" s="116">
        <v>246</v>
      </c>
      <c r="E2673" s="116">
        <v>253</v>
      </c>
      <c r="F2673" s="116">
        <v>249.6</v>
      </c>
      <c r="G2673">
        <v>2970</v>
      </c>
      <c r="H2673" s="116"/>
      <c r="I2673" s="116"/>
      <c r="L2673" s="170">
        <v>45946</v>
      </c>
      <c r="M2673" s="116">
        <v>253.45</v>
      </c>
      <c r="N2673" s="116">
        <v>257.89999999999998</v>
      </c>
      <c r="O2673" s="116">
        <v>251.6</v>
      </c>
      <c r="P2673" s="116">
        <v>255.05</v>
      </c>
      <c r="Q2673" s="116">
        <v>253.45</v>
      </c>
      <c r="R2673">
        <v>8251</v>
      </c>
    </row>
    <row r="2674" spans="1:18" x14ac:dyDescent="0.25">
      <c r="A2674" s="170">
        <v>45980</v>
      </c>
      <c r="B2674" s="116">
        <v>250.45</v>
      </c>
      <c r="C2674" s="116">
        <v>247.15</v>
      </c>
      <c r="D2674" s="116">
        <v>247.15</v>
      </c>
      <c r="E2674" s="116">
        <v>250.45</v>
      </c>
      <c r="F2674" s="116">
        <v>247.15</v>
      </c>
      <c r="G2674">
        <v>6</v>
      </c>
      <c r="H2674" s="116"/>
      <c r="I2674" s="116"/>
      <c r="L2674" s="170">
        <v>45947</v>
      </c>
      <c r="M2674" s="116">
        <v>251.7</v>
      </c>
      <c r="N2674" s="116">
        <v>256</v>
      </c>
      <c r="O2674" s="116">
        <v>250</v>
      </c>
      <c r="P2674" s="116">
        <v>252.05</v>
      </c>
      <c r="Q2674" s="116">
        <v>251.7</v>
      </c>
      <c r="R2674">
        <v>10185</v>
      </c>
    </row>
    <row r="2675" spans="1:18" x14ac:dyDescent="0.25">
      <c r="A2675" s="170">
        <v>45981</v>
      </c>
      <c r="B2675" s="116">
        <v>264.89999999999998</v>
      </c>
      <c r="C2675" s="116">
        <v>248.95</v>
      </c>
      <c r="D2675" s="116">
        <v>247.4</v>
      </c>
      <c r="E2675" s="116">
        <v>264.89999999999998</v>
      </c>
      <c r="F2675" s="116">
        <v>248.95</v>
      </c>
      <c r="G2675">
        <v>103</v>
      </c>
      <c r="H2675" s="116"/>
      <c r="I2675" s="116"/>
      <c r="L2675" s="170">
        <v>45950</v>
      </c>
      <c r="M2675" s="116">
        <v>255.55</v>
      </c>
      <c r="N2675" s="116">
        <v>257.3</v>
      </c>
      <c r="O2675" s="116">
        <v>251.4</v>
      </c>
      <c r="P2675" s="116">
        <v>254.25</v>
      </c>
      <c r="Q2675" s="116">
        <v>255.55</v>
      </c>
      <c r="R2675">
        <v>8056</v>
      </c>
    </row>
    <row r="2676" spans="1:18" x14ac:dyDescent="0.25">
      <c r="A2676" s="170">
        <v>45982</v>
      </c>
      <c r="B2676" s="116">
        <v>249.6</v>
      </c>
      <c r="C2676" s="116">
        <v>246</v>
      </c>
      <c r="D2676" s="116">
        <v>245</v>
      </c>
      <c r="E2676" s="116">
        <v>248.95</v>
      </c>
      <c r="F2676" s="116">
        <v>246</v>
      </c>
      <c r="G2676">
        <v>97</v>
      </c>
      <c r="H2676" s="116"/>
      <c r="I2676" s="116"/>
      <c r="L2676" s="170">
        <v>45951</v>
      </c>
      <c r="M2676" s="116">
        <v>256.05</v>
      </c>
      <c r="N2676" s="116">
        <v>258.3</v>
      </c>
      <c r="O2676" s="116">
        <v>251.4</v>
      </c>
      <c r="P2676" s="116">
        <v>256.05</v>
      </c>
      <c r="Q2676" s="116">
        <v>256.05</v>
      </c>
      <c r="R2676">
        <v>3749</v>
      </c>
    </row>
    <row r="2677" spans="1:18" x14ac:dyDescent="0.25">
      <c r="A2677" s="170">
        <v>45985</v>
      </c>
      <c r="B2677" s="116">
        <v>248.3</v>
      </c>
      <c r="C2677" s="116">
        <v>241.9</v>
      </c>
      <c r="D2677" s="116">
        <v>240</v>
      </c>
      <c r="E2677" s="116">
        <v>240</v>
      </c>
      <c r="F2677" s="116">
        <v>241.9</v>
      </c>
      <c r="G2677">
        <v>511</v>
      </c>
      <c r="H2677" s="116"/>
      <c r="I2677" s="116"/>
      <c r="L2677" s="170">
        <v>45953</v>
      </c>
      <c r="M2677" s="116">
        <v>255.5</v>
      </c>
      <c r="N2677" s="116">
        <v>258.7</v>
      </c>
      <c r="O2677" s="116">
        <v>253</v>
      </c>
      <c r="P2677" s="116">
        <v>258.7</v>
      </c>
      <c r="Q2677" s="116">
        <v>255.5</v>
      </c>
      <c r="R2677">
        <v>16024</v>
      </c>
    </row>
    <row r="2678" spans="1:18" x14ac:dyDescent="0.25">
      <c r="A2678" s="170">
        <v>45986</v>
      </c>
      <c r="B2678" s="116">
        <v>248.6</v>
      </c>
      <c r="C2678" s="116">
        <v>243.8</v>
      </c>
      <c r="D2678" s="116">
        <v>242.35</v>
      </c>
      <c r="E2678" s="116">
        <v>244.8</v>
      </c>
      <c r="F2678" s="116">
        <v>243.8</v>
      </c>
      <c r="G2678">
        <v>104</v>
      </c>
      <c r="H2678" s="116"/>
      <c r="I2678" s="116"/>
      <c r="L2678" s="170">
        <v>45954</v>
      </c>
      <c r="M2678" s="116">
        <v>254.5</v>
      </c>
      <c r="N2678" s="116">
        <v>258.3</v>
      </c>
      <c r="O2678" s="116">
        <v>251.1</v>
      </c>
      <c r="P2678" s="116">
        <v>258.2</v>
      </c>
      <c r="Q2678" s="116">
        <v>254.5</v>
      </c>
      <c r="R2678">
        <v>12382</v>
      </c>
    </row>
    <row r="2679" spans="1:18" x14ac:dyDescent="0.25">
      <c r="A2679" s="170">
        <v>45987</v>
      </c>
      <c r="B2679" s="116">
        <v>247</v>
      </c>
      <c r="C2679" s="116">
        <v>244.2</v>
      </c>
      <c r="D2679" s="116">
        <v>243.8</v>
      </c>
      <c r="E2679" s="116">
        <v>243.8</v>
      </c>
      <c r="F2679" s="116">
        <v>244.2</v>
      </c>
      <c r="G2679">
        <v>223</v>
      </c>
      <c r="H2679" s="116"/>
      <c r="I2679" s="116"/>
      <c r="L2679" s="170">
        <v>45957</v>
      </c>
      <c r="M2679" s="116">
        <v>255.35</v>
      </c>
      <c r="N2679" s="116">
        <v>259.14999999999998</v>
      </c>
      <c r="O2679" s="116">
        <v>251.55</v>
      </c>
      <c r="P2679" s="116">
        <v>257.2</v>
      </c>
      <c r="Q2679" s="116">
        <v>255.35</v>
      </c>
      <c r="R2679">
        <v>27404</v>
      </c>
    </row>
    <row r="2680" spans="1:18" x14ac:dyDescent="0.25">
      <c r="A2680" s="170">
        <v>45988</v>
      </c>
      <c r="B2680" s="116">
        <v>244.8</v>
      </c>
      <c r="C2680" s="116">
        <v>243.85</v>
      </c>
      <c r="D2680" s="116">
        <v>243</v>
      </c>
      <c r="E2680" s="116">
        <v>244.2</v>
      </c>
      <c r="F2680" s="116">
        <v>243.85</v>
      </c>
      <c r="G2680">
        <v>82</v>
      </c>
      <c r="H2680" s="116"/>
      <c r="I2680" s="116"/>
      <c r="L2680" s="170">
        <v>45958</v>
      </c>
      <c r="M2680" s="116">
        <v>252.6</v>
      </c>
      <c r="N2680" s="116">
        <v>256.8</v>
      </c>
      <c r="O2680" s="116">
        <v>251.05</v>
      </c>
      <c r="P2680" s="116">
        <v>256</v>
      </c>
      <c r="Q2680" s="116">
        <v>252.6</v>
      </c>
      <c r="R2680">
        <v>11667</v>
      </c>
    </row>
    <row r="2681" spans="1:18" x14ac:dyDescent="0.25">
      <c r="A2681" s="170">
        <v>45989</v>
      </c>
      <c r="B2681" s="116">
        <v>245.5</v>
      </c>
      <c r="C2681" s="116">
        <v>242.9</v>
      </c>
      <c r="D2681" s="116">
        <v>242.45</v>
      </c>
      <c r="E2681" s="116">
        <v>244.05</v>
      </c>
      <c r="F2681" s="116">
        <v>242.9</v>
      </c>
      <c r="G2681">
        <v>78</v>
      </c>
      <c r="H2681" s="116"/>
      <c r="I2681" s="116"/>
      <c r="L2681" s="170">
        <v>45959</v>
      </c>
      <c r="M2681" s="116">
        <v>253.25</v>
      </c>
      <c r="N2681" s="116">
        <v>255</v>
      </c>
      <c r="O2681" s="116">
        <v>251.3</v>
      </c>
      <c r="P2681" s="116">
        <v>251.3</v>
      </c>
      <c r="Q2681" s="116">
        <v>253.25</v>
      </c>
      <c r="R2681">
        <v>9032</v>
      </c>
    </row>
    <row r="2682" spans="1:18" x14ac:dyDescent="0.25">
      <c r="A2682" s="170">
        <v>45992</v>
      </c>
      <c r="B2682" s="116">
        <v>244.1</v>
      </c>
      <c r="C2682" s="116">
        <v>240.25</v>
      </c>
      <c r="D2682" s="116">
        <v>239.85</v>
      </c>
      <c r="E2682" s="116">
        <v>244</v>
      </c>
      <c r="F2682" s="116">
        <v>240.25</v>
      </c>
      <c r="G2682">
        <v>332</v>
      </c>
      <c r="H2682" s="116"/>
      <c r="I2682" s="116"/>
      <c r="L2682" s="170">
        <v>45960</v>
      </c>
      <c r="M2682" s="116">
        <v>256.25</v>
      </c>
      <c r="N2682" s="116">
        <v>258</v>
      </c>
      <c r="O2682" s="116">
        <v>253.6</v>
      </c>
      <c r="P2682" s="116">
        <v>254.45</v>
      </c>
      <c r="Q2682" s="116">
        <v>256.25</v>
      </c>
      <c r="R2682">
        <v>26403</v>
      </c>
    </row>
    <row r="2683" spans="1:18" x14ac:dyDescent="0.25">
      <c r="A2683" s="170">
        <v>45993</v>
      </c>
      <c r="B2683" s="116">
        <v>247</v>
      </c>
      <c r="C2683" s="116">
        <v>240.1</v>
      </c>
      <c r="D2683" s="116">
        <v>240</v>
      </c>
      <c r="E2683" s="116">
        <v>241.15</v>
      </c>
      <c r="F2683" s="116">
        <v>240.1</v>
      </c>
      <c r="G2683">
        <v>184</v>
      </c>
      <c r="H2683" s="116"/>
      <c r="I2683" s="116"/>
      <c r="L2683" s="170">
        <v>45961</v>
      </c>
      <c r="M2683" s="116">
        <v>255.4</v>
      </c>
      <c r="N2683" s="116">
        <v>257.3</v>
      </c>
      <c r="O2683" s="116">
        <v>254.4</v>
      </c>
      <c r="P2683" s="116">
        <v>256.7</v>
      </c>
      <c r="Q2683" s="116">
        <v>255.4</v>
      </c>
      <c r="R2683">
        <v>3720</v>
      </c>
    </row>
    <row r="2684" spans="1:18" x14ac:dyDescent="0.25">
      <c r="A2684" s="170">
        <v>45994</v>
      </c>
      <c r="B2684" s="116">
        <v>243.25</v>
      </c>
      <c r="C2684" s="116">
        <v>240.1</v>
      </c>
      <c r="D2684" s="116">
        <v>240.1</v>
      </c>
      <c r="E2684" s="116">
        <v>243.25</v>
      </c>
      <c r="F2684" s="116">
        <v>240.1</v>
      </c>
      <c r="G2684">
        <v>42</v>
      </c>
      <c r="H2684" s="116"/>
      <c r="I2684" s="116"/>
      <c r="L2684" s="170">
        <v>45964</v>
      </c>
      <c r="M2684" s="116">
        <v>259.85000000000002</v>
      </c>
      <c r="N2684" s="116">
        <v>263.89999999999998</v>
      </c>
      <c r="O2684" s="116">
        <v>253.4</v>
      </c>
      <c r="P2684" s="116">
        <v>255.4</v>
      </c>
      <c r="Q2684" s="116">
        <v>259.85000000000002</v>
      </c>
      <c r="R2684">
        <v>17640</v>
      </c>
    </row>
    <row r="2685" spans="1:18" x14ac:dyDescent="0.25">
      <c r="A2685" s="170">
        <v>45995</v>
      </c>
      <c r="B2685" s="116">
        <v>241.25</v>
      </c>
      <c r="C2685" s="116">
        <v>237.6</v>
      </c>
      <c r="D2685" s="116">
        <v>236.95</v>
      </c>
      <c r="E2685" s="116">
        <v>240.15</v>
      </c>
      <c r="F2685" s="116">
        <v>237.6</v>
      </c>
      <c r="G2685">
        <v>204</v>
      </c>
      <c r="H2685" s="116"/>
      <c r="I2685" s="116"/>
      <c r="L2685" s="170">
        <v>45965</v>
      </c>
      <c r="M2685" s="116">
        <v>257.39999999999998</v>
      </c>
      <c r="N2685" s="116">
        <v>262.7</v>
      </c>
      <c r="O2685" s="116">
        <v>255.3</v>
      </c>
      <c r="P2685" s="116">
        <v>255.3</v>
      </c>
      <c r="Q2685" s="116">
        <v>257.39999999999998</v>
      </c>
      <c r="R2685">
        <v>10554</v>
      </c>
    </row>
    <row r="2686" spans="1:18" x14ac:dyDescent="0.25">
      <c r="A2686" s="170">
        <v>45996</v>
      </c>
      <c r="B2686" s="116">
        <v>239.3</v>
      </c>
      <c r="C2686" s="116">
        <v>237.15</v>
      </c>
      <c r="D2686" s="116">
        <v>236.45</v>
      </c>
      <c r="E2686" s="116">
        <v>239.3</v>
      </c>
      <c r="F2686" s="116">
        <v>237.15</v>
      </c>
      <c r="G2686">
        <v>42</v>
      </c>
      <c r="H2686" s="116"/>
      <c r="I2686" s="116"/>
      <c r="L2686" s="170">
        <v>45967</v>
      </c>
      <c r="M2686" s="116">
        <v>253.3</v>
      </c>
      <c r="N2686" s="116">
        <v>258</v>
      </c>
      <c r="O2686" s="116">
        <v>251.3</v>
      </c>
      <c r="P2686" s="116">
        <v>254.1</v>
      </c>
      <c r="Q2686" s="116">
        <v>253.3</v>
      </c>
      <c r="R2686">
        <v>21518</v>
      </c>
    </row>
    <row r="2687" spans="1:18" x14ac:dyDescent="0.25">
      <c r="A2687" s="170">
        <v>45999</v>
      </c>
      <c r="B2687" s="116">
        <v>238.1</v>
      </c>
      <c r="C2687" s="116">
        <v>229.55</v>
      </c>
      <c r="D2687" s="116">
        <v>228.6</v>
      </c>
      <c r="E2687" s="116">
        <v>237.05</v>
      </c>
      <c r="F2687" s="116">
        <v>229.55</v>
      </c>
      <c r="G2687">
        <v>2366</v>
      </c>
      <c r="H2687" s="116"/>
      <c r="I2687" s="116"/>
      <c r="L2687" s="170">
        <v>45968</v>
      </c>
      <c r="M2687" s="116">
        <v>251.85</v>
      </c>
      <c r="N2687" s="116">
        <v>255.4</v>
      </c>
      <c r="O2687" s="116">
        <v>251.3</v>
      </c>
      <c r="P2687" s="116">
        <v>255.15</v>
      </c>
      <c r="Q2687" s="116">
        <v>251.85</v>
      </c>
      <c r="R2687">
        <v>14690</v>
      </c>
    </row>
    <row r="2688" spans="1:18" x14ac:dyDescent="0.25">
      <c r="A2688" s="170">
        <v>46000</v>
      </c>
      <c r="B2688" s="116">
        <v>231.65</v>
      </c>
      <c r="C2688" s="116">
        <v>228.8</v>
      </c>
      <c r="D2688" s="116">
        <v>227.1</v>
      </c>
      <c r="E2688" s="116">
        <v>228.8</v>
      </c>
      <c r="F2688" s="116">
        <v>228.8</v>
      </c>
      <c r="G2688">
        <v>331</v>
      </c>
      <c r="H2688" s="116"/>
      <c r="I2688" s="116"/>
      <c r="L2688" s="170">
        <v>45971</v>
      </c>
      <c r="M2688" s="116">
        <v>250.5</v>
      </c>
      <c r="N2688" s="116">
        <v>253.65</v>
      </c>
      <c r="O2688" s="116">
        <v>250</v>
      </c>
      <c r="P2688" s="116">
        <v>253</v>
      </c>
      <c r="Q2688" s="116">
        <v>250.5</v>
      </c>
      <c r="R2688">
        <v>5984</v>
      </c>
    </row>
    <row r="2689" spans="1:18" x14ac:dyDescent="0.25">
      <c r="A2689" s="170">
        <v>46001</v>
      </c>
      <c r="B2689" s="116">
        <v>233.15</v>
      </c>
      <c r="C2689" s="116">
        <v>233.05</v>
      </c>
      <c r="D2689" s="116">
        <v>231</v>
      </c>
      <c r="E2689" s="116">
        <v>231.05</v>
      </c>
      <c r="F2689" s="116">
        <v>233.05</v>
      </c>
      <c r="G2689">
        <v>176</v>
      </c>
      <c r="H2689" s="116"/>
      <c r="I2689" s="116"/>
      <c r="L2689" s="170">
        <v>45972</v>
      </c>
      <c r="M2689" s="116">
        <v>247.55</v>
      </c>
      <c r="N2689" s="116">
        <v>253.1</v>
      </c>
      <c r="O2689" s="116">
        <v>246.9</v>
      </c>
      <c r="P2689" s="116">
        <v>253.1</v>
      </c>
      <c r="Q2689" s="116">
        <v>247.55</v>
      </c>
      <c r="R2689">
        <v>21461</v>
      </c>
    </row>
    <row r="2690" spans="1:18" x14ac:dyDescent="0.25">
      <c r="A2690" s="170">
        <v>46002</v>
      </c>
      <c r="B2690" s="116">
        <v>239.55</v>
      </c>
      <c r="C2690" s="116">
        <v>239.55</v>
      </c>
      <c r="D2690" s="116">
        <v>231.8</v>
      </c>
      <c r="E2690" s="116">
        <v>232.35</v>
      </c>
      <c r="F2690" s="116">
        <v>239.55</v>
      </c>
      <c r="G2690">
        <v>548</v>
      </c>
      <c r="H2690" s="116"/>
      <c r="I2690" s="116"/>
      <c r="L2690" s="170">
        <v>45973</v>
      </c>
      <c r="M2690" s="116">
        <v>248.7</v>
      </c>
      <c r="N2690" s="116">
        <v>253</v>
      </c>
      <c r="O2690" s="116">
        <v>248</v>
      </c>
      <c r="P2690" s="116">
        <v>249.9</v>
      </c>
      <c r="Q2690" s="116">
        <v>248.7</v>
      </c>
      <c r="R2690">
        <v>16076</v>
      </c>
    </row>
    <row r="2691" spans="1:18" x14ac:dyDescent="0.25">
      <c r="A2691" s="170">
        <v>46003</v>
      </c>
      <c r="B2691" s="116">
        <v>242.65</v>
      </c>
      <c r="C2691" s="116">
        <v>242</v>
      </c>
      <c r="D2691" s="116">
        <v>233</v>
      </c>
      <c r="E2691" s="116">
        <v>241.3</v>
      </c>
      <c r="F2691" s="116">
        <v>242</v>
      </c>
      <c r="G2691">
        <v>3405</v>
      </c>
      <c r="H2691" s="116"/>
      <c r="I2691" s="116"/>
      <c r="L2691" s="170">
        <v>45974</v>
      </c>
      <c r="M2691" s="116">
        <v>247.65</v>
      </c>
      <c r="N2691" s="116">
        <v>250.25</v>
      </c>
      <c r="O2691" s="116">
        <v>246.1</v>
      </c>
      <c r="P2691" s="116">
        <v>249.4</v>
      </c>
      <c r="Q2691" s="116">
        <v>247.65</v>
      </c>
      <c r="R2691">
        <v>9625</v>
      </c>
    </row>
    <row r="2692" spans="1:18" x14ac:dyDescent="0.25">
      <c r="A2692" s="170">
        <v>46006</v>
      </c>
      <c r="B2692" s="116">
        <v>247.7</v>
      </c>
      <c r="C2692" s="116">
        <v>245.95</v>
      </c>
      <c r="D2692" s="116">
        <v>237.55</v>
      </c>
      <c r="E2692" s="116">
        <v>243.85</v>
      </c>
      <c r="F2692" s="116">
        <v>245.95</v>
      </c>
      <c r="G2692">
        <v>833</v>
      </c>
      <c r="H2692" s="116"/>
      <c r="I2692" s="116"/>
      <c r="L2692" s="170">
        <v>45975</v>
      </c>
      <c r="M2692" s="116">
        <v>256.75</v>
      </c>
      <c r="N2692" s="116">
        <v>258.60000000000002</v>
      </c>
      <c r="O2692" s="116">
        <v>246.2</v>
      </c>
      <c r="P2692" s="116">
        <v>246.2</v>
      </c>
      <c r="Q2692" s="116">
        <v>256.75</v>
      </c>
      <c r="R2692">
        <v>89175</v>
      </c>
    </row>
    <row r="2693" spans="1:18" x14ac:dyDescent="0.25">
      <c r="A2693" s="170">
        <v>46007</v>
      </c>
      <c r="B2693" s="116">
        <v>246.35</v>
      </c>
      <c r="C2693" s="116">
        <v>244.8</v>
      </c>
      <c r="D2693" s="116">
        <v>242.05</v>
      </c>
      <c r="E2693" s="116">
        <v>243.2</v>
      </c>
      <c r="F2693" s="116">
        <v>244.8</v>
      </c>
      <c r="G2693">
        <v>416</v>
      </c>
      <c r="H2693" s="116"/>
      <c r="I2693" s="116"/>
      <c r="L2693" s="170">
        <v>45978</v>
      </c>
      <c r="M2693" s="116">
        <v>253.05</v>
      </c>
      <c r="N2693" s="116">
        <v>257</v>
      </c>
      <c r="O2693" s="116">
        <v>250.05</v>
      </c>
      <c r="P2693" s="116">
        <v>257</v>
      </c>
      <c r="Q2693" s="116">
        <v>253.05</v>
      </c>
      <c r="R2693">
        <v>12576</v>
      </c>
    </row>
    <row r="2694" spans="1:18" x14ac:dyDescent="0.25">
      <c r="A2694" s="170">
        <v>46008</v>
      </c>
      <c r="B2694" s="116">
        <v>246.35</v>
      </c>
      <c r="C2694" s="116">
        <v>238.2</v>
      </c>
      <c r="D2694" s="116">
        <v>235.3</v>
      </c>
      <c r="E2694" s="116">
        <v>242.2</v>
      </c>
      <c r="F2694" s="116">
        <v>238.2</v>
      </c>
      <c r="G2694">
        <v>129</v>
      </c>
      <c r="H2694" s="116"/>
      <c r="I2694" s="116"/>
      <c r="L2694" s="170">
        <v>45979</v>
      </c>
      <c r="M2694" s="116">
        <v>248.95</v>
      </c>
      <c r="N2694" s="116">
        <v>253.3</v>
      </c>
      <c r="O2694" s="116">
        <v>246</v>
      </c>
      <c r="P2694" s="116">
        <v>250.25</v>
      </c>
      <c r="Q2694" s="116">
        <v>248.95</v>
      </c>
      <c r="R2694">
        <v>15001</v>
      </c>
    </row>
    <row r="2695" spans="1:18" x14ac:dyDescent="0.25">
      <c r="A2695" s="170">
        <v>46009</v>
      </c>
      <c r="B2695" s="116">
        <v>242.75</v>
      </c>
      <c r="C2695" s="116">
        <v>233.6</v>
      </c>
      <c r="D2695" s="116">
        <v>232.9</v>
      </c>
      <c r="E2695" s="116">
        <v>242.75</v>
      </c>
      <c r="F2695" s="116">
        <v>233.6</v>
      </c>
      <c r="G2695">
        <v>331</v>
      </c>
      <c r="H2695" s="116"/>
      <c r="I2695" s="116"/>
      <c r="L2695" s="170">
        <v>45980</v>
      </c>
      <c r="M2695" s="116">
        <v>246.95</v>
      </c>
      <c r="N2695" s="116">
        <v>251</v>
      </c>
      <c r="O2695" s="116">
        <v>246.75</v>
      </c>
      <c r="P2695" s="116">
        <v>250.3</v>
      </c>
      <c r="Q2695" s="116">
        <v>246.95</v>
      </c>
      <c r="R2695">
        <v>11693</v>
      </c>
    </row>
    <row r="2696" spans="1:18" x14ac:dyDescent="0.25">
      <c r="A2696" s="170">
        <v>46010</v>
      </c>
      <c r="B2696" s="116">
        <v>239.05</v>
      </c>
      <c r="C2696" s="116">
        <v>238.85</v>
      </c>
      <c r="D2696" s="116">
        <v>234.4</v>
      </c>
      <c r="E2696" s="116">
        <v>235.1</v>
      </c>
      <c r="F2696" s="116">
        <v>238.85</v>
      </c>
      <c r="G2696">
        <v>614</v>
      </c>
      <c r="H2696" s="116"/>
      <c r="I2696" s="116"/>
      <c r="L2696" s="170">
        <v>45981</v>
      </c>
      <c r="M2696" s="116">
        <v>247.95</v>
      </c>
      <c r="N2696" s="116">
        <v>250.3</v>
      </c>
      <c r="O2696" s="116">
        <v>247.4</v>
      </c>
      <c r="P2696" s="116">
        <v>248.95</v>
      </c>
      <c r="Q2696" s="116">
        <v>247.95</v>
      </c>
      <c r="R2696">
        <v>4537</v>
      </c>
    </row>
    <row r="2697" spans="1:18" x14ac:dyDescent="0.25">
      <c r="A2697" s="170">
        <v>46013</v>
      </c>
      <c r="B2697" s="116">
        <v>243.45</v>
      </c>
      <c r="C2697" s="116">
        <v>242.25</v>
      </c>
      <c r="D2697" s="116">
        <v>239.15</v>
      </c>
      <c r="E2697" s="116">
        <v>240.2</v>
      </c>
      <c r="F2697" s="116">
        <v>242.25</v>
      </c>
      <c r="G2697">
        <v>1128</v>
      </c>
      <c r="H2697" s="116"/>
      <c r="I2697" s="116"/>
      <c r="L2697" s="170">
        <v>45982</v>
      </c>
      <c r="M2697" s="116">
        <v>245.45</v>
      </c>
      <c r="N2697" s="116">
        <v>249.2</v>
      </c>
      <c r="O2697" s="116">
        <v>244.5</v>
      </c>
      <c r="P2697" s="116">
        <v>247</v>
      </c>
      <c r="Q2697" s="116">
        <v>245.45</v>
      </c>
      <c r="R2697">
        <v>10534</v>
      </c>
    </row>
    <row r="2698" spans="1:18" x14ac:dyDescent="0.25">
      <c r="A2698" s="170">
        <v>46014</v>
      </c>
      <c r="B2698" s="116">
        <v>244.9</v>
      </c>
      <c r="C2698" s="116">
        <v>242.8</v>
      </c>
      <c r="D2698" s="116">
        <v>239.95</v>
      </c>
      <c r="E2698" s="116">
        <v>239.95</v>
      </c>
      <c r="F2698" s="116">
        <v>242.8</v>
      </c>
      <c r="G2698">
        <v>42</v>
      </c>
      <c r="H2698" s="116"/>
      <c r="I2698" s="116"/>
      <c r="L2698" s="170">
        <v>45985</v>
      </c>
      <c r="M2698" s="116">
        <v>244.05</v>
      </c>
      <c r="N2698" s="116">
        <v>250</v>
      </c>
      <c r="O2698" s="116">
        <v>241.1</v>
      </c>
      <c r="P2698" s="116">
        <v>241.1</v>
      </c>
      <c r="Q2698" s="116">
        <v>244.05</v>
      </c>
      <c r="R2698">
        <v>8647</v>
      </c>
    </row>
    <row r="2699" spans="1:18" x14ac:dyDescent="0.25">
      <c r="A2699" s="170">
        <v>46015</v>
      </c>
      <c r="B2699" s="116">
        <v>245.1</v>
      </c>
      <c r="C2699" s="116">
        <v>243.95</v>
      </c>
      <c r="D2699" s="116">
        <v>241.8</v>
      </c>
      <c r="E2699" s="116">
        <v>245.1</v>
      </c>
      <c r="F2699" s="116">
        <v>243.95</v>
      </c>
      <c r="G2699">
        <v>237</v>
      </c>
      <c r="H2699" s="116"/>
      <c r="I2699" s="116"/>
      <c r="L2699" s="170">
        <v>45986</v>
      </c>
      <c r="M2699" s="116">
        <v>244.25</v>
      </c>
      <c r="N2699" s="116">
        <v>249.9</v>
      </c>
      <c r="O2699" s="116">
        <v>241.6</v>
      </c>
      <c r="P2699" s="116">
        <v>241.6</v>
      </c>
      <c r="Q2699" s="116">
        <v>244.25</v>
      </c>
      <c r="R2699">
        <v>16828</v>
      </c>
    </row>
    <row r="2700" spans="1:18" x14ac:dyDescent="0.25">
      <c r="A2700" s="170">
        <v>46017</v>
      </c>
      <c r="B2700" s="116">
        <v>244.8</v>
      </c>
      <c r="C2700" s="116">
        <v>240.05</v>
      </c>
      <c r="D2700" s="116">
        <v>238.6</v>
      </c>
      <c r="E2700" s="116">
        <v>243.1</v>
      </c>
      <c r="F2700" s="116">
        <v>240.05</v>
      </c>
      <c r="G2700">
        <v>112</v>
      </c>
      <c r="H2700" s="116"/>
      <c r="I2700" s="116"/>
      <c r="L2700" s="170">
        <v>45987</v>
      </c>
      <c r="M2700" s="116">
        <v>245.4</v>
      </c>
      <c r="N2700" s="116">
        <v>248.75</v>
      </c>
      <c r="O2700" s="116">
        <v>243.35</v>
      </c>
      <c r="P2700" s="116">
        <v>244.25</v>
      </c>
      <c r="Q2700" s="116">
        <v>245.4</v>
      </c>
      <c r="R2700">
        <v>17583</v>
      </c>
    </row>
    <row r="2701" spans="1:18" x14ac:dyDescent="0.25">
      <c r="A2701" s="170">
        <v>46020</v>
      </c>
      <c r="B2701" s="116">
        <v>241.5</v>
      </c>
      <c r="C2701" s="116">
        <v>234.75</v>
      </c>
      <c r="D2701" s="116">
        <v>234.7</v>
      </c>
      <c r="E2701" s="116">
        <v>241.5</v>
      </c>
      <c r="F2701" s="116">
        <v>234.75</v>
      </c>
      <c r="G2701">
        <v>292</v>
      </c>
      <c r="H2701" s="116"/>
      <c r="I2701" s="116"/>
      <c r="L2701" s="170">
        <v>45988</v>
      </c>
      <c r="M2701" s="116">
        <v>244.15</v>
      </c>
      <c r="N2701" s="116">
        <v>248</v>
      </c>
      <c r="O2701" s="116">
        <v>242.8</v>
      </c>
      <c r="P2701" s="116">
        <v>243</v>
      </c>
      <c r="Q2701" s="116">
        <v>244.15</v>
      </c>
      <c r="R2701">
        <v>10653</v>
      </c>
    </row>
    <row r="2702" spans="1:18" x14ac:dyDescent="0.25">
      <c r="A2702" s="170">
        <v>46021</v>
      </c>
      <c r="B2702" s="116">
        <v>240.7</v>
      </c>
      <c r="C2702" s="116">
        <v>237.7</v>
      </c>
      <c r="D2702" s="116">
        <v>234.5</v>
      </c>
      <c r="E2702" s="116">
        <v>238.15</v>
      </c>
      <c r="F2702" s="116">
        <v>237.7</v>
      </c>
      <c r="G2702">
        <v>117</v>
      </c>
      <c r="H2702" s="116"/>
      <c r="I2702" s="116"/>
      <c r="L2702" s="170">
        <v>45989</v>
      </c>
      <c r="M2702" s="116">
        <v>242.7</v>
      </c>
      <c r="N2702" s="116">
        <v>246.5</v>
      </c>
      <c r="O2702" s="116">
        <v>242.1</v>
      </c>
      <c r="P2702" s="116">
        <v>245.7</v>
      </c>
      <c r="Q2702" s="116">
        <v>242.7</v>
      </c>
      <c r="R2702">
        <v>5115</v>
      </c>
    </row>
    <row r="2703" spans="1:18" x14ac:dyDescent="0.25">
      <c r="A2703" s="170">
        <v>46022</v>
      </c>
      <c r="B2703" s="116">
        <v>240.75</v>
      </c>
      <c r="C2703" s="116">
        <v>235.45</v>
      </c>
      <c r="D2703" s="116">
        <v>233.95</v>
      </c>
      <c r="E2703" s="116">
        <v>236.95</v>
      </c>
      <c r="F2703" s="116">
        <v>235.45</v>
      </c>
      <c r="G2703">
        <v>2718</v>
      </c>
      <c r="H2703" s="116"/>
      <c r="I2703" s="116"/>
      <c r="L2703" s="170">
        <v>45992</v>
      </c>
      <c r="M2703" s="116">
        <v>240.13</v>
      </c>
      <c r="N2703" s="116">
        <v>244.78</v>
      </c>
      <c r="O2703" s="116">
        <v>239.1</v>
      </c>
      <c r="P2703" s="116">
        <v>242.7</v>
      </c>
      <c r="Q2703" s="116">
        <v>240.13</v>
      </c>
      <c r="R2703">
        <v>10978</v>
      </c>
    </row>
    <row r="2704" spans="1:18" x14ac:dyDescent="0.25">
      <c r="A2704" s="170">
        <v>46023</v>
      </c>
      <c r="B2704" s="116">
        <v>237.95</v>
      </c>
      <c r="C2704" s="116">
        <v>237</v>
      </c>
      <c r="D2704" s="116">
        <v>236</v>
      </c>
      <c r="E2704" s="116">
        <v>236.1</v>
      </c>
      <c r="F2704" s="116">
        <v>237</v>
      </c>
      <c r="G2704">
        <v>215</v>
      </c>
      <c r="H2704" s="116"/>
      <c r="I2704" s="116"/>
      <c r="L2704" s="170">
        <v>45993</v>
      </c>
      <c r="M2704" s="116">
        <v>241.47</v>
      </c>
      <c r="N2704" s="116">
        <v>247</v>
      </c>
      <c r="O2704" s="116">
        <v>239.1</v>
      </c>
      <c r="P2704" s="116">
        <v>240.13</v>
      </c>
      <c r="Q2704" s="116">
        <v>241.47</v>
      </c>
      <c r="R2704">
        <v>9846</v>
      </c>
    </row>
    <row r="2705" spans="1:18" x14ac:dyDescent="0.25">
      <c r="A2705" s="170">
        <v>46024</v>
      </c>
      <c r="B2705" s="116">
        <v>240.5</v>
      </c>
      <c r="C2705" s="116">
        <v>240</v>
      </c>
      <c r="D2705" s="116">
        <v>237.15</v>
      </c>
      <c r="E2705" s="116">
        <v>240.5</v>
      </c>
      <c r="F2705" s="116">
        <v>240</v>
      </c>
      <c r="G2705">
        <v>220</v>
      </c>
      <c r="H2705" s="116"/>
      <c r="I2705" s="116"/>
      <c r="L2705" s="170">
        <v>45994</v>
      </c>
      <c r="M2705" s="116">
        <v>240.24</v>
      </c>
      <c r="N2705" s="116">
        <v>243.9</v>
      </c>
      <c r="O2705" s="116">
        <v>239</v>
      </c>
      <c r="P2705" s="116">
        <v>243.9</v>
      </c>
      <c r="Q2705" s="116">
        <v>240.24</v>
      </c>
      <c r="R2705">
        <v>3742</v>
      </c>
    </row>
    <row r="2706" spans="1:18" x14ac:dyDescent="0.25">
      <c r="A2706" s="170">
        <v>46027</v>
      </c>
      <c r="B2706" s="116">
        <v>241.35</v>
      </c>
      <c r="C2706" s="116">
        <v>235.95</v>
      </c>
      <c r="D2706" s="116">
        <v>235.25</v>
      </c>
      <c r="E2706" s="116">
        <v>238.95</v>
      </c>
      <c r="F2706" s="116">
        <v>235.95</v>
      </c>
      <c r="G2706">
        <v>343</v>
      </c>
      <c r="H2706" s="116"/>
      <c r="I2706" s="116"/>
      <c r="L2706" s="170">
        <v>45995</v>
      </c>
      <c r="M2706" s="116">
        <v>237.9</v>
      </c>
      <c r="N2706" s="116">
        <v>242.3</v>
      </c>
      <c r="O2706" s="116">
        <v>237.24</v>
      </c>
      <c r="P2706" s="116">
        <v>238.01</v>
      </c>
      <c r="Q2706" s="116">
        <v>237.9</v>
      </c>
      <c r="R2706">
        <v>9404</v>
      </c>
    </row>
    <row r="2707" spans="1:18" x14ac:dyDescent="0.25">
      <c r="A2707" s="170">
        <v>46028</v>
      </c>
      <c r="B2707" s="116">
        <v>273.89999999999998</v>
      </c>
      <c r="C2707" s="116">
        <v>234.05</v>
      </c>
      <c r="D2707" s="116">
        <v>232.85</v>
      </c>
      <c r="E2707" s="116">
        <v>232.85</v>
      </c>
      <c r="F2707" s="116">
        <v>234.05</v>
      </c>
      <c r="G2707">
        <v>102</v>
      </c>
      <c r="H2707" s="116"/>
      <c r="I2707" s="116"/>
      <c r="L2707" s="170">
        <v>45996</v>
      </c>
      <c r="M2707" s="116">
        <v>238.1</v>
      </c>
      <c r="N2707" s="116">
        <v>240.6</v>
      </c>
      <c r="O2707" s="116">
        <v>237.01</v>
      </c>
      <c r="P2707" s="116">
        <v>239.01</v>
      </c>
      <c r="Q2707" s="116">
        <v>238.1</v>
      </c>
      <c r="R2707">
        <v>7812</v>
      </c>
    </row>
    <row r="2708" spans="1:18" x14ac:dyDescent="0.25">
      <c r="A2708" s="170">
        <v>46029</v>
      </c>
      <c r="B2708" s="116">
        <v>238.45</v>
      </c>
      <c r="C2708" s="116">
        <v>238.45</v>
      </c>
      <c r="D2708" s="116">
        <v>235.6</v>
      </c>
      <c r="E2708" s="116">
        <v>237.15</v>
      </c>
      <c r="F2708" s="116">
        <v>238.45</v>
      </c>
      <c r="G2708">
        <v>173</v>
      </c>
      <c r="H2708" s="116"/>
      <c r="I2708" s="116"/>
      <c r="L2708" s="170">
        <v>45999</v>
      </c>
      <c r="M2708" s="116">
        <v>229.98</v>
      </c>
      <c r="N2708" s="116">
        <v>240.04</v>
      </c>
      <c r="O2708" s="116">
        <v>228.3</v>
      </c>
      <c r="P2708" s="116">
        <v>237.99</v>
      </c>
      <c r="Q2708" s="116">
        <v>229.98</v>
      </c>
      <c r="R2708">
        <v>45614</v>
      </c>
    </row>
    <row r="2709" spans="1:18" x14ac:dyDescent="0.25">
      <c r="A2709" s="170">
        <v>46030</v>
      </c>
      <c r="B2709">
        <v>238.45</v>
      </c>
      <c r="C2709">
        <v>232.3</v>
      </c>
      <c r="D2709">
        <v>230.5</v>
      </c>
      <c r="E2709">
        <v>238.45</v>
      </c>
      <c r="F2709">
        <v>232.3</v>
      </c>
      <c r="G2709">
        <v>425</v>
      </c>
      <c r="H2709" s="116"/>
      <c r="I2709" s="116"/>
      <c r="L2709" s="170">
        <v>46000</v>
      </c>
      <c r="M2709" s="116">
        <v>229.58</v>
      </c>
      <c r="N2709" s="116">
        <v>231</v>
      </c>
      <c r="O2709" s="116">
        <v>226.19</v>
      </c>
      <c r="P2709" s="116">
        <v>230</v>
      </c>
      <c r="Q2709" s="116">
        <v>229.58</v>
      </c>
      <c r="R2709">
        <v>10310</v>
      </c>
    </row>
    <row r="2710" spans="1:18" x14ac:dyDescent="0.25">
      <c r="A2710" s="170">
        <v>46031</v>
      </c>
      <c r="B2710">
        <v>233.2</v>
      </c>
      <c r="C2710">
        <v>230.75</v>
      </c>
      <c r="D2710">
        <v>229.35</v>
      </c>
      <c r="E2710">
        <v>230.95</v>
      </c>
      <c r="F2710">
        <v>230.75</v>
      </c>
      <c r="G2710">
        <v>170</v>
      </c>
      <c r="H2710" s="116"/>
      <c r="I2710" s="116"/>
      <c r="L2710" s="170">
        <v>46001</v>
      </c>
      <c r="M2710" s="116">
        <v>232.7</v>
      </c>
      <c r="N2710" s="116">
        <v>234.11</v>
      </c>
      <c r="O2710" s="116">
        <v>229.5</v>
      </c>
      <c r="P2710" s="116">
        <v>229.5</v>
      </c>
      <c r="Q2710" s="116">
        <v>232.7</v>
      </c>
      <c r="R2710">
        <v>10176</v>
      </c>
    </row>
    <row r="2711" spans="1:18" x14ac:dyDescent="0.25">
      <c r="A2711" s="170">
        <v>46034</v>
      </c>
      <c r="B2711">
        <v>242</v>
      </c>
      <c r="C2711">
        <v>238.5</v>
      </c>
      <c r="D2711">
        <v>227</v>
      </c>
      <c r="E2711">
        <v>230.75</v>
      </c>
      <c r="F2711">
        <v>238.5</v>
      </c>
      <c r="G2711">
        <v>159</v>
      </c>
      <c r="H2711" s="116"/>
      <c r="I2711" s="116"/>
      <c r="L2711" s="170">
        <v>46002</v>
      </c>
      <c r="M2711" s="116">
        <v>241.66</v>
      </c>
      <c r="N2711" s="116">
        <v>243</v>
      </c>
      <c r="O2711" s="116">
        <v>230.1</v>
      </c>
      <c r="P2711" s="116">
        <v>230.1</v>
      </c>
      <c r="Q2711" s="116">
        <v>241.66</v>
      </c>
      <c r="R2711">
        <v>32432</v>
      </c>
    </row>
    <row r="2712" spans="1:18" x14ac:dyDescent="0.25">
      <c r="A2712" s="170">
        <v>46035</v>
      </c>
      <c r="B2712">
        <v>256.2</v>
      </c>
      <c r="C2712">
        <v>234.05</v>
      </c>
      <c r="D2712">
        <v>234.05</v>
      </c>
      <c r="E2712">
        <v>256.2</v>
      </c>
      <c r="F2712">
        <v>234.05</v>
      </c>
      <c r="G2712">
        <v>89</v>
      </c>
      <c r="H2712" s="116"/>
      <c r="I2712" s="116"/>
      <c r="L2712" s="170">
        <v>46003</v>
      </c>
      <c r="M2712" s="116">
        <v>241.64</v>
      </c>
      <c r="N2712" s="116">
        <v>242.93</v>
      </c>
      <c r="O2712" s="116">
        <v>233.2</v>
      </c>
      <c r="P2712" s="116">
        <v>242.08</v>
      </c>
      <c r="Q2712" s="116">
        <v>241.64</v>
      </c>
      <c r="R2712">
        <v>43091</v>
      </c>
    </row>
    <row r="2713" spans="1:18" x14ac:dyDescent="0.25">
      <c r="A2713" s="170">
        <v>46036</v>
      </c>
      <c r="B2713">
        <v>240.2</v>
      </c>
      <c r="C2713">
        <v>230.45</v>
      </c>
      <c r="D2713">
        <v>229.9</v>
      </c>
      <c r="E2713">
        <v>234</v>
      </c>
      <c r="F2713">
        <v>230.45</v>
      </c>
      <c r="G2713">
        <v>511</v>
      </c>
      <c r="H2713" s="116"/>
      <c r="I2713" s="116"/>
      <c r="L2713" s="170">
        <v>46006</v>
      </c>
      <c r="M2713" s="116">
        <v>245.72</v>
      </c>
      <c r="N2713" s="116">
        <v>248.01</v>
      </c>
      <c r="O2713" s="116">
        <v>237.34</v>
      </c>
      <c r="P2713" s="116">
        <v>241.64</v>
      </c>
      <c r="Q2713" s="116">
        <v>245.72</v>
      </c>
      <c r="R2713">
        <v>24564</v>
      </c>
    </row>
    <row r="2714" spans="1:18" x14ac:dyDescent="0.25">
      <c r="A2714" s="170">
        <v>46038</v>
      </c>
      <c r="B2714">
        <v>231.8</v>
      </c>
      <c r="C2714">
        <v>228.65</v>
      </c>
      <c r="D2714">
        <v>228.2</v>
      </c>
      <c r="E2714">
        <v>230</v>
      </c>
      <c r="F2714">
        <v>228.65</v>
      </c>
      <c r="G2714">
        <v>370</v>
      </c>
      <c r="H2714" s="116"/>
      <c r="I2714" s="116"/>
      <c r="L2714" s="170">
        <v>46007</v>
      </c>
      <c r="M2714" s="116">
        <v>242.61</v>
      </c>
      <c r="N2714" s="116">
        <v>248.3</v>
      </c>
      <c r="O2714" s="116">
        <v>242</v>
      </c>
      <c r="P2714" s="116">
        <v>243.01</v>
      </c>
      <c r="Q2714" s="116">
        <v>242.61</v>
      </c>
      <c r="R2714">
        <v>5977</v>
      </c>
    </row>
    <row r="2715" spans="1:18" x14ac:dyDescent="0.25">
      <c r="A2715" s="170">
        <v>46041</v>
      </c>
      <c r="B2715">
        <v>230.9</v>
      </c>
      <c r="C2715">
        <v>230.7</v>
      </c>
      <c r="D2715">
        <v>228</v>
      </c>
      <c r="E2715">
        <v>228</v>
      </c>
      <c r="F2715">
        <v>230.7</v>
      </c>
      <c r="G2715">
        <v>145</v>
      </c>
      <c r="H2715" s="116"/>
      <c r="I2715" s="116"/>
      <c r="L2715" s="170">
        <v>46008</v>
      </c>
      <c r="M2715" s="116">
        <v>237.39</v>
      </c>
      <c r="N2715" s="116">
        <v>247.85</v>
      </c>
      <c r="O2715" s="116">
        <v>236.02</v>
      </c>
      <c r="P2715" s="116">
        <v>242</v>
      </c>
      <c r="Q2715" s="116">
        <v>237.39</v>
      </c>
      <c r="R2715">
        <v>8085</v>
      </c>
    </row>
    <row r="2716" spans="1:18" x14ac:dyDescent="0.25">
      <c r="A2716" s="170">
        <v>46042</v>
      </c>
      <c r="B2716">
        <v>230.85</v>
      </c>
      <c r="C2716">
        <v>225.05</v>
      </c>
      <c r="D2716">
        <v>224.55</v>
      </c>
      <c r="E2716">
        <v>230.85</v>
      </c>
      <c r="F2716">
        <v>225.05</v>
      </c>
      <c r="G2716">
        <v>214</v>
      </c>
      <c r="H2716" s="116"/>
      <c r="I2716" s="116"/>
      <c r="L2716" s="170">
        <v>46009</v>
      </c>
      <c r="M2716" s="116">
        <v>233.73</v>
      </c>
      <c r="N2716" s="116">
        <v>243.97</v>
      </c>
      <c r="O2716" s="116">
        <v>232.87</v>
      </c>
      <c r="P2716" s="116">
        <v>239.8</v>
      </c>
      <c r="Q2716" s="116">
        <v>233.73</v>
      </c>
      <c r="R2716">
        <v>7825</v>
      </c>
    </row>
    <row r="2717" spans="1:18" x14ac:dyDescent="0.25">
      <c r="A2717" s="170">
        <v>46043</v>
      </c>
      <c r="B2717">
        <v>226.95</v>
      </c>
      <c r="C2717">
        <v>220.9</v>
      </c>
      <c r="D2717">
        <v>219.6</v>
      </c>
      <c r="E2717">
        <v>226.95</v>
      </c>
      <c r="F2717">
        <v>220.9</v>
      </c>
      <c r="G2717">
        <v>674</v>
      </c>
      <c r="H2717" s="116"/>
      <c r="I2717" s="116"/>
      <c r="L2717" s="170">
        <v>46010</v>
      </c>
      <c r="M2717" s="116">
        <v>238.73</v>
      </c>
      <c r="N2717" s="116">
        <v>241.3</v>
      </c>
      <c r="O2717" s="116">
        <v>233.42</v>
      </c>
      <c r="P2717" s="116">
        <v>235</v>
      </c>
      <c r="Q2717" s="116">
        <v>238.73</v>
      </c>
      <c r="R2717">
        <v>5630</v>
      </c>
    </row>
    <row r="2718" spans="1:18" x14ac:dyDescent="0.25">
      <c r="A2718" s="170">
        <v>46044</v>
      </c>
      <c r="B2718">
        <v>228.65</v>
      </c>
      <c r="C2718">
        <v>227.15</v>
      </c>
      <c r="D2718">
        <v>222.95</v>
      </c>
      <c r="E2718">
        <v>226.2</v>
      </c>
      <c r="F2718">
        <v>227.15</v>
      </c>
      <c r="G2718">
        <v>402</v>
      </c>
      <c r="H2718" s="116"/>
      <c r="I2718" s="116"/>
      <c r="L2718" s="170">
        <v>46013</v>
      </c>
      <c r="M2718" s="116">
        <v>242.08</v>
      </c>
      <c r="N2718" s="116">
        <v>245.34</v>
      </c>
      <c r="O2718" s="116">
        <v>237.61</v>
      </c>
      <c r="P2718" s="116">
        <v>239.5</v>
      </c>
      <c r="Q2718" s="116">
        <v>242.08</v>
      </c>
      <c r="R2718">
        <v>16373</v>
      </c>
    </row>
    <row r="2719" spans="1:18" x14ac:dyDescent="0.25">
      <c r="A2719" s="170">
        <v>46045</v>
      </c>
      <c r="B2719">
        <v>229.25</v>
      </c>
      <c r="C2719">
        <v>222.65</v>
      </c>
      <c r="D2719">
        <v>220.75</v>
      </c>
      <c r="E2719">
        <v>227.15</v>
      </c>
      <c r="F2719">
        <v>222.65</v>
      </c>
      <c r="G2719">
        <v>100</v>
      </c>
      <c r="H2719" s="116"/>
      <c r="I2719" s="116"/>
      <c r="L2719" s="170">
        <v>46014</v>
      </c>
      <c r="M2719" s="116">
        <v>243</v>
      </c>
      <c r="N2719" s="116">
        <v>244.49</v>
      </c>
      <c r="O2719" s="116">
        <v>238</v>
      </c>
      <c r="P2719" s="116">
        <v>238</v>
      </c>
      <c r="Q2719" s="116">
        <v>243</v>
      </c>
      <c r="R2719">
        <v>2828</v>
      </c>
    </row>
    <row r="2720" spans="1:18" x14ac:dyDescent="0.25">
      <c r="A2720" s="170">
        <v>46049</v>
      </c>
      <c r="B2720">
        <v>220.7</v>
      </c>
      <c r="C2720">
        <v>214.55</v>
      </c>
      <c r="D2720">
        <v>213.2</v>
      </c>
      <c r="E2720">
        <v>220</v>
      </c>
      <c r="F2720">
        <v>214.55</v>
      </c>
      <c r="G2720">
        <v>1286</v>
      </c>
      <c r="H2720" s="116"/>
      <c r="I2720" s="116"/>
      <c r="L2720" s="170">
        <v>46015</v>
      </c>
      <c r="M2720" s="116">
        <v>244.1</v>
      </c>
      <c r="N2720" s="116">
        <v>248.94</v>
      </c>
      <c r="O2720" s="116">
        <v>240.5</v>
      </c>
      <c r="P2720" s="116">
        <v>242.99</v>
      </c>
      <c r="Q2720" s="116">
        <v>244.1</v>
      </c>
      <c r="R2720">
        <v>7598</v>
      </c>
    </row>
    <row r="2721" spans="1:18" x14ac:dyDescent="0.25">
      <c r="A2721" s="170">
        <v>46050</v>
      </c>
      <c r="B2721">
        <v>223.6</v>
      </c>
      <c r="C2721">
        <v>222.55</v>
      </c>
      <c r="D2721">
        <v>216.4</v>
      </c>
      <c r="E2721">
        <v>216.4</v>
      </c>
      <c r="F2721">
        <v>222.55</v>
      </c>
      <c r="G2721">
        <v>127</v>
      </c>
      <c r="H2721" s="116"/>
      <c r="I2721" s="116"/>
      <c r="L2721" s="170">
        <v>46017</v>
      </c>
      <c r="M2721" s="116">
        <v>242.12</v>
      </c>
      <c r="N2721" s="116">
        <v>245</v>
      </c>
      <c r="O2721" s="116">
        <v>238</v>
      </c>
      <c r="P2721" s="116">
        <v>240.7</v>
      </c>
      <c r="Q2721" s="116">
        <v>242.12</v>
      </c>
      <c r="R2721">
        <v>5151</v>
      </c>
    </row>
    <row r="2722" spans="1:18" x14ac:dyDescent="0.25">
      <c r="A2722" s="170">
        <v>46051</v>
      </c>
      <c r="B2722">
        <v>223.1</v>
      </c>
      <c r="C2722">
        <v>214.9</v>
      </c>
      <c r="D2722">
        <v>213</v>
      </c>
      <c r="E2722">
        <v>220.95</v>
      </c>
      <c r="F2722">
        <v>214.9</v>
      </c>
      <c r="G2722">
        <v>236</v>
      </c>
      <c r="H2722" s="116"/>
      <c r="I2722" s="116"/>
      <c r="L2722" s="170">
        <v>46020</v>
      </c>
      <c r="M2722" s="116">
        <v>235.92</v>
      </c>
      <c r="N2722" s="116">
        <v>243.89</v>
      </c>
      <c r="O2722" s="116">
        <v>235</v>
      </c>
      <c r="P2722" s="116">
        <v>242.12</v>
      </c>
      <c r="Q2722" s="116">
        <v>235.92</v>
      </c>
      <c r="R2722">
        <v>7399</v>
      </c>
    </row>
    <row r="2723" spans="1:18" x14ac:dyDescent="0.25">
      <c r="A2723" s="170">
        <v>46052</v>
      </c>
      <c r="B2723">
        <v>226.1</v>
      </c>
      <c r="C2723">
        <v>225.15</v>
      </c>
      <c r="D2723">
        <v>214.95</v>
      </c>
      <c r="E2723">
        <v>220.2</v>
      </c>
      <c r="F2723">
        <v>225.15</v>
      </c>
      <c r="G2723">
        <v>455</v>
      </c>
      <c r="H2723" s="116"/>
      <c r="I2723" s="116"/>
      <c r="L2723" s="170">
        <v>46021</v>
      </c>
      <c r="M2723" s="116">
        <v>238.5</v>
      </c>
      <c r="N2723" s="116">
        <v>239.99</v>
      </c>
      <c r="O2723" s="116">
        <v>235.21</v>
      </c>
      <c r="P2723" s="116">
        <v>236.38</v>
      </c>
      <c r="Q2723" s="116">
        <v>238.5</v>
      </c>
      <c r="R2723">
        <v>4680</v>
      </c>
    </row>
    <row r="2724" spans="1:18" x14ac:dyDescent="0.25">
      <c r="A2724" s="170">
        <v>46054</v>
      </c>
      <c r="B2724">
        <v>226.25</v>
      </c>
      <c r="C2724">
        <v>226.1</v>
      </c>
      <c r="D2724">
        <v>219.65</v>
      </c>
      <c r="E2724">
        <v>226.25</v>
      </c>
      <c r="F2724">
        <v>226.1</v>
      </c>
      <c r="G2724">
        <v>344</v>
      </c>
      <c r="H2724" s="116"/>
      <c r="I2724" s="116"/>
      <c r="L2724" s="170">
        <v>46022</v>
      </c>
      <c r="M2724" s="116">
        <v>235.91</v>
      </c>
      <c r="N2724" s="116">
        <v>241.1</v>
      </c>
      <c r="O2724" s="116">
        <v>234.1</v>
      </c>
      <c r="P2724" s="116">
        <v>237.98</v>
      </c>
      <c r="Q2724" s="116">
        <v>235.91</v>
      </c>
      <c r="R2724">
        <v>17228</v>
      </c>
    </row>
    <row r="2725" spans="1:18" x14ac:dyDescent="0.25">
      <c r="A2725" s="170">
        <v>46055</v>
      </c>
      <c r="B2725">
        <v>231.7</v>
      </c>
      <c r="C2725">
        <v>230.25</v>
      </c>
      <c r="D2725">
        <v>223.5</v>
      </c>
      <c r="E2725">
        <v>223.5</v>
      </c>
      <c r="F2725">
        <v>230.25</v>
      </c>
      <c r="G2725">
        <v>867</v>
      </c>
      <c r="H2725" s="116"/>
      <c r="I2725" s="116"/>
      <c r="L2725" s="170">
        <v>46023</v>
      </c>
      <c r="M2725" s="116">
        <v>237.11</v>
      </c>
      <c r="N2725" s="116">
        <v>241.71</v>
      </c>
      <c r="O2725" s="116">
        <v>235</v>
      </c>
      <c r="P2725" s="116">
        <v>237.2</v>
      </c>
      <c r="Q2725" s="116">
        <v>237.11</v>
      </c>
      <c r="R2725">
        <v>7492</v>
      </c>
    </row>
    <row r="2726" spans="1:18" x14ac:dyDescent="0.25">
      <c r="A2726" s="170">
        <v>46056</v>
      </c>
      <c r="B2726">
        <v>236.3</v>
      </c>
      <c r="C2726">
        <v>231.65</v>
      </c>
      <c r="D2726">
        <v>226.4</v>
      </c>
      <c r="E2726">
        <v>233.45</v>
      </c>
      <c r="F2726">
        <v>231.65</v>
      </c>
      <c r="G2726">
        <v>934</v>
      </c>
      <c r="H2726" s="116"/>
      <c r="I2726" s="116"/>
      <c r="L2726" s="170">
        <v>46024</v>
      </c>
      <c r="M2726" s="116">
        <v>240.04</v>
      </c>
      <c r="N2726" s="116">
        <v>242.45</v>
      </c>
      <c r="O2726" s="116">
        <v>237.5</v>
      </c>
      <c r="P2726" s="116">
        <v>239.1</v>
      </c>
      <c r="Q2726" s="116">
        <v>240.04</v>
      </c>
      <c r="R2726">
        <v>7491</v>
      </c>
    </row>
    <row r="2727" spans="1:18" x14ac:dyDescent="0.25">
      <c r="A2727" s="170">
        <v>46057</v>
      </c>
      <c r="B2727">
        <v>240.5</v>
      </c>
      <c r="C2727">
        <v>239.05</v>
      </c>
      <c r="D2727">
        <v>213</v>
      </c>
      <c r="E2727">
        <v>213</v>
      </c>
      <c r="F2727">
        <v>239.05</v>
      </c>
      <c r="G2727">
        <v>168</v>
      </c>
      <c r="H2727" s="116"/>
      <c r="I2727" s="116"/>
      <c r="L2727" s="170">
        <v>46027</v>
      </c>
      <c r="M2727" s="116">
        <v>236.04</v>
      </c>
      <c r="N2727" s="116">
        <v>242.41</v>
      </c>
      <c r="O2727" s="116">
        <v>235.18</v>
      </c>
      <c r="P2727" s="116">
        <v>240</v>
      </c>
      <c r="Q2727" s="116">
        <v>236.04</v>
      </c>
      <c r="R2727">
        <v>12856</v>
      </c>
    </row>
    <row r="2728" spans="1:18" x14ac:dyDescent="0.25">
      <c r="A2728" s="170">
        <v>46058</v>
      </c>
      <c r="B2728">
        <v>241</v>
      </c>
      <c r="C2728">
        <v>236.9</v>
      </c>
      <c r="D2728">
        <v>231.7</v>
      </c>
      <c r="E2728">
        <v>241</v>
      </c>
      <c r="F2728">
        <v>236.9</v>
      </c>
      <c r="G2728">
        <v>825</v>
      </c>
      <c r="H2728" s="116"/>
      <c r="I2728" s="116"/>
      <c r="L2728" s="170">
        <v>46028</v>
      </c>
      <c r="M2728" s="116">
        <v>235.06</v>
      </c>
      <c r="N2728" s="116">
        <v>237.34</v>
      </c>
      <c r="O2728" s="116">
        <v>234.25</v>
      </c>
      <c r="P2728" s="116">
        <v>235.1</v>
      </c>
      <c r="Q2728" s="116">
        <v>235.06</v>
      </c>
      <c r="R2728">
        <v>3112</v>
      </c>
    </row>
    <row r="2729" spans="1:18" x14ac:dyDescent="0.25">
      <c r="A2729" s="170">
        <v>46059</v>
      </c>
      <c r="B2729">
        <v>237.95</v>
      </c>
      <c r="C2729">
        <v>237.2</v>
      </c>
      <c r="D2729">
        <v>230</v>
      </c>
      <c r="E2729">
        <v>231.6</v>
      </c>
      <c r="F2729">
        <v>237.2</v>
      </c>
      <c r="G2729">
        <v>1295</v>
      </c>
      <c r="H2729" s="116"/>
      <c r="I2729" s="116"/>
      <c r="L2729" s="170">
        <v>46029</v>
      </c>
      <c r="M2729" s="116">
        <v>240.14</v>
      </c>
      <c r="N2729" s="116">
        <v>241.01</v>
      </c>
      <c r="O2729" s="116">
        <v>235.5</v>
      </c>
      <c r="P2729" s="116">
        <v>235.52</v>
      </c>
      <c r="Q2729" s="116">
        <v>240.14</v>
      </c>
      <c r="R2729">
        <v>5119</v>
      </c>
    </row>
    <row r="2730" spans="1:18" x14ac:dyDescent="0.25">
      <c r="A2730" s="170">
        <v>46062</v>
      </c>
      <c r="B2730">
        <v>260</v>
      </c>
      <c r="C2730">
        <v>248.8</v>
      </c>
      <c r="D2730">
        <v>243.45</v>
      </c>
      <c r="E2730">
        <v>249.7</v>
      </c>
      <c r="F2730">
        <v>248.8</v>
      </c>
      <c r="G2730">
        <v>20229</v>
      </c>
      <c r="H2730" s="116"/>
      <c r="I2730" s="116"/>
      <c r="L2730" s="170">
        <v>46030</v>
      </c>
      <c r="M2730" s="116">
        <v>233.47</v>
      </c>
      <c r="N2730" s="116">
        <v>242.19</v>
      </c>
      <c r="O2730" s="116">
        <v>231</v>
      </c>
      <c r="P2730" s="116">
        <v>242.19</v>
      </c>
      <c r="Q2730" s="116">
        <v>233.47</v>
      </c>
      <c r="R2730">
        <v>11453</v>
      </c>
    </row>
    <row r="2731" spans="1:18" x14ac:dyDescent="0.25">
      <c r="A2731" s="170">
        <v>46063</v>
      </c>
      <c r="B2731">
        <v>260.14999999999998</v>
      </c>
      <c r="C2731">
        <v>259.89999999999998</v>
      </c>
      <c r="D2731">
        <v>248.8</v>
      </c>
      <c r="E2731">
        <v>248.8</v>
      </c>
      <c r="F2731">
        <v>259.89999999999998</v>
      </c>
      <c r="G2731">
        <v>2078</v>
      </c>
      <c r="H2731" s="116"/>
      <c r="I2731" s="116"/>
      <c r="L2731" s="170">
        <v>46031</v>
      </c>
      <c r="M2731" s="116">
        <v>233.34</v>
      </c>
      <c r="N2731" s="116">
        <v>234.97</v>
      </c>
      <c r="O2731" s="116">
        <v>229.26</v>
      </c>
      <c r="P2731" s="116">
        <v>234.44</v>
      </c>
      <c r="Q2731" s="116">
        <v>233.34</v>
      </c>
      <c r="R2731">
        <v>13715</v>
      </c>
    </row>
    <row r="2732" spans="1:18" x14ac:dyDescent="0.25">
      <c r="A2732" s="170">
        <v>46064</v>
      </c>
      <c r="B2732">
        <v>270.7</v>
      </c>
      <c r="C2732">
        <v>265.85000000000002</v>
      </c>
      <c r="D2732">
        <v>258.8</v>
      </c>
      <c r="E2732">
        <v>259.89999999999998</v>
      </c>
      <c r="F2732">
        <v>265.85000000000002</v>
      </c>
      <c r="G2732">
        <v>4446</v>
      </c>
      <c r="H2732" s="116"/>
      <c r="I2732" s="116"/>
      <c r="L2732" s="170">
        <v>46034</v>
      </c>
      <c r="M2732" s="116">
        <v>235.07</v>
      </c>
      <c r="N2732" s="116">
        <v>242.5</v>
      </c>
      <c r="O2732" s="116">
        <v>226</v>
      </c>
      <c r="P2732" s="116">
        <v>229</v>
      </c>
      <c r="Q2732" s="116">
        <v>235.07</v>
      </c>
      <c r="R2732">
        <v>28005</v>
      </c>
    </row>
    <row r="2733" spans="1:18" x14ac:dyDescent="0.25">
      <c r="A2733" s="170">
        <v>46065</v>
      </c>
      <c r="B2733">
        <v>279.85000000000002</v>
      </c>
      <c r="C2733">
        <v>264.95</v>
      </c>
      <c r="D2733">
        <v>263</v>
      </c>
      <c r="E2733">
        <v>279.85000000000002</v>
      </c>
      <c r="F2733">
        <v>264.95</v>
      </c>
      <c r="G2733">
        <v>752</v>
      </c>
      <c r="H2733" s="116"/>
      <c r="I2733" s="116"/>
      <c r="L2733" s="170">
        <v>46035</v>
      </c>
      <c r="M2733" s="116">
        <v>237.33</v>
      </c>
      <c r="N2733" s="116">
        <v>239.01</v>
      </c>
      <c r="O2733" s="116">
        <v>232.01</v>
      </c>
      <c r="P2733" s="116">
        <v>237</v>
      </c>
      <c r="Q2733" s="116">
        <v>237.33</v>
      </c>
      <c r="R2733">
        <v>8220</v>
      </c>
    </row>
    <row r="2734" spans="1:18" x14ac:dyDescent="0.25">
      <c r="A2734" s="170">
        <v>46066</v>
      </c>
      <c r="B2734">
        <v>268.64999999999998</v>
      </c>
      <c r="C2734">
        <v>267.2</v>
      </c>
      <c r="D2734">
        <v>263.39999999999998</v>
      </c>
      <c r="E2734">
        <v>263.39999999999998</v>
      </c>
      <c r="F2734">
        <v>267.2</v>
      </c>
      <c r="G2734">
        <v>347</v>
      </c>
      <c r="H2734" s="116"/>
      <c r="I2734" s="116"/>
      <c r="L2734" s="170">
        <v>46036</v>
      </c>
      <c r="M2734" s="116">
        <v>230.68</v>
      </c>
      <c r="N2734" s="116">
        <v>239.3</v>
      </c>
      <c r="O2734" s="116">
        <v>229.9</v>
      </c>
      <c r="P2734" s="116">
        <v>239.3</v>
      </c>
      <c r="Q2734" s="116">
        <v>230.68</v>
      </c>
      <c r="R2734">
        <v>12097</v>
      </c>
    </row>
    <row r="2735" spans="1:18" x14ac:dyDescent="0.25">
      <c r="A2735" s="170">
        <v>46069</v>
      </c>
      <c r="B2735">
        <v>273.45</v>
      </c>
      <c r="C2735">
        <v>268</v>
      </c>
      <c r="D2735">
        <v>260.10000000000002</v>
      </c>
      <c r="E2735">
        <v>273.45</v>
      </c>
      <c r="F2735">
        <v>268</v>
      </c>
      <c r="G2735">
        <v>1961</v>
      </c>
      <c r="H2735" s="116"/>
      <c r="I2735" s="116"/>
      <c r="L2735" s="170">
        <v>46038</v>
      </c>
      <c r="M2735" s="116">
        <v>229.43</v>
      </c>
      <c r="N2735" s="116">
        <v>231.94</v>
      </c>
      <c r="O2735" s="116">
        <v>228.3</v>
      </c>
      <c r="P2735" s="116">
        <v>228.3</v>
      </c>
      <c r="Q2735" s="116">
        <v>229.43</v>
      </c>
      <c r="R2735">
        <v>5257</v>
      </c>
    </row>
    <row r="2736" spans="1:18" x14ac:dyDescent="0.25">
      <c r="A2736" s="170">
        <v>46070</v>
      </c>
      <c r="B2736">
        <v>276.8</v>
      </c>
      <c r="C2736">
        <v>276.60000000000002</v>
      </c>
      <c r="D2736">
        <v>262.2</v>
      </c>
      <c r="E2736">
        <v>270</v>
      </c>
      <c r="F2736">
        <v>276.60000000000002</v>
      </c>
      <c r="G2736">
        <v>1594</v>
      </c>
      <c r="H2736" s="116"/>
      <c r="I2736" s="116"/>
      <c r="L2736" s="170">
        <v>46041</v>
      </c>
      <c r="M2736" s="116">
        <v>229.59</v>
      </c>
      <c r="N2736" s="116">
        <v>231.39</v>
      </c>
      <c r="O2736" s="116">
        <v>226.05</v>
      </c>
      <c r="P2736" s="116">
        <v>226.05</v>
      </c>
      <c r="Q2736" s="116">
        <v>229.59</v>
      </c>
      <c r="R2736">
        <v>3042</v>
      </c>
    </row>
    <row r="2737" spans="1:18" x14ac:dyDescent="0.25">
      <c r="A2737" s="170">
        <v>46071</v>
      </c>
      <c r="B2737">
        <v>289.10000000000002</v>
      </c>
      <c r="C2737">
        <v>279</v>
      </c>
      <c r="D2737">
        <v>277</v>
      </c>
      <c r="E2737">
        <v>279.89999999999998</v>
      </c>
      <c r="F2737">
        <v>279</v>
      </c>
      <c r="G2737">
        <v>1035</v>
      </c>
      <c r="H2737" s="116"/>
      <c r="I2737" s="116"/>
      <c r="L2737" s="170">
        <v>46042</v>
      </c>
      <c r="M2737" s="116">
        <v>226.2</v>
      </c>
      <c r="N2737" s="116">
        <v>231.4</v>
      </c>
      <c r="O2737" s="116">
        <v>225</v>
      </c>
      <c r="P2737" s="116">
        <v>229.51</v>
      </c>
      <c r="Q2737" s="116">
        <v>226.2</v>
      </c>
      <c r="R2737">
        <v>12306</v>
      </c>
    </row>
    <row r="2738" spans="1:18" x14ac:dyDescent="0.25">
      <c r="A2738" s="170">
        <v>46072</v>
      </c>
      <c r="B2738">
        <v>311</v>
      </c>
      <c r="C2738">
        <v>274.55</v>
      </c>
      <c r="D2738">
        <v>272.8</v>
      </c>
      <c r="E2738">
        <v>311</v>
      </c>
      <c r="F2738">
        <v>274.55</v>
      </c>
      <c r="G2738">
        <v>1266</v>
      </c>
      <c r="H2738" s="116"/>
      <c r="I2738" s="116"/>
      <c r="L2738" s="170">
        <v>46043</v>
      </c>
      <c r="M2738" s="116">
        <v>221.85</v>
      </c>
      <c r="N2738" s="116">
        <v>228.63</v>
      </c>
      <c r="O2738" s="116">
        <v>220.1</v>
      </c>
      <c r="P2738" s="116">
        <v>223</v>
      </c>
      <c r="Q2738" s="116">
        <v>221.85</v>
      </c>
      <c r="R2738">
        <v>10844</v>
      </c>
    </row>
    <row r="2739" spans="1:18" x14ac:dyDescent="0.25">
      <c r="A2739" s="170">
        <v>46073</v>
      </c>
      <c r="B2739">
        <v>277.75</v>
      </c>
      <c r="C2739">
        <v>275.5</v>
      </c>
      <c r="D2739">
        <v>271.14999999999998</v>
      </c>
      <c r="E2739">
        <v>271.14999999999998</v>
      </c>
      <c r="F2739">
        <v>275.5</v>
      </c>
      <c r="G2739">
        <v>411</v>
      </c>
      <c r="H2739" s="116"/>
      <c r="I2739" s="116"/>
      <c r="L2739" s="170">
        <v>46044</v>
      </c>
      <c r="M2739" s="116">
        <v>228.48</v>
      </c>
      <c r="N2739" s="116">
        <v>229.89</v>
      </c>
      <c r="O2739" s="116">
        <v>222.24</v>
      </c>
      <c r="P2739" s="116">
        <v>222.24</v>
      </c>
      <c r="Q2739" s="116">
        <v>228.48</v>
      </c>
      <c r="R2739">
        <v>12002</v>
      </c>
    </row>
    <row r="2740" spans="1:18" x14ac:dyDescent="0.25">
      <c r="A2740" s="170">
        <v>46076</v>
      </c>
      <c r="B2740">
        <v>278.60000000000002</v>
      </c>
      <c r="C2740">
        <v>276.39999999999998</v>
      </c>
      <c r="D2740">
        <v>272.05</v>
      </c>
      <c r="E2740">
        <v>275.64999999999998</v>
      </c>
      <c r="F2740">
        <v>276.39999999999998</v>
      </c>
      <c r="G2740">
        <v>875</v>
      </c>
      <c r="H2740" s="116"/>
      <c r="I2740" s="116"/>
      <c r="L2740" s="170">
        <v>46045</v>
      </c>
      <c r="M2740" s="116">
        <v>221.6</v>
      </c>
      <c r="N2740" s="116">
        <v>231</v>
      </c>
      <c r="O2740" s="116">
        <v>221</v>
      </c>
      <c r="P2740" s="116">
        <v>231</v>
      </c>
      <c r="Q2740" s="116">
        <v>221.6</v>
      </c>
      <c r="R2740">
        <v>15796</v>
      </c>
    </row>
    <row r="2741" spans="1:18" x14ac:dyDescent="0.25">
      <c r="A2741" s="170">
        <v>46077</v>
      </c>
      <c r="B2741">
        <v>279.7</v>
      </c>
      <c r="C2741">
        <v>271.75</v>
      </c>
      <c r="D2741">
        <v>270.55</v>
      </c>
      <c r="E2741">
        <v>279.7</v>
      </c>
      <c r="F2741">
        <v>271.75</v>
      </c>
      <c r="G2741">
        <v>660</v>
      </c>
      <c r="H2741" s="116"/>
      <c r="I2741" s="116"/>
      <c r="L2741" s="170">
        <v>46049</v>
      </c>
      <c r="M2741" s="116">
        <v>216.01</v>
      </c>
      <c r="N2741" s="116">
        <v>222.25</v>
      </c>
      <c r="O2741" s="116">
        <v>211.59</v>
      </c>
      <c r="P2741" s="116">
        <v>220</v>
      </c>
      <c r="Q2741" s="116">
        <v>216.01</v>
      </c>
      <c r="R2741">
        <v>13720</v>
      </c>
    </row>
    <row r="2742" spans="1:18" x14ac:dyDescent="0.25">
      <c r="A2742" s="170">
        <v>46078</v>
      </c>
      <c r="B2742">
        <v>276.75</v>
      </c>
      <c r="C2742">
        <v>275.85000000000002</v>
      </c>
      <c r="D2742">
        <v>272</v>
      </c>
      <c r="E2742">
        <v>273.10000000000002</v>
      </c>
      <c r="F2742">
        <v>275.85000000000002</v>
      </c>
      <c r="G2742">
        <v>353</v>
      </c>
      <c r="H2742" s="116"/>
      <c r="I2742" s="116"/>
      <c r="L2742" s="170">
        <v>46050</v>
      </c>
      <c r="M2742" s="116">
        <v>221.94</v>
      </c>
      <c r="N2742" s="116">
        <v>224</v>
      </c>
      <c r="O2742" s="116">
        <v>216.01</v>
      </c>
      <c r="P2742" s="116">
        <v>216.1</v>
      </c>
      <c r="Q2742" s="116">
        <v>221.94</v>
      </c>
      <c r="R2742">
        <v>10759</v>
      </c>
    </row>
    <row r="2743" spans="1:18" x14ac:dyDescent="0.25">
      <c r="A2743" s="170">
        <v>46079</v>
      </c>
      <c r="B2743">
        <v>280</v>
      </c>
      <c r="C2743">
        <v>272.10000000000002</v>
      </c>
      <c r="D2743">
        <v>271.95</v>
      </c>
      <c r="E2743">
        <v>275.89999999999998</v>
      </c>
      <c r="F2743">
        <v>272.10000000000002</v>
      </c>
      <c r="G2743">
        <v>1246</v>
      </c>
      <c r="H2743" s="116"/>
      <c r="I2743" s="116"/>
      <c r="L2743" s="170">
        <v>46051</v>
      </c>
      <c r="M2743" s="116">
        <v>216.05</v>
      </c>
      <c r="N2743" s="116">
        <v>223.9</v>
      </c>
      <c r="O2743" s="116">
        <v>213.16</v>
      </c>
      <c r="P2743" s="116">
        <v>223.9</v>
      </c>
      <c r="Q2743" s="116">
        <v>216.05</v>
      </c>
      <c r="R2743">
        <v>10165</v>
      </c>
    </row>
    <row r="2744" spans="1:18" x14ac:dyDescent="0.25">
      <c r="A2744" s="170">
        <v>46080</v>
      </c>
      <c r="B2744">
        <v>275.39999999999998</v>
      </c>
      <c r="C2744">
        <v>273.39999999999998</v>
      </c>
      <c r="D2744">
        <v>270.10000000000002</v>
      </c>
      <c r="E2744">
        <v>272.2</v>
      </c>
      <c r="F2744">
        <v>273.39999999999998</v>
      </c>
      <c r="G2744">
        <v>238</v>
      </c>
      <c r="H2744" s="116"/>
      <c r="I2744" s="116"/>
      <c r="L2744" s="170">
        <v>46052</v>
      </c>
      <c r="M2744" s="116">
        <v>226.3</v>
      </c>
      <c r="N2744" s="116">
        <v>227.3</v>
      </c>
      <c r="O2744" s="116">
        <v>212</v>
      </c>
      <c r="P2744" s="116">
        <v>212</v>
      </c>
      <c r="Q2744" s="116">
        <v>226.3</v>
      </c>
      <c r="R2744">
        <v>13338</v>
      </c>
    </row>
    <row r="2745" spans="1:18" x14ac:dyDescent="0.25">
      <c r="A2745" s="170">
        <v>46083</v>
      </c>
      <c r="B2745">
        <v>269.7</v>
      </c>
      <c r="C2745">
        <v>267.7</v>
      </c>
      <c r="D2745">
        <v>265.10000000000002</v>
      </c>
      <c r="E2745">
        <v>265.10000000000002</v>
      </c>
      <c r="F2745">
        <v>267.7</v>
      </c>
      <c r="G2745">
        <v>1667</v>
      </c>
      <c r="H2745" s="116"/>
      <c r="I2745" s="116"/>
      <c r="L2745" s="170">
        <v>46054</v>
      </c>
      <c r="M2745" s="116">
        <v>222.91</v>
      </c>
      <c r="N2745" s="116">
        <v>228</v>
      </c>
      <c r="O2745" s="116">
        <v>218.25</v>
      </c>
      <c r="P2745" s="116">
        <v>228</v>
      </c>
      <c r="Q2745" s="116">
        <v>222.91</v>
      </c>
      <c r="R2745">
        <v>11297</v>
      </c>
    </row>
    <row r="2746" spans="1:18" x14ac:dyDescent="0.25">
      <c r="A2746" s="170">
        <v>46085</v>
      </c>
      <c r="B2746">
        <v>266.10000000000002</v>
      </c>
      <c r="C2746">
        <v>265</v>
      </c>
      <c r="D2746">
        <v>259</v>
      </c>
      <c r="E2746">
        <v>266.10000000000002</v>
      </c>
      <c r="F2746">
        <v>265</v>
      </c>
      <c r="G2746">
        <v>805</v>
      </c>
      <c r="H2746" s="116"/>
      <c r="I2746" s="116"/>
      <c r="L2746" s="170">
        <v>46055</v>
      </c>
      <c r="M2746" s="116">
        <v>230.11</v>
      </c>
      <c r="N2746" s="116">
        <v>231</v>
      </c>
      <c r="O2746" s="116">
        <v>222.65</v>
      </c>
      <c r="P2746" s="116">
        <v>222.65</v>
      </c>
      <c r="Q2746" s="116">
        <v>230.11</v>
      </c>
      <c r="R2746">
        <v>13972</v>
      </c>
    </row>
    <row r="2747" spans="1:18" x14ac:dyDescent="0.25">
      <c r="A2747" s="170">
        <v>46086</v>
      </c>
      <c r="B2747">
        <v>268.64999999999998</v>
      </c>
      <c r="C2747">
        <v>265.05</v>
      </c>
      <c r="D2747">
        <v>265.05</v>
      </c>
      <c r="E2747">
        <v>268.64999999999998</v>
      </c>
      <c r="F2747">
        <v>265.05</v>
      </c>
      <c r="G2747">
        <v>115</v>
      </c>
      <c r="H2747" s="116"/>
      <c r="I2747" s="116"/>
      <c r="L2747" s="170">
        <v>46056</v>
      </c>
      <c r="M2747" s="116">
        <v>234.02</v>
      </c>
      <c r="N2747" s="116">
        <v>235.74</v>
      </c>
      <c r="O2747" s="116">
        <v>228.6</v>
      </c>
      <c r="P2747" s="116">
        <v>232.4</v>
      </c>
      <c r="Q2747" s="116">
        <v>234.02</v>
      </c>
      <c r="R2747">
        <v>13096</v>
      </c>
    </row>
    <row r="2748" spans="1:18" x14ac:dyDescent="0.25">
      <c r="A2748" s="170">
        <v>46087</v>
      </c>
      <c r="B2748">
        <v>269.25</v>
      </c>
      <c r="C2748">
        <v>259.89999999999998</v>
      </c>
      <c r="D2748">
        <v>257.39999999999998</v>
      </c>
      <c r="E2748">
        <v>265</v>
      </c>
      <c r="F2748">
        <v>259.89999999999998</v>
      </c>
      <c r="G2748">
        <v>242</v>
      </c>
      <c r="H2748" s="116"/>
      <c r="I2748" s="116"/>
      <c r="L2748" s="170">
        <v>46057</v>
      </c>
      <c r="M2748" s="116">
        <v>238.81</v>
      </c>
      <c r="N2748" s="116">
        <v>242</v>
      </c>
      <c r="O2748" s="116">
        <v>231</v>
      </c>
      <c r="P2748" s="116">
        <v>231.57</v>
      </c>
      <c r="Q2748" s="116">
        <v>238.81</v>
      </c>
      <c r="R2748">
        <v>19408</v>
      </c>
    </row>
    <row r="2749" spans="1:18" x14ac:dyDescent="0.25">
      <c r="A2749" s="170">
        <v>46090</v>
      </c>
      <c r="B2749">
        <v>266.39999999999998</v>
      </c>
      <c r="C2749">
        <v>257</v>
      </c>
      <c r="D2749">
        <v>255</v>
      </c>
      <c r="E2749">
        <v>265.10000000000002</v>
      </c>
      <c r="F2749">
        <v>257</v>
      </c>
      <c r="G2749">
        <v>1809</v>
      </c>
      <c r="H2749" s="116"/>
      <c r="I2749" s="116"/>
      <c r="L2749" s="170">
        <v>46058</v>
      </c>
      <c r="M2749" s="116">
        <v>235.19</v>
      </c>
      <c r="N2749" s="116">
        <v>240.9</v>
      </c>
      <c r="O2749" s="116">
        <v>235</v>
      </c>
      <c r="P2749" s="116">
        <v>240.8</v>
      </c>
      <c r="Q2749" s="116">
        <v>235.19</v>
      </c>
      <c r="R2749">
        <v>2870</v>
      </c>
    </row>
    <row r="2750" spans="1:18" x14ac:dyDescent="0.25">
      <c r="A2750" s="170">
        <v>46091</v>
      </c>
      <c r="B2750">
        <v>268.89999999999998</v>
      </c>
      <c r="C2750">
        <v>259.60000000000002</v>
      </c>
      <c r="D2750">
        <v>254.4</v>
      </c>
      <c r="E2750">
        <v>254.4</v>
      </c>
      <c r="F2750">
        <v>259.60000000000002</v>
      </c>
      <c r="G2750">
        <v>304</v>
      </c>
      <c r="H2750" s="116"/>
      <c r="I2750" s="116"/>
      <c r="L2750" s="170">
        <v>46059</v>
      </c>
      <c r="M2750" s="116">
        <v>237.88</v>
      </c>
      <c r="N2750" s="116">
        <v>240.4</v>
      </c>
      <c r="O2750" s="116">
        <v>227.11</v>
      </c>
      <c r="P2750" s="116">
        <v>237.1</v>
      </c>
      <c r="Q2750" s="116">
        <v>237.88</v>
      </c>
      <c r="R2750">
        <v>13026</v>
      </c>
    </row>
    <row r="2751" spans="1:18" x14ac:dyDescent="0.25">
      <c r="A2751" s="170">
        <v>46092</v>
      </c>
      <c r="B2751">
        <v>258.5</v>
      </c>
      <c r="C2751">
        <v>249.9</v>
      </c>
      <c r="D2751">
        <v>249</v>
      </c>
      <c r="E2751">
        <v>258.5</v>
      </c>
      <c r="F2751">
        <v>249.9</v>
      </c>
      <c r="G2751">
        <v>1325</v>
      </c>
      <c r="H2751" s="116"/>
      <c r="I2751" s="116"/>
      <c r="L2751" s="170">
        <v>46062</v>
      </c>
      <c r="M2751" s="116">
        <v>249.85</v>
      </c>
      <c r="N2751" s="116">
        <v>262</v>
      </c>
      <c r="O2751" s="116">
        <v>244.32</v>
      </c>
      <c r="P2751" s="116">
        <v>248.5</v>
      </c>
      <c r="Q2751" s="116">
        <v>249.85</v>
      </c>
      <c r="R2751">
        <v>148670</v>
      </c>
    </row>
    <row r="2752" spans="1:18" x14ac:dyDescent="0.25">
      <c r="A2752" s="170">
        <v>46093</v>
      </c>
      <c r="B2752">
        <v>255.25</v>
      </c>
      <c r="C2752">
        <v>253.6</v>
      </c>
      <c r="D2752">
        <v>246.1</v>
      </c>
      <c r="E2752">
        <v>248</v>
      </c>
      <c r="F2752">
        <v>253.6</v>
      </c>
      <c r="G2752">
        <v>755</v>
      </c>
      <c r="H2752" s="116"/>
      <c r="I2752" s="116"/>
      <c r="L2752" s="170">
        <v>46063</v>
      </c>
      <c r="M2752" s="116">
        <v>259.69</v>
      </c>
      <c r="N2752" s="116">
        <v>260.8</v>
      </c>
      <c r="O2752" s="116">
        <v>250</v>
      </c>
      <c r="P2752" s="116">
        <v>254.45</v>
      </c>
      <c r="Q2752" s="116">
        <v>259.69</v>
      </c>
      <c r="R2752">
        <v>36864</v>
      </c>
    </row>
    <row r="2753" spans="1:18" x14ac:dyDescent="0.25">
      <c r="A2753" s="170">
        <v>46094</v>
      </c>
      <c r="B2753">
        <v>250.85</v>
      </c>
      <c r="C2753">
        <v>248.85</v>
      </c>
      <c r="D2753">
        <v>240</v>
      </c>
      <c r="E2753">
        <v>250.85</v>
      </c>
      <c r="F2753">
        <v>248.85</v>
      </c>
      <c r="G2753">
        <v>487</v>
      </c>
      <c r="H2753" s="116"/>
      <c r="I2753" s="116"/>
      <c r="L2753" s="170">
        <v>46064</v>
      </c>
      <c r="M2753" s="116">
        <v>267.48</v>
      </c>
      <c r="N2753" s="116">
        <v>268.69</v>
      </c>
      <c r="O2753" s="116">
        <v>258.52</v>
      </c>
      <c r="P2753" s="116">
        <v>261</v>
      </c>
      <c r="Q2753" s="116">
        <v>267.48</v>
      </c>
      <c r="R2753">
        <v>44703</v>
      </c>
    </row>
    <row r="2754" spans="1:18" x14ac:dyDescent="0.25">
      <c r="A2754" s="170">
        <v>46097</v>
      </c>
      <c r="B2754">
        <v>257.3</v>
      </c>
      <c r="C2754">
        <v>256.3</v>
      </c>
      <c r="D2754">
        <v>241</v>
      </c>
      <c r="E2754">
        <v>241.15</v>
      </c>
      <c r="F2754">
        <v>256.3</v>
      </c>
      <c r="G2754">
        <v>3883</v>
      </c>
      <c r="H2754" s="116"/>
      <c r="I2754" s="116"/>
      <c r="L2754" s="170">
        <v>46065</v>
      </c>
      <c r="M2754" s="116">
        <v>264.73</v>
      </c>
      <c r="N2754" s="116">
        <v>269.8</v>
      </c>
      <c r="O2754" s="116">
        <v>262</v>
      </c>
      <c r="P2754" s="116">
        <v>267.48</v>
      </c>
      <c r="Q2754" s="116">
        <v>264.73</v>
      </c>
      <c r="R2754">
        <v>18950</v>
      </c>
    </row>
    <row r="2755" spans="1:18" x14ac:dyDescent="0.25">
      <c r="A2755" s="170">
        <v>46098</v>
      </c>
      <c r="B2755">
        <v>260.60000000000002</v>
      </c>
      <c r="C2755">
        <v>259.05</v>
      </c>
      <c r="D2755">
        <v>254.25</v>
      </c>
      <c r="E2755">
        <v>257.45</v>
      </c>
      <c r="F2755">
        <v>259.05</v>
      </c>
      <c r="G2755">
        <v>631</v>
      </c>
      <c r="H2755" s="116"/>
      <c r="I2755" s="116"/>
      <c r="L2755" s="170">
        <v>46066</v>
      </c>
      <c r="M2755" s="116">
        <v>267.89999999999998</v>
      </c>
      <c r="N2755" s="116">
        <v>269.89999999999998</v>
      </c>
      <c r="O2755" s="116">
        <v>263.01</v>
      </c>
      <c r="P2755" s="116">
        <v>265.52</v>
      </c>
      <c r="Q2755" s="116">
        <v>267.89999999999998</v>
      </c>
      <c r="R2755">
        <v>26458</v>
      </c>
    </row>
    <row r="2756" spans="1:18" x14ac:dyDescent="0.25">
      <c r="A2756" s="170">
        <v>46099</v>
      </c>
      <c r="B2756">
        <v>264.8</v>
      </c>
      <c r="C2756">
        <v>264.5</v>
      </c>
      <c r="D2756">
        <v>263.55</v>
      </c>
      <c r="E2756">
        <v>264.8</v>
      </c>
      <c r="F2756">
        <v>264.5</v>
      </c>
      <c r="G2756">
        <v>272</v>
      </c>
      <c r="H2756" s="116"/>
      <c r="I2756" s="116"/>
      <c r="L2756" s="170">
        <v>46069</v>
      </c>
      <c r="M2756" s="116">
        <v>264.2</v>
      </c>
      <c r="N2756" s="116">
        <v>268.95999999999998</v>
      </c>
      <c r="O2756" s="116">
        <v>260.08999999999997</v>
      </c>
      <c r="P2756" s="116">
        <v>267.89999999999998</v>
      </c>
      <c r="Q2756" s="116">
        <v>264.2</v>
      </c>
      <c r="R2756">
        <v>61423</v>
      </c>
    </row>
    <row r="2757" spans="1:18" x14ac:dyDescent="0.25">
      <c r="A2757" s="170">
        <v>46100</v>
      </c>
      <c r="B2757">
        <v>269.3</v>
      </c>
      <c r="C2757">
        <v>258.35000000000002</v>
      </c>
      <c r="D2757">
        <v>256.39999999999998</v>
      </c>
      <c r="E2757">
        <v>262.95</v>
      </c>
      <c r="F2757">
        <v>258.35000000000002</v>
      </c>
      <c r="G2757">
        <v>5422</v>
      </c>
      <c r="H2757" s="116"/>
      <c r="I2757" s="116"/>
      <c r="L2757" s="170">
        <v>46070</v>
      </c>
      <c r="M2757" s="116">
        <v>276.04000000000002</v>
      </c>
      <c r="N2757" s="116">
        <v>278.8</v>
      </c>
      <c r="O2757" s="116">
        <v>262.5</v>
      </c>
      <c r="P2757" s="116">
        <v>266.39999999999998</v>
      </c>
      <c r="Q2757" s="116">
        <v>276.04000000000002</v>
      </c>
      <c r="R2757">
        <v>77273</v>
      </c>
    </row>
    <row r="2758" spans="1:18" x14ac:dyDescent="0.25">
      <c r="A2758" s="170">
        <v>46101</v>
      </c>
      <c r="B2758">
        <v>263.85000000000002</v>
      </c>
      <c r="C2758">
        <v>258.64999999999998</v>
      </c>
      <c r="D2758">
        <v>258.64999999999998</v>
      </c>
      <c r="E2758">
        <v>263.5</v>
      </c>
      <c r="F2758">
        <v>258.64999999999998</v>
      </c>
      <c r="G2758">
        <v>229</v>
      </c>
      <c r="H2758" s="116"/>
      <c r="I2758" s="116"/>
      <c r="L2758" s="170">
        <v>46071</v>
      </c>
      <c r="M2758" s="116">
        <v>279.35000000000002</v>
      </c>
      <c r="N2758" s="116">
        <v>293.11</v>
      </c>
      <c r="O2758" s="116">
        <v>276.89999999999998</v>
      </c>
      <c r="P2758" s="116">
        <v>293.11</v>
      </c>
      <c r="Q2758" s="116">
        <v>279.35000000000002</v>
      </c>
      <c r="R2758">
        <v>42069</v>
      </c>
    </row>
    <row r="2759" spans="1:18" x14ac:dyDescent="0.25">
      <c r="A2759" s="170">
        <v>46104</v>
      </c>
      <c r="B2759">
        <v>258.05</v>
      </c>
      <c r="C2759">
        <v>243.65</v>
      </c>
      <c r="D2759">
        <v>243.65</v>
      </c>
      <c r="E2759">
        <v>258.05</v>
      </c>
      <c r="F2759">
        <v>243.65</v>
      </c>
      <c r="G2759">
        <v>955</v>
      </c>
      <c r="H2759" s="116"/>
      <c r="I2759" s="116"/>
      <c r="L2759" s="170">
        <v>46072</v>
      </c>
      <c r="M2759" s="116">
        <v>274.77999999999997</v>
      </c>
      <c r="N2759" s="116">
        <v>279.95</v>
      </c>
      <c r="O2759" s="116">
        <v>273</v>
      </c>
      <c r="P2759" s="116">
        <v>275</v>
      </c>
      <c r="Q2759" s="116">
        <v>274.77999999999997</v>
      </c>
      <c r="R2759">
        <v>12270</v>
      </c>
    </row>
    <row r="2760" spans="1:18" x14ac:dyDescent="0.25">
      <c r="A2760" s="170">
        <v>46105</v>
      </c>
      <c r="B2760">
        <v>256.2</v>
      </c>
      <c r="C2760">
        <v>254.8</v>
      </c>
      <c r="D2760">
        <v>245.45</v>
      </c>
      <c r="E2760">
        <v>247.45</v>
      </c>
      <c r="F2760">
        <v>254.8</v>
      </c>
      <c r="G2760">
        <v>509</v>
      </c>
      <c r="H2760" s="116"/>
      <c r="I2760" s="116"/>
      <c r="L2760" s="170">
        <v>46073</v>
      </c>
      <c r="M2760" s="116">
        <v>276.14</v>
      </c>
      <c r="N2760" s="116">
        <v>276.89</v>
      </c>
      <c r="O2760" s="116">
        <v>272.88</v>
      </c>
      <c r="P2760" s="116">
        <v>274.77999999999997</v>
      </c>
      <c r="Q2760" s="116">
        <v>276.14</v>
      </c>
      <c r="R2760">
        <v>8461</v>
      </c>
    </row>
    <row r="2761" spans="1:18" x14ac:dyDescent="0.25">
      <c r="A2761" s="170">
        <v>46106</v>
      </c>
      <c r="B2761">
        <v>257.14999999999998</v>
      </c>
      <c r="C2761">
        <v>254.45</v>
      </c>
      <c r="D2761">
        <v>239.5</v>
      </c>
      <c r="E2761">
        <v>239.5</v>
      </c>
      <c r="F2761">
        <v>254.45</v>
      </c>
      <c r="G2761">
        <v>339</v>
      </c>
      <c r="H2761" s="116"/>
      <c r="I2761" s="116"/>
      <c r="L2761" s="170">
        <v>46076</v>
      </c>
      <c r="M2761" s="116">
        <v>276.10000000000002</v>
      </c>
      <c r="N2761" s="116">
        <v>285</v>
      </c>
      <c r="O2761" s="116">
        <v>272.85000000000002</v>
      </c>
      <c r="P2761" s="116">
        <v>277.48</v>
      </c>
      <c r="Q2761" s="116">
        <v>276.10000000000002</v>
      </c>
      <c r="R2761">
        <v>14401</v>
      </c>
    </row>
    <row r="2762" spans="1:18" x14ac:dyDescent="0.25">
      <c r="A2762" s="170">
        <v>46108</v>
      </c>
      <c r="B2762">
        <v>264.2</v>
      </c>
      <c r="C2762">
        <v>264.2</v>
      </c>
      <c r="D2762">
        <v>251.55</v>
      </c>
      <c r="E2762">
        <v>252.45</v>
      </c>
      <c r="F2762">
        <v>264.2</v>
      </c>
      <c r="G2762">
        <v>567</v>
      </c>
      <c r="H2762" s="116"/>
      <c r="I2762" s="116"/>
      <c r="L2762" s="170">
        <v>46077</v>
      </c>
      <c r="M2762" s="116">
        <v>271.38</v>
      </c>
      <c r="N2762" s="116">
        <v>284.08</v>
      </c>
      <c r="O2762" s="116">
        <v>270.10000000000002</v>
      </c>
      <c r="P2762" s="116">
        <v>277.5</v>
      </c>
      <c r="Q2762" s="116">
        <v>271.38</v>
      </c>
      <c r="R2762">
        <v>15723</v>
      </c>
    </row>
    <row r="2763" spans="1:18" x14ac:dyDescent="0.25">
      <c r="A2763" s="170">
        <v>46111</v>
      </c>
      <c r="B2763">
        <v>266.8</v>
      </c>
      <c r="C2763">
        <v>245.5</v>
      </c>
      <c r="D2763">
        <v>243.8</v>
      </c>
      <c r="E2763">
        <v>266.8</v>
      </c>
      <c r="F2763">
        <v>245.5</v>
      </c>
      <c r="G2763">
        <v>744</v>
      </c>
      <c r="H2763" s="116"/>
      <c r="I2763" s="116"/>
      <c r="L2763" s="170">
        <v>46078</v>
      </c>
      <c r="M2763" s="116">
        <v>275.95999999999998</v>
      </c>
      <c r="N2763" s="116">
        <v>276.49</v>
      </c>
      <c r="O2763" s="116">
        <v>271.01</v>
      </c>
      <c r="P2763" s="116">
        <v>273.55</v>
      </c>
      <c r="Q2763" s="116">
        <v>275.95999999999998</v>
      </c>
      <c r="R2763">
        <v>7473</v>
      </c>
    </row>
    <row r="2764" spans="1:18" x14ac:dyDescent="0.25">
      <c r="A2764" s="170">
        <v>46113</v>
      </c>
      <c r="B2764">
        <v>266.64999999999998</v>
      </c>
      <c r="C2764">
        <v>252</v>
      </c>
      <c r="D2764">
        <v>249.65</v>
      </c>
      <c r="E2764">
        <v>262</v>
      </c>
      <c r="F2764">
        <v>252</v>
      </c>
      <c r="G2764">
        <v>9145</v>
      </c>
      <c r="H2764" s="116"/>
      <c r="I2764" s="116"/>
      <c r="L2764" s="170">
        <v>46079</v>
      </c>
      <c r="M2764" s="116">
        <v>271.88</v>
      </c>
      <c r="N2764" s="116">
        <v>281.69</v>
      </c>
      <c r="O2764" s="116">
        <v>271.10000000000002</v>
      </c>
      <c r="P2764" s="116">
        <v>278.29000000000002</v>
      </c>
      <c r="Q2764" s="116">
        <v>271.88</v>
      </c>
      <c r="R2764">
        <v>16782</v>
      </c>
    </row>
    <row r="2765" spans="1:18" x14ac:dyDescent="0.25">
      <c r="A2765" s="170">
        <v>46114</v>
      </c>
      <c r="B2765">
        <v>257.8</v>
      </c>
      <c r="C2765">
        <v>253.9</v>
      </c>
      <c r="D2765">
        <v>247.8</v>
      </c>
      <c r="E2765">
        <v>249.65</v>
      </c>
      <c r="F2765">
        <v>253.9</v>
      </c>
      <c r="G2765">
        <v>661</v>
      </c>
      <c r="H2765" s="116"/>
      <c r="I2765" s="116"/>
      <c r="L2765" s="170">
        <v>46080</v>
      </c>
      <c r="M2765" s="116">
        <v>271.86</v>
      </c>
      <c r="N2765" s="116">
        <v>277.7</v>
      </c>
      <c r="O2765" s="116">
        <v>270</v>
      </c>
      <c r="P2765" s="116">
        <v>275.94</v>
      </c>
      <c r="Q2765" s="116">
        <v>271.86</v>
      </c>
      <c r="R2765">
        <v>19605</v>
      </c>
    </row>
    <row r="2766" spans="1:18" x14ac:dyDescent="0.25">
      <c r="A2766" s="170">
        <v>46118</v>
      </c>
      <c r="B2766">
        <v>256.3</v>
      </c>
      <c r="C2766">
        <v>254.7</v>
      </c>
      <c r="D2766">
        <v>249.3</v>
      </c>
      <c r="E2766">
        <v>256.3</v>
      </c>
      <c r="F2766">
        <v>254.7</v>
      </c>
      <c r="G2766">
        <v>709</v>
      </c>
      <c r="H2766" s="116"/>
      <c r="I2766" s="116"/>
      <c r="L2766" s="170">
        <v>46083</v>
      </c>
      <c r="M2766" s="116">
        <v>268.5</v>
      </c>
      <c r="N2766" s="116">
        <v>269.14999999999998</v>
      </c>
      <c r="O2766" s="116">
        <v>265</v>
      </c>
      <c r="P2766" s="116">
        <v>269.14999999999998</v>
      </c>
      <c r="Q2766" s="116">
        <v>268.5</v>
      </c>
      <c r="R2766">
        <v>9218</v>
      </c>
    </row>
    <row r="2767" spans="1:18" x14ac:dyDescent="0.25">
      <c r="A2767" s="170">
        <v>46119</v>
      </c>
      <c r="B2767">
        <v>261.64999999999998</v>
      </c>
      <c r="C2767">
        <v>255</v>
      </c>
      <c r="D2767">
        <v>255</v>
      </c>
      <c r="E2767">
        <v>255.2</v>
      </c>
      <c r="F2767">
        <v>255</v>
      </c>
      <c r="G2767">
        <v>1926</v>
      </c>
      <c r="H2767" s="116"/>
      <c r="I2767" s="116"/>
      <c r="L2767" s="170">
        <v>46085</v>
      </c>
      <c r="M2767" s="116">
        <v>264.55</v>
      </c>
      <c r="N2767" s="116">
        <v>267</v>
      </c>
      <c r="O2767" s="116">
        <v>259.60000000000002</v>
      </c>
      <c r="P2767" s="116">
        <v>261</v>
      </c>
      <c r="Q2767" s="116">
        <v>264.55</v>
      </c>
      <c r="R2767">
        <v>11842</v>
      </c>
    </row>
    <row r="2768" spans="1:18" x14ac:dyDescent="0.25">
      <c r="A2768" s="170">
        <v>46120</v>
      </c>
      <c r="B2768">
        <v>265.7</v>
      </c>
      <c r="C2768">
        <v>260.5</v>
      </c>
      <c r="D2768">
        <v>260.5</v>
      </c>
      <c r="E2768">
        <v>263.39999999999998</v>
      </c>
      <c r="F2768">
        <v>260.5</v>
      </c>
      <c r="G2768">
        <v>197</v>
      </c>
      <c r="H2768" s="116"/>
      <c r="I2768" s="116"/>
      <c r="L2768" s="170">
        <v>46086</v>
      </c>
      <c r="M2768" s="116">
        <v>266.14999999999998</v>
      </c>
      <c r="N2768" s="116">
        <v>270.7</v>
      </c>
      <c r="O2768" s="116">
        <v>264.10000000000002</v>
      </c>
      <c r="P2768" s="116">
        <v>266.7</v>
      </c>
      <c r="Q2768" s="116">
        <v>266.14999999999998</v>
      </c>
      <c r="R2768">
        <v>9093</v>
      </c>
    </row>
    <row r="2769" spans="1:18" x14ac:dyDescent="0.25">
      <c r="A2769" s="170">
        <v>46121</v>
      </c>
      <c r="B2769">
        <v>270</v>
      </c>
      <c r="C2769">
        <v>262.14999999999998</v>
      </c>
      <c r="D2769">
        <v>259.8</v>
      </c>
      <c r="E2769">
        <v>270</v>
      </c>
      <c r="F2769">
        <v>262.14999999999998</v>
      </c>
      <c r="G2769">
        <v>632</v>
      </c>
      <c r="H2769" s="116"/>
      <c r="I2769" s="116"/>
      <c r="L2769" s="170">
        <v>46087</v>
      </c>
      <c r="M2769" s="116">
        <v>259.55</v>
      </c>
      <c r="N2769" s="116">
        <v>268.3</v>
      </c>
      <c r="O2769" s="116">
        <v>258</v>
      </c>
      <c r="P2769" s="116">
        <v>263</v>
      </c>
      <c r="Q2769" s="116">
        <v>259.55</v>
      </c>
      <c r="R2769">
        <v>10147</v>
      </c>
    </row>
    <row r="2770" spans="1:18" x14ac:dyDescent="0.25">
      <c r="A2770" s="170">
        <v>46122</v>
      </c>
      <c r="B2770">
        <v>266.55</v>
      </c>
      <c r="C2770">
        <v>264.89999999999998</v>
      </c>
      <c r="D2770">
        <v>262.14999999999998</v>
      </c>
      <c r="E2770">
        <v>264</v>
      </c>
      <c r="F2770">
        <v>264.89999999999998</v>
      </c>
      <c r="G2770">
        <v>437</v>
      </c>
      <c r="H2770" s="116"/>
      <c r="I2770" s="116"/>
      <c r="L2770" s="170">
        <v>46090</v>
      </c>
      <c r="M2770" s="116">
        <v>258.35000000000002</v>
      </c>
      <c r="N2770" s="116">
        <v>261.39999999999998</v>
      </c>
      <c r="O2770" s="116">
        <v>254.5</v>
      </c>
      <c r="P2770" s="116">
        <v>260.7</v>
      </c>
      <c r="Q2770" s="116">
        <v>258.35000000000002</v>
      </c>
      <c r="R2770">
        <v>15062</v>
      </c>
    </row>
    <row r="2771" spans="1:18" x14ac:dyDescent="0.25">
      <c r="A2771" s="170">
        <v>46125</v>
      </c>
      <c r="B2771">
        <v>266.3</v>
      </c>
      <c r="C2771">
        <v>263.55</v>
      </c>
      <c r="D2771">
        <v>259.75</v>
      </c>
      <c r="E2771">
        <v>263.60000000000002</v>
      </c>
      <c r="F2771">
        <v>263.55</v>
      </c>
      <c r="G2771">
        <v>164</v>
      </c>
      <c r="H2771" s="116"/>
      <c r="I2771" s="116"/>
      <c r="L2771" s="170">
        <v>46091</v>
      </c>
      <c r="M2771" s="116">
        <v>260.60000000000002</v>
      </c>
      <c r="N2771" s="116">
        <v>268.05</v>
      </c>
      <c r="O2771" s="116">
        <v>257.05</v>
      </c>
      <c r="P2771" s="116">
        <v>260.5</v>
      </c>
      <c r="Q2771" s="116">
        <v>260.60000000000002</v>
      </c>
      <c r="R2771">
        <v>18630</v>
      </c>
    </row>
    <row r="2772" spans="1:18" x14ac:dyDescent="0.25">
      <c r="A2772" s="170">
        <v>46127</v>
      </c>
      <c r="B2772">
        <v>272.55</v>
      </c>
      <c r="C2772">
        <v>264.89999999999998</v>
      </c>
      <c r="D2772">
        <v>260.3</v>
      </c>
      <c r="E2772">
        <v>268.55</v>
      </c>
      <c r="F2772">
        <v>264.89999999999998</v>
      </c>
      <c r="G2772">
        <v>2208</v>
      </c>
      <c r="H2772" s="116"/>
      <c r="I2772" s="116"/>
      <c r="L2772" s="170">
        <v>46092</v>
      </c>
      <c r="M2772" s="116">
        <v>249.25</v>
      </c>
      <c r="N2772" s="116">
        <v>260.60000000000002</v>
      </c>
      <c r="O2772" s="116">
        <v>247</v>
      </c>
      <c r="P2772" s="116">
        <v>260.60000000000002</v>
      </c>
      <c r="Q2772" s="116">
        <v>249.25</v>
      </c>
      <c r="R2772">
        <v>79023</v>
      </c>
    </row>
    <row r="2773" spans="1:18" x14ac:dyDescent="0.25">
      <c r="A2773" s="170">
        <v>46128</v>
      </c>
      <c r="B2773">
        <v>272.55</v>
      </c>
      <c r="C2773">
        <v>269.25</v>
      </c>
      <c r="D2773">
        <v>264</v>
      </c>
      <c r="E2773">
        <v>265.14999999999998</v>
      </c>
      <c r="F2773">
        <v>269.25</v>
      </c>
      <c r="G2773">
        <v>4500</v>
      </c>
      <c r="H2773" s="116"/>
      <c r="I2773" s="116"/>
      <c r="L2773" s="170">
        <v>46093</v>
      </c>
      <c r="M2773" s="116">
        <v>251</v>
      </c>
      <c r="N2773" s="116">
        <v>252.75</v>
      </c>
      <c r="O2773" s="116">
        <v>246.85</v>
      </c>
      <c r="P2773" s="116">
        <v>250.9</v>
      </c>
      <c r="Q2773" s="116">
        <v>251</v>
      </c>
      <c r="R2773">
        <v>8284</v>
      </c>
    </row>
    <row r="2774" spans="1:18" x14ac:dyDescent="0.25">
      <c r="A2774" s="170">
        <v>46129</v>
      </c>
      <c r="B2774">
        <v>274.2</v>
      </c>
      <c r="C2774">
        <v>270.95</v>
      </c>
      <c r="D2774">
        <v>267.25</v>
      </c>
      <c r="E2774">
        <v>270</v>
      </c>
      <c r="F2774">
        <v>270.95</v>
      </c>
      <c r="G2774">
        <v>1520</v>
      </c>
      <c r="H2774" s="116"/>
      <c r="I2774" s="116"/>
      <c r="L2774" s="170">
        <v>46094</v>
      </c>
      <c r="M2774" s="116">
        <v>243.55</v>
      </c>
      <c r="N2774" s="116">
        <v>251.8</v>
      </c>
      <c r="O2774" s="116">
        <v>240</v>
      </c>
      <c r="P2774" s="116">
        <v>251</v>
      </c>
      <c r="Q2774" s="116">
        <v>243.55</v>
      </c>
      <c r="R2774">
        <v>15761</v>
      </c>
    </row>
    <row r="2775" spans="1:18" x14ac:dyDescent="0.25">
      <c r="A2775" s="170">
        <v>46132</v>
      </c>
      <c r="B2775">
        <v>271.64999999999998</v>
      </c>
      <c r="C2775">
        <v>267.89999999999998</v>
      </c>
      <c r="D2775">
        <v>259.55</v>
      </c>
      <c r="E2775">
        <v>259.55</v>
      </c>
      <c r="F2775">
        <v>267.89999999999998</v>
      </c>
      <c r="G2775">
        <v>6465</v>
      </c>
      <c r="H2775" s="116"/>
      <c r="I2775" s="116"/>
      <c r="L2775" s="170">
        <v>46097</v>
      </c>
      <c r="M2775" s="116">
        <v>255.5</v>
      </c>
      <c r="N2775" s="116">
        <v>257</v>
      </c>
      <c r="O2775" s="116">
        <v>239.15</v>
      </c>
      <c r="P2775" s="116">
        <v>243.55</v>
      </c>
      <c r="Q2775" s="116">
        <v>255.5</v>
      </c>
      <c r="R2775">
        <v>27760</v>
      </c>
    </row>
    <row r="2776" spans="1:18" x14ac:dyDescent="0.25">
      <c r="A2776" s="170">
        <v>46133</v>
      </c>
      <c r="B2776">
        <v>274.3</v>
      </c>
      <c r="C2776">
        <v>263.45</v>
      </c>
      <c r="D2776">
        <v>263</v>
      </c>
      <c r="E2776">
        <v>274.3</v>
      </c>
      <c r="F2776">
        <v>263.45</v>
      </c>
      <c r="G2776">
        <v>461</v>
      </c>
      <c r="H2776" s="116"/>
      <c r="I2776" s="116"/>
      <c r="L2776" s="170">
        <v>46098</v>
      </c>
      <c r="M2776" s="116">
        <v>264.35000000000002</v>
      </c>
      <c r="N2776" s="116">
        <v>267.45</v>
      </c>
      <c r="O2776" s="116">
        <v>255.45</v>
      </c>
      <c r="P2776" s="116">
        <v>256</v>
      </c>
      <c r="Q2776" s="116">
        <v>264.35000000000002</v>
      </c>
      <c r="R2776">
        <v>19779</v>
      </c>
    </row>
    <row r="2777" spans="1:18" x14ac:dyDescent="0.25">
      <c r="A2777" s="170">
        <v>46134</v>
      </c>
      <c r="B2777">
        <v>277.95</v>
      </c>
      <c r="C2777">
        <v>269.55</v>
      </c>
      <c r="D2777">
        <v>263.55</v>
      </c>
      <c r="E2777">
        <v>269.2</v>
      </c>
      <c r="F2777">
        <v>269.55</v>
      </c>
      <c r="G2777">
        <v>818</v>
      </c>
      <c r="H2777" s="116"/>
      <c r="I2777" s="116"/>
      <c r="L2777" s="170">
        <v>46099</v>
      </c>
      <c r="M2777" s="116">
        <v>263.89999999999998</v>
      </c>
      <c r="N2777" s="116">
        <v>267</v>
      </c>
      <c r="O2777" s="116">
        <v>262</v>
      </c>
      <c r="P2777" s="116">
        <v>264</v>
      </c>
      <c r="Q2777" s="116">
        <v>263.89999999999998</v>
      </c>
      <c r="R2777">
        <v>9890</v>
      </c>
    </row>
    <row r="2778" spans="1:18" x14ac:dyDescent="0.25">
      <c r="A2778" s="170">
        <v>46135</v>
      </c>
      <c r="B2778">
        <v>278.5</v>
      </c>
      <c r="C2778">
        <v>268.10000000000002</v>
      </c>
      <c r="D2778">
        <v>266.64999999999998</v>
      </c>
      <c r="E2778">
        <v>274</v>
      </c>
      <c r="F2778">
        <v>268.10000000000002</v>
      </c>
      <c r="G2778">
        <v>531</v>
      </c>
      <c r="H2778" s="116"/>
      <c r="I2778" s="116"/>
      <c r="L2778" s="170">
        <v>46100</v>
      </c>
      <c r="M2778" s="116">
        <v>259.10000000000002</v>
      </c>
      <c r="N2778" s="116">
        <v>274.8</v>
      </c>
      <c r="O2778" s="116">
        <v>257.2</v>
      </c>
      <c r="P2778" s="116">
        <v>264.55</v>
      </c>
      <c r="Q2778" s="116">
        <v>259.10000000000002</v>
      </c>
      <c r="R2778">
        <v>60312</v>
      </c>
    </row>
    <row r="2779" spans="1:18" x14ac:dyDescent="0.25">
      <c r="A2779" s="170">
        <v>46136</v>
      </c>
      <c r="B2779">
        <v>269.55</v>
      </c>
      <c r="C2779">
        <v>265.3</v>
      </c>
      <c r="D2779">
        <v>265</v>
      </c>
      <c r="E2779">
        <v>266.39999999999998</v>
      </c>
      <c r="F2779">
        <v>265.3</v>
      </c>
      <c r="G2779">
        <v>354</v>
      </c>
      <c r="H2779" s="116"/>
      <c r="I2779" s="116"/>
      <c r="L2779" s="170">
        <v>46101</v>
      </c>
      <c r="M2779" s="116">
        <v>259</v>
      </c>
      <c r="N2779" s="116">
        <v>265.39999999999998</v>
      </c>
      <c r="O2779" s="116">
        <v>258</v>
      </c>
      <c r="P2779" s="116">
        <v>265.39999999999998</v>
      </c>
      <c r="Q2779" s="116">
        <v>259</v>
      </c>
      <c r="R2779">
        <v>9478</v>
      </c>
    </row>
    <row r="2780" spans="1:18" x14ac:dyDescent="0.25">
      <c r="A2780" s="170">
        <v>46139</v>
      </c>
      <c r="B2780">
        <v>270.3</v>
      </c>
      <c r="C2780">
        <v>267.05</v>
      </c>
      <c r="D2780">
        <v>255.75</v>
      </c>
      <c r="E2780">
        <v>255.75</v>
      </c>
      <c r="F2780">
        <v>267.05</v>
      </c>
      <c r="G2780">
        <v>4125</v>
      </c>
      <c r="H2780" s="116"/>
      <c r="I2780" s="116"/>
      <c r="L2780" s="170">
        <v>46104</v>
      </c>
      <c r="M2780" s="116">
        <v>242.6</v>
      </c>
      <c r="N2780" s="116">
        <v>261.89999999999998</v>
      </c>
      <c r="O2780" s="116">
        <v>241.5</v>
      </c>
      <c r="P2780" s="116">
        <v>261.05</v>
      </c>
      <c r="Q2780" s="116">
        <v>242.6</v>
      </c>
      <c r="R2780">
        <v>27687</v>
      </c>
    </row>
    <row r="2781" spans="1:18" x14ac:dyDescent="0.25">
      <c r="A2781" s="170">
        <v>46140</v>
      </c>
      <c r="B2781">
        <v>269</v>
      </c>
      <c r="C2781">
        <v>267.60000000000002</v>
      </c>
      <c r="D2781">
        <v>266.2</v>
      </c>
      <c r="E2781">
        <v>267.3</v>
      </c>
      <c r="F2781">
        <v>267.60000000000002</v>
      </c>
      <c r="G2781">
        <v>230</v>
      </c>
      <c r="H2781" s="116"/>
      <c r="I2781" s="116"/>
      <c r="L2781" s="170">
        <v>46105</v>
      </c>
      <c r="M2781" s="116">
        <v>254.3</v>
      </c>
      <c r="N2781" s="116">
        <v>255.95</v>
      </c>
      <c r="O2781" s="116">
        <v>244.7</v>
      </c>
      <c r="P2781" s="116">
        <v>244.7</v>
      </c>
      <c r="Q2781" s="116">
        <v>254.3</v>
      </c>
      <c r="R2781">
        <v>15111</v>
      </c>
    </row>
    <row r="2782" spans="1:18" x14ac:dyDescent="0.25">
      <c r="A2782" s="170">
        <v>46141</v>
      </c>
      <c r="B2782">
        <v>269.05</v>
      </c>
      <c r="C2782">
        <v>268.2</v>
      </c>
      <c r="D2782">
        <v>267.60000000000002</v>
      </c>
      <c r="E2782">
        <v>267.64999999999998</v>
      </c>
      <c r="F2782">
        <v>268.2</v>
      </c>
      <c r="G2782">
        <v>570</v>
      </c>
      <c r="H2782" s="116"/>
      <c r="I2782" s="116"/>
      <c r="L2782" s="170">
        <v>46106</v>
      </c>
      <c r="M2782" s="116">
        <v>256.75</v>
      </c>
      <c r="N2782" s="116">
        <v>259.95</v>
      </c>
      <c r="O2782" s="116">
        <v>250.95</v>
      </c>
      <c r="P2782" s="116">
        <v>254.3</v>
      </c>
      <c r="Q2782" s="116">
        <v>256.75</v>
      </c>
      <c r="R2782">
        <v>28549</v>
      </c>
    </row>
    <row r="2783" spans="1:18" x14ac:dyDescent="0.25">
      <c r="A2783" s="170">
        <v>46142</v>
      </c>
      <c r="B2783">
        <v>270.5</v>
      </c>
      <c r="C2783">
        <v>267.45</v>
      </c>
      <c r="D2783">
        <v>264.55</v>
      </c>
      <c r="E2783">
        <v>269</v>
      </c>
      <c r="F2783">
        <v>267.45</v>
      </c>
      <c r="G2783">
        <v>5825</v>
      </c>
      <c r="H2783" s="116"/>
      <c r="I2783" s="116"/>
      <c r="L2783" s="170">
        <v>46108</v>
      </c>
      <c r="M2783" s="116">
        <v>265.45</v>
      </c>
      <c r="N2783" s="116">
        <v>267</v>
      </c>
      <c r="O2783" s="116">
        <v>249</v>
      </c>
      <c r="P2783" s="116">
        <v>256.75</v>
      </c>
      <c r="Q2783" s="116">
        <v>265.45</v>
      </c>
      <c r="R2783">
        <v>45590</v>
      </c>
    </row>
    <row r="2784" spans="1:18" x14ac:dyDescent="0.25">
      <c r="A2784" s="170">
        <v>46146</v>
      </c>
      <c r="B2784">
        <v>271.95</v>
      </c>
      <c r="C2784">
        <v>271.85000000000002</v>
      </c>
      <c r="D2784">
        <v>267.8</v>
      </c>
      <c r="E2784">
        <v>271.3</v>
      </c>
      <c r="F2784">
        <v>271.85000000000002</v>
      </c>
      <c r="G2784">
        <v>3824</v>
      </c>
      <c r="H2784" s="116"/>
      <c r="I2784" s="116"/>
      <c r="L2784" s="170">
        <v>46111</v>
      </c>
      <c r="M2784" s="116">
        <v>246.55</v>
      </c>
      <c r="N2784" s="116">
        <v>267.7</v>
      </c>
      <c r="O2784" s="116">
        <v>244.25</v>
      </c>
      <c r="P2784" s="116">
        <v>258.3</v>
      </c>
      <c r="Q2784" s="116">
        <v>246.55</v>
      </c>
      <c r="R2784">
        <v>22423</v>
      </c>
    </row>
    <row r="2785" spans="1:18" x14ac:dyDescent="0.25">
      <c r="A2785" s="170">
        <v>46147</v>
      </c>
      <c r="B2785">
        <v>271.95</v>
      </c>
      <c r="C2785">
        <v>266.64999999999998</v>
      </c>
      <c r="D2785">
        <v>264.95</v>
      </c>
      <c r="E2785">
        <v>271.95</v>
      </c>
      <c r="F2785">
        <v>266.64999999999998</v>
      </c>
      <c r="G2785">
        <v>756</v>
      </c>
      <c r="H2785" s="116"/>
      <c r="I2785" s="116"/>
      <c r="L2785" s="170">
        <v>46113</v>
      </c>
      <c r="M2785" s="116">
        <v>254.36</v>
      </c>
      <c r="N2785" s="116">
        <v>270</v>
      </c>
      <c r="O2785" s="116">
        <v>246.1</v>
      </c>
      <c r="P2785" s="116">
        <v>246.1</v>
      </c>
      <c r="Q2785" s="116">
        <v>254.36</v>
      </c>
      <c r="R2785">
        <v>19815</v>
      </c>
    </row>
    <row r="2786" spans="1:18" x14ac:dyDescent="0.25">
      <c r="A2786" s="170">
        <v>46148</v>
      </c>
      <c r="B2786">
        <v>269.89999999999998</v>
      </c>
      <c r="C2786">
        <v>268.8</v>
      </c>
      <c r="D2786">
        <v>263.89999999999998</v>
      </c>
      <c r="E2786">
        <v>269.89999999999998</v>
      </c>
      <c r="F2786">
        <v>268.8</v>
      </c>
      <c r="G2786">
        <v>96</v>
      </c>
      <c r="H2786" s="116"/>
      <c r="I2786" s="116"/>
      <c r="L2786" s="170">
        <v>46114</v>
      </c>
      <c r="M2786" s="116">
        <v>254.66</v>
      </c>
      <c r="N2786" s="116">
        <v>264.85000000000002</v>
      </c>
      <c r="O2786" s="116">
        <v>246.75</v>
      </c>
      <c r="P2786" s="116">
        <v>247</v>
      </c>
      <c r="Q2786" s="116">
        <v>254.66</v>
      </c>
      <c r="R2786">
        <v>14080</v>
      </c>
    </row>
    <row r="2787" spans="1:18" x14ac:dyDescent="0.25">
      <c r="A2787" s="170">
        <v>46149</v>
      </c>
      <c r="B2787">
        <v>272.95</v>
      </c>
      <c r="C2787">
        <v>272.55</v>
      </c>
      <c r="D2787">
        <v>268</v>
      </c>
      <c r="E2787">
        <v>268.8</v>
      </c>
      <c r="F2787">
        <v>272.55</v>
      </c>
      <c r="G2787">
        <v>877</v>
      </c>
      <c r="H2787" s="116"/>
      <c r="I2787" s="116"/>
      <c r="L2787" s="170">
        <v>46118</v>
      </c>
      <c r="M2787" s="116">
        <v>255.54</v>
      </c>
      <c r="N2787" s="116">
        <v>260.86</v>
      </c>
      <c r="O2787" s="116">
        <v>247.3</v>
      </c>
      <c r="P2787" s="116">
        <v>254.67</v>
      </c>
      <c r="Q2787" s="116">
        <v>255.54</v>
      </c>
      <c r="R2787">
        <v>14997</v>
      </c>
    </row>
    <row r="2788" spans="1:18" x14ac:dyDescent="0.25">
      <c r="A2788" s="170">
        <v>46150</v>
      </c>
      <c r="B2788">
        <v>267.39999999999998</v>
      </c>
      <c r="C2788">
        <v>264.8</v>
      </c>
      <c r="D2788">
        <v>264.39999999999998</v>
      </c>
      <c r="E2788">
        <v>267.39999999999998</v>
      </c>
      <c r="F2788">
        <v>264.8</v>
      </c>
      <c r="G2788">
        <v>645</v>
      </c>
      <c r="H2788" s="116"/>
      <c r="I2788" s="116"/>
      <c r="L2788" s="170">
        <v>46119</v>
      </c>
      <c r="M2788" s="116">
        <v>257.51</v>
      </c>
      <c r="N2788" s="116">
        <v>263.83</v>
      </c>
      <c r="O2788" s="116">
        <v>253</v>
      </c>
      <c r="P2788" s="116">
        <v>261.86</v>
      </c>
      <c r="Q2788" s="116">
        <v>257.51</v>
      </c>
      <c r="R2788">
        <v>15007</v>
      </c>
    </row>
    <row r="2789" spans="1:18" x14ac:dyDescent="0.25">
      <c r="A2789" s="170">
        <v>46153</v>
      </c>
      <c r="B2789">
        <v>274</v>
      </c>
      <c r="C2789">
        <v>265.60000000000002</v>
      </c>
      <c r="D2789">
        <v>259.05</v>
      </c>
      <c r="E2789">
        <v>274</v>
      </c>
      <c r="F2789">
        <v>265.60000000000002</v>
      </c>
      <c r="G2789">
        <v>572</v>
      </c>
      <c r="H2789" s="116"/>
      <c r="I2789" s="116"/>
      <c r="L2789" s="170">
        <v>46120</v>
      </c>
      <c r="M2789" s="116">
        <v>260.11</v>
      </c>
      <c r="N2789" s="116">
        <v>268.5</v>
      </c>
      <c r="O2789" s="116">
        <v>258.01</v>
      </c>
      <c r="P2789" s="116">
        <v>261</v>
      </c>
      <c r="Q2789" s="116">
        <v>260.11</v>
      </c>
      <c r="R2789">
        <v>20202</v>
      </c>
    </row>
    <row r="2790" spans="1:18" x14ac:dyDescent="0.25">
      <c r="A2790" s="170">
        <v>46154</v>
      </c>
      <c r="B2790">
        <v>267.3</v>
      </c>
      <c r="C2790">
        <v>251.05</v>
      </c>
      <c r="D2790">
        <v>249.65</v>
      </c>
      <c r="E2790">
        <v>267.2</v>
      </c>
      <c r="F2790">
        <v>251.05</v>
      </c>
      <c r="G2790">
        <v>894</v>
      </c>
      <c r="H2790" s="116"/>
      <c r="I2790" s="116"/>
      <c r="L2790" s="170">
        <v>46121</v>
      </c>
      <c r="M2790" s="116">
        <v>262.86</v>
      </c>
      <c r="N2790" s="116">
        <v>264.89999999999998</v>
      </c>
      <c r="O2790" s="116">
        <v>257</v>
      </c>
      <c r="P2790" s="116">
        <v>260.11</v>
      </c>
      <c r="Q2790" s="116">
        <v>262.86</v>
      </c>
      <c r="R2790">
        <v>7498</v>
      </c>
    </row>
    <row r="2791" spans="1:18" x14ac:dyDescent="0.25">
      <c r="A2791" s="170">
        <v>46155</v>
      </c>
      <c r="B2791">
        <v>256.10000000000002</v>
      </c>
      <c r="C2791">
        <v>238.35</v>
      </c>
      <c r="D2791">
        <v>236.4</v>
      </c>
      <c r="E2791">
        <v>256.10000000000002</v>
      </c>
      <c r="F2791">
        <v>238.35</v>
      </c>
      <c r="G2791">
        <v>2139</v>
      </c>
      <c r="H2791" s="116"/>
      <c r="I2791" s="116"/>
      <c r="L2791" s="170">
        <v>46122</v>
      </c>
      <c r="M2791" s="116">
        <v>266.72000000000003</v>
      </c>
      <c r="N2791" s="116">
        <v>267</v>
      </c>
      <c r="O2791" s="116">
        <v>262.2</v>
      </c>
      <c r="P2791" s="116">
        <v>263.95999999999998</v>
      </c>
      <c r="Q2791" s="116">
        <v>266.72000000000003</v>
      </c>
      <c r="R2791">
        <v>7074</v>
      </c>
    </row>
    <row r="2792" spans="1:18" x14ac:dyDescent="0.25">
      <c r="A2792" s="170">
        <v>46156</v>
      </c>
      <c r="B2792">
        <v>245</v>
      </c>
      <c r="C2792">
        <v>234.4</v>
      </c>
      <c r="D2792">
        <v>226.8</v>
      </c>
      <c r="E2792">
        <v>242.05</v>
      </c>
      <c r="F2792">
        <v>234.4</v>
      </c>
      <c r="G2792">
        <v>2053</v>
      </c>
      <c r="H2792" s="116"/>
      <c r="I2792" s="116"/>
      <c r="L2792" s="170">
        <v>46125</v>
      </c>
      <c r="M2792" s="116">
        <v>262.49</v>
      </c>
      <c r="N2792" s="116">
        <v>266.72000000000003</v>
      </c>
      <c r="O2792" s="116">
        <v>260.13</v>
      </c>
      <c r="P2792" s="116">
        <v>265.39999999999998</v>
      </c>
      <c r="Q2792" s="116">
        <v>262.49</v>
      </c>
      <c r="R2792">
        <v>10935</v>
      </c>
    </row>
    <row r="2793" spans="1:18" x14ac:dyDescent="0.25">
      <c r="A2793" s="170">
        <v>46157</v>
      </c>
      <c r="B2793">
        <v>237.8</v>
      </c>
      <c r="C2793">
        <v>233.2</v>
      </c>
      <c r="D2793">
        <v>228.85</v>
      </c>
      <c r="E2793">
        <v>236.05</v>
      </c>
      <c r="F2793">
        <v>233.2</v>
      </c>
      <c r="G2793">
        <v>838</v>
      </c>
      <c r="H2793" s="116"/>
      <c r="I2793" s="116"/>
      <c r="L2793" s="170">
        <v>46127</v>
      </c>
      <c r="M2793" s="116">
        <v>263.47000000000003</v>
      </c>
      <c r="N2793" s="116">
        <v>269.88</v>
      </c>
      <c r="O2793" s="116">
        <v>261.01</v>
      </c>
      <c r="P2793" s="116">
        <v>268</v>
      </c>
      <c r="Q2793" s="116">
        <v>263.47000000000003</v>
      </c>
      <c r="R2793">
        <v>19375</v>
      </c>
    </row>
    <row r="2794" spans="1:18" x14ac:dyDescent="0.25">
      <c r="A2794" s="170">
        <v>46160</v>
      </c>
      <c r="B2794">
        <v>234.6</v>
      </c>
      <c r="C2794">
        <v>230.5</v>
      </c>
      <c r="D2794">
        <v>222.7</v>
      </c>
      <c r="E2794">
        <v>229.75</v>
      </c>
      <c r="F2794">
        <v>230.5</v>
      </c>
      <c r="G2794">
        <v>2818</v>
      </c>
      <c r="H2794" s="116"/>
      <c r="I2794" s="116"/>
      <c r="L2794" s="170">
        <v>46128</v>
      </c>
      <c r="M2794" s="116">
        <v>268.66000000000003</v>
      </c>
      <c r="N2794" s="116">
        <v>274.2</v>
      </c>
      <c r="O2794" s="116">
        <v>263.47000000000003</v>
      </c>
      <c r="P2794" s="116">
        <v>263.47000000000003</v>
      </c>
      <c r="Q2794" s="116">
        <v>268.66000000000003</v>
      </c>
      <c r="R2794">
        <v>36776</v>
      </c>
    </row>
    <row r="2795" spans="1:18" x14ac:dyDescent="0.25">
      <c r="A2795" s="170">
        <v>46161</v>
      </c>
      <c r="B2795">
        <v>240.5</v>
      </c>
      <c r="C2795">
        <v>234.85</v>
      </c>
      <c r="D2795">
        <v>232.4</v>
      </c>
      <c r="E2795">
        <v>234</v>
      </c>
      <c r="F2795">
        <v>234.85</v>
      </c>
      <c r="G2795">
        <v>782</v>
      </c>
      <c r="H2795" s="116"/>
      <c r="I2795" s="116"/>
      <c r="L2795" s="170">
        <v>46129</v>
      </c>
      <c r="M2795" s="116">
        <v>271.47000000000003</v>
      </c>
      <c r="N2795" s="116">
        <v>280.79000000000002</v>
      </c>
      <c r="O2795" s="116">
        <v>266.73</v>
      </c>
      <c r="P2795" s="116">
        <v>272</v>
      </c>
      <c r="Q2795" s="116">
        <v>271.47000000000003</v>
      </c>
      <c r="R2795">
        <v>24435</v>
      </c>
    </row>
    <row r="2796" spans="1:18" x14ac:dyDescent="0.25">
      <c r="A2796" s="170">
        <v>46162</v>
      </c>
      <c r="B2796">
        <v>235.3</v>
      </c>
      <c r="C2796">
        <v>234.15</v>
      </c>
      <c r="D2796">
        <v>230.85</v>
      </c>
      <c r="E2796">
        <v>233</v>
      </c>
      <c r="F2796">
        <v>234.15</v>
      </c>
      <c r="G2796">
        <v>160</v>
      </c>
      <c r="H2796" s="116"/>
      <c r="I2796" s="116"/>
      <c r="L2796" s="170">
        <v>46132</v>
      </c>
      <c r="M2796" s="116">
        <v>267.68</v>
      </c>
      <c r="N2796" s="116">
        <v>273</v>
      </c>
      <c r="O2796" s="116">
        <v>260</v>
      </c>
      <c r="P2796" s="116">
        <v>268.39999999999998</v>
      </c>
      <c r="Q2796" s="116">
        <v>267.68</v>
      </c>
      <c r="R2796">
        <v>28996</v>
      </c>
    </row>
    <row r="2797" spans="1:18" x14ac:dyDescent="0.25">
      <c r="A2797" s="170">
        <v>46163</v>
      </c>
      <c r="B2797">
        <v>239.2</v>
      </c>
      <c r="C2797">
        <v>234.95</v>
      </c>
      <c r="D2797">
        <v>231</v>
      </c>
      <c r="E2797">
        <v>232.25</v>
      </c>
      <c r="F2797">
        <v>234.95</v>
      </c>
      <c r="G2797">
        <v>492</v>
      </c>
      <c r="H2797" s="116"/>
      <c r="I2797" s="116"/>
      <c r="L2797" s="170">
        <v>46133</v>
      </c>
      <c r="M2797" s="116">
        <v>264.69</v>
      </c>
      <c r="N2797" s="116">
        <v>274.16000000000003</v>
      </c>
      <c r="O2797" s="116">
        <v>262.04000000000002</v>
      </c>
      <c r="P2797" s="116">
        <v>265.3</v>
      </c>
      <c r="Q2797" s="116">
        <v>264.69</v>
      </c>
      <c r="R2797">
        <v>16658</v>
      </c>
    </row>
    <row r="2798" spans="1:18" x14ac:dyDescent="0.25">
      <c r="A2798" s="170">
        <v>46164</v>
      </c>
      <c r="B2798">
        <v>237.65</v>
      </c>
      <c r="C2798">
        <v>234.35</v>
      </c>
      <c r="D2798">
        <v>230</v>
      </c>
      <c r="E2798">
        <v>237.65</v>
      </c>
      <c r="F2798">
        <v>234.35</v>
      </c>
      <c r="G2798">
        <v>428</v>
      </c>
      <c r="H2798" s="116"/>
      <c r="I2798" s="116"/>
      <c r="L2798" s="170">
        <v>46134</v>
      </c>
      <c r="M2798" s="116">
        <v>275.27</v>
      </c>
      <c r="N2798" s="116">
        <v>280.52</v>
      </c>
      <c r="O2798" s="116">
        <v>263</v>
      </c>
      <c r="P2798" s="116">
        <v>267.95999999999998</v>
      </c>
      <c r="Q2798" s="116">
        <v>275.27</v>
      </c>
      <c r="R2798">
        <v>26275</v>
      </c>
    </row>
    <row r="2799" spans="1:18" x14ac:dyDescent="0.25">
      <c r="A2799" s="170">
        <v>46167</v>
      </c>
      <c r="B2799">
        <v>236.15</v>
      </c>
      <c r="C2799">
        <v>234.85</v>
      </c>
      <c r="D2799">
        <v>232.6</v>
      </c>
      <c r="E2799">
        <v>234.85</v>
      </c>
      <c r="F2799">
        <v>234.85</v>
      </c>
      <c r="G2799">
        <v>362</v>
      </c>
      <c r="H2799" s="116"/>
      <c r="I2799" s="116"/>
      <c r="L2799" s="170">
        <v>46135</v>
      </c>
      <c r="M2799" s="116">
        <v>267.33</v>
      </c>
      <c r="N2799" s="116">
        <v>280.3</v>
      </c>
      <c r="O2799" s="116">
        <v>265</v>
      </c>
      <c r="P2799" s="116">
        <v>271.10000000000002</v>
      </c>
      <c r="Q2799" s="116">
        <v>267.33</v>
      </c>
      <c r="R2799">
        <v>25040</v>
      </c>
    </row>
    <row r="2800" spans="1:18" x14ac:dyDescent="0.25">
      <c r="A2800" s="170">
        <v>46168</v>
      </c>
      <c r="B2800">
        <v>238.85</v>
      </c>
      <c r="C2800">
        <v>231.75</v>
      </c>
      <c r="D2800">
        <v>230</v>
      </c>
      <c r="E2800">
        <v>230</v>
      </c>
      <c r="F2800">
        <v>231.75</v>
      </c>
      <c r="G2800">
        <v>24</v>
      </c>
      <c r="H2800" s="116"/>
      <c r="I2800" s="116"/>
      <c r="L2800" s="170">
        <v>46136</v>
      </c>
      <c r="M2800" s="116">
        <v>267.06</v>
      </c>
      <c r="N2800" s="116">
        <v>273.99</v>
      </c>
      <c r="O2800" s="116">
        <v>265.02</v>
      </c>
      <c r="P2800" s="116">
        <v>266.33999999999997</v>
      </c>
      <c r="Q2800" s="116">
        <v>267.06</v>
      </c>
      <c r="R2800">
        <v>4098</v>
      </c>
    </row>
    <row r="2801" spans="1:18" x14ac:dyDescent="0.25">
      <c r="A2801" s="170">
        <v>46169</v>
      </c>
      <c r="B2801">
        <v>272</v>
      </c>
      <c r="C2801">
        <v>235.95</v>
      </c>
      <c r="D2801">
        <v>233.6</v>
      </c>
      <c r="E2801">
        <v>233.65</v>
      </c>
      <c r="F2801">
        <v>235.95</v>
      </c>
      <c r="G2801">
        <v>52</v>
      </c>
      <c r="H2801" s="116"/>
      <c r="I2801" s="116"/>
      <c r="L2801" s="170">
        <v>46139</v>
      </c>
      <c r="M2801" s="116">
        <v>267.88</v>
      </c>
      <c r="N2801" s="116">
        <v>270</v>
      </c>
      <c r="O2801" s="116">
        <v>263.60000000000002</v>
      </c>
      <c r="P2801" s="116">
        <v>267.06</v>
      </c>
      <c r="Q2801" s="116">
        <v>267.88</v>
      </c>
      <c r="R2801">
        <v>20336</v>
      </c>
    </row>
    <row r="2802" spans="1:18" x14ac:dyDescent="0.25">
      <c r="A2802" s="170">
        <v>46171</v>
      </c>
      <c r="B2802">
        <v>238.6</v>
      </c>
      <c r="C2802">
        <v>235.7</v>
      </c>
      <c r="D2802">
        <v>234.8</v>
      </c>
      <c r="E2802">
        <v>236</v>
      </c>
      <c r="F2802">
        <v>235.7</v>
      </c>
      <c r="G2802">
        <v>181</v>
      </c>
      <c r="H2802" s="116"/>
      <c r="I2802" s="116"/>
      <c r="L2802" s="170">
        <v>46140</v>
      </c>
      <c r="M2802" s="116">
        <v>268.66000000000003</v>
      </c>
      <c r="N2802" s="116">
        <v>273.79000000000002</v>
      </c>
      <c r="O2802" s="116">
        <v>265.61</v>
      </c>
      <c r="P2802" s="116">
        <v>273.79000000000002</v>
      </c>
      <c r="Q2802" s="116">
        <v>268.66000000000003</v>
      </c>
      <c r="R2802">
        <v>10985</v>
      </c>
    </row>
    <row r="2803" spans="1:18" x14ac:dyDescent="0.25">
      <c r="A2803" s="170">
        <v>46174</v>
      </c>
      <c r="B2803">
        <v>239.95</v>
      </c>
      <c r="C2803">
        <v>232.55</v>
      </c>
      <c r="D2803">
        <v>232.55</v>
      </c>
      <c r="E2803">
        <v>239.95</v>
      </c>
      <c r="F2803">
        <v>232.55</v>
      </c>
      <c r="G2803">
        <v>151</v>
      </c>
      <c r="H2803" s="116"/>
      <c r="I2803" s="116"/>
      <c r="L2803" s="170">
        <v>46141</v>
      </c>
      <c r="M2803" s="116">
        <v>267.66000000000003</v>
      </c>
      <c r="N2803" s="116">
        <v>273.19</v>
      </c>
      <c r="O2803" s="116">
        <v>264</v>
      </c>
      <c r="P2803" s="116">
        <v>269.29000000000002</v>
      </c>
      <c r="Q2803" s="116">
        <v>267.66000000000003</v>
      </c>
      <c r="R2803">
        <v>15084</v>
      </c>
    </row>
    <row r="2804" spans="1:18" x14ac:dyDescent="0.25">
      <c r="A2804" s="170">
        <v>46175</v>
      </c>
      <c r="B2804">
        <v>239.6</v>
      </c>
      <c r="C2804">
        <v>233.45</v>
      </c>
      <c r="D2804">
        <v>230.65</v>
      </c>
      <c r="E2804">
        <v>239.6</v>
      </c>
      <c r="F2804">
        <v>233.45</v>
      </c>
      <c r="G2804">
        <v>47</v>
      </c>
      <c r="H2804" s="116"/>
      <c r="I2804" s="116"/>
      <c r="L2804" s="170">
        <v>46142</v>
      </c>
      <c r="M2804" s="116">
        <v>268.08999999999997</v>
      </c>
      <c r="N2804" s="116">
        <v>273</v>
      </c>
      <c r="O2804" s="116">
        <v>267.66000000000003</v>
      </c>
      <c r="P2804" s="116">
        <v>273</v>
      </c>
      <c r="Q2804" s="116">
        <v>268.08999999999997</v>
      </c>
      <c r="R2804">
        <v>14766</v>
      </c>
    </row>
    <row r="2805" spans="1:18" x14ac:dyDescent="0.25">
      <c r="A2805" s="170">
        <v>46176</v>
      </c>
      <c r="B2805">
        <v>234.95</v>
      </c>
      <c r="C2805">
        <v>229.7</v>
      </c>
      <c r="D2805">
        <v>228.95</v>
      </c>
      <c r="E2805">
        <v>233.45</v>
      </c>
      <c r="F2805">
        <v>229.7</v>
      </c>
      <c r="G2805">
        <v>931</v>
      </c>
      <c r="H2805" s="116"/>
      <c r="I2805" s="116"/>
      <c r="L2805" s="170">
        <v>46146</v>
      </c>
      <c r="M2805" s="116">
        <v>271.2</v>
      </c>
      <c r="N2805" s="116">
        <v>275.45</v>
      </c>
      <c r="O2805" s="116">
        <v>267</v>
      </c>
      <c r="P2805" s="116">
        <v>274</v>
      </c>
      <c r="Q2805" s="116">
        <v>271.2</v>
      </c>
      <c r="R2805">
        <v>17250</v>
      </c>
    </row>
    <row r="2806" spans="1:18" x14ac:dyDescent="0.25">
      <c r="A2806" s="170">
        <v>46177</v>
      </c>
      <c r="B2806">
        <v>232.85</v>
      </c>
      <c r="C2806">
        <v>227.15</v>
      </c>
      <c r="D2806">
        <v>227</v>
      </c>
      <c r="E2806">
        <v>230.45</v>
      </c>
      <c r="F2806">
        <v>227.15</v>
      </c>
      <c r="G2806">
        <v>1185</v>
      </c>
      <c r="H2806" s="116"/>
      <c r="I2806" s="116"/>
      <c r="L2806" s="170">
        <v>46147</v>
      </c>
      <c r="M2806" s="116">
        <v>266.85000000000002</v>
      </c>
      <c r="N2806" s="116">
        <v>273.5</v>
      </c>
      <c r="O2806" s="116">
        <v>265.3</v>
      </c>
      <c r="P2806" s="116">
        <v>273.3</v>
      </c>
      <c r="Q2806" s="116">
        <v>266.85000000000002</v>
      </c>
      <c r="R2806">
        <v>14765</v>
      </c>
    </row>
    <row r="2807" spans="1:18" x14ac:dyDescent="0.25">
      <c r="A2807" s="170">
        <v>46178</v>
      </c>
      <c r="B2807">
        <v>234</v>
      </c>
      <c r="C2807">
        <v>233.55</v>
      </c>
      <c r="D2807">
        <v>228</v>
      </c>
      <c r="E2807">
        <v>229.1</v>
      </c>
      <c r="F2807">
        <v>233.55</v>
      </c>
      <c r="G2807">
        <v>1451</v>
      </c>
      <c r="H2807" s="116"/>
      <c r="I2807" s="116"/>
      <c r="L2807" s="170">
        <v>46148</v>
      </c>
      <c r="M2807" s="116">
        <v>268.5</v>
      </c>
      <c r="N2807" s="116">
        <v>270.95</v>
      </c>
      <c r="O2807" s="116">
        <v>264.2</v>
      </c>
      <c r="P2807" s="116">
        <v>268.10000000000002</v>
      </c>
      <c r="Q2807" s="116">
        <v>268.5</v>
      </c>
      <c r="R2807">
        <v>9265</v>
      </c>
    </row>
    <row r="2808" spans="1:18" x14ac:dyDescent="0.25">
      <c r="A2808" s="170">
        <v>46181</v>
      </c>
      <c r="B2808">
        <v>233.9</v>
      </c>
      <c r="C2808">
        <v>228.05</v>
      </c>
      <c r="D2808">
        <v>225.8</v>
      </c>
      <c r="E2808">
        <v>228.25</v>
      </c>
      <c r="F2808">
        <v>228.05</v>
      </c>
      <c r="G2808">
        <v>2097</v>
      </c>
      <c r="H2808" s="116"/>
      <c r="I2808" s="116"/>
      <c r="L2808" s="170">
        <v>46149</v>
      </c>
      <c r="M2808" s="116">
        <v>272.60000000000002</v>
      </c>
      <c r="N2808" s="116">
        <v>274</v>
      </c>
      <c r="O2808" s="116">
        <v>267.39999999999998</v>
      </c>
      <c r="P2808" s="116">
        <v>272</v>
      </c>
      <c r="Q2808" s="116">
        <v>272.60000000000002</v>
      </c>
      <c r="R2808">
        <v>10746</v>
      </c>
    </row>
    <row r="2809" spans="1:18" x14ac:dyDescent="0.25">
      <c r="A2809" s="170">
        <v>46182</v>
      </c>
      <c r="B2809">
        <v>231</v>
      </c>
      <c r="C2809">
        <v>229.85</v>
      </c>
      <c r="D2809">
        <v>228</v>
      </c>
      <c r="E2809">
        <v>231</v>
      </c>
      <c r="F2809">
        <v>229.85</v>
      </c>
      <c r="G2809">
        <v>646</v>
      </c>
      <c r="H2809" s="116"/>
      <c r="I2809" s="116"/>
      <c r="L2809" s="170">
        <v>46150</v>
      </c>
      <c r="M2809" s="116">
        <v>265.05</v>
      </c>
      <c r="N2809" s="116">
        <v>274.64999999999998</v>
      </c>
      <c r="O2809" s="116">
        <v>264.14999999999998</v>
      </c>
      <c r="P2809" s="116">
        <v>273.7</v>
      </c>
      <c r="Q2809" s="116">
        <v>265.05</v>
      </c>
      <c r="R2809">
        <v>18940</v>
      </c>
    </row>
    <row r="2810" spans="1:18" x14ac:dyDescent="0.25">
      <c r="A2810" s="170">
        <v>46183</v>
      </c>
      <c r="B2810">
        <v>229.9</v>
      </c>
      <c r="C2810">
        <v>229.2</v>
      </c>
      <c r="D2810">
        <v>226.3</v>
      </c>
      <c r="E2810">
        <v>229.85</v>
      </c>
      <c r="F2810">
        <v>229.2</v>
      </c>
      <c r="G2810">
        <v>545</v>
      </c>
      <c r="H2810" s="116"/>
      <c r="I2810" s="116"/>
      <c r="L2810" s="170">
        <v>46153</v>
      </c>
      <c r="M2810" s="116">
        <v>264.3</v>
      </c>
      <c r="N2810" s="116">
        <v>266.95</v>
      </c>
      <c r="O2810" s="116">
        <v>259.10000000000002</v>
      </c>
      <c r="P2810" s="116">
        <v>266</v>
      </c>
      <c r="Q2810" s="116">
        <v>264.3</v>
      </c>
      <c r="R2810">
        <v>18978</v>
      </c>
    </row>
    <row r="2811" spans="1:18" x14ac:dyDescent="0.25">
      <c r="A2811" s="170">
        <v>46184</v>
      </c>
      <c r="B2811">
        <v>230</v>
      </c>
      <c r="C2811">
        <v>225</v>
      </c>
      <c r="D2811">
        <v>224.65</v>
      </c>
      <c r="E2811">
        <v>230</v>
      </c>
      <c r="F2811">
        <v>225</v>
      </c>
      <c r="G2811">
        <v>635</v>
      </c>
      <c r="H2811" s="116"/>
      <c r="I2811" s="116"/>
      <c r="L2811" s="170">
        <v>46154</v>
      </c>
      <c r="M2811" s="116">
        <v>254.15</v>
      </c>
      <c r="N2811" s="116">
        <v>274.60000000000002</v>
      </c>
      <c r="O2811" s="116">
        <v>250</v>
      </c>
      <c r="P2811" s="116">
        <v>267.2</v>
      </c>
      <c r="Q2811" s="116">
        <v>254.15</v>
      </c>
      <c r="R2811">
        <v>67197</v>
      </c>
    </row>
    <row r="2812" spans="1:18" x14ac:dyDescent="0.25">
      <c r="A2812" s="170">
        <v>46185</v>
      </c>
      <c r="B2812">
        <v>228.9</v>
      </c>
      <c r="C2812">
        <v>228.9</v>
      </c>
      <c r="D2812">
        <v>225.9</v>
      </c>
      <c r="E2812">
        <v>227.1</v>
      </c>
      <c r="F2812">
        <v>228.9</v>
      </c>
      <c r="G2812">
        <v>188</v>
      </c>
      <c r="H2812" s="116"/>
      <c r="I2812" s="116"/>
      <c r="L2812" s="170">
        <v>46155</v>
      </c>
      <c r="M2812" s="116">
        <v>238.65</v>
      </c>
      <c r="N2812" s="116">
        <v>255.3</v>
      </c>
      <c r="O2812" s="116">
        <v>237</v>
      </c>
      <c r="P2812" s="116">
        <v>252.9</v>
      </c>
      <c r="Q2812" s="116">
        <v>238.65</v>
      </c>
      <c r="R2812">
        <v>70462</v>
      </c>
    </row>
    <row r="2813" spans="1:18" x14ac:dyDescent="0.25">
      <c r="H2813" s="116"/>
      <c r="I2813" s="116"/>
      <c r="L2813" s="170">
        <v>46156</v>
      </c>
      <c r="M2813" s="116">
        <v>235.15</v>
      </c>
      <c r="N2813" s="116">
        <v>246.3</v>
      </c>
      <c r="O2813" s="116">
        <v>228.65</v>
      </c>
      <c r="P2813" s="116">
        <v>239.3</v>
      </c>
      <c r="Q2813" s="116">
        <v>235.15</v>
      </c>
      <c r="R2813">
        <v>48895</v>
      </c>
    </row>
    <row r="2814" spans="1:18" x14ac:dyDescent="0.25">
      <c r="H2814" s="116"/>
      <c r="I2814" s="116"/>
      <c r="L2814" s="170">
        <v>46157</v>
      </c>
      <c r="M2814" s="116">
        <v>231.75</v>
      </c>
      <c r="N2814" s="116">
        <v>240</v>
      </c>
      <c r="O2814" s="116">
        <v>229.5</v>
      </c>
      <c r="P2814" s="116">
        <v>238</v>
      </c>
      <c r="Q2814" s="116">
        <v>231.75</v>
      </c>
      <c r="R2814">
        <v>29388</v>
      </c>
    </row>
    <row r="2815" spans="1:18" x14ac:dyDescent="0.25">
      <c r="H2815" s="116"/>
      <c r="I2815" s="116"/>
      <c r="L2815" s="170">
        <v>46160</v>
      </c>
      <c r="M2815" s="116">
        <v>229.95</v>
      </c>
      <c r="N2815" s="116">
        <v>237</v>
      </c>
      <c r="O2815" s="116">
        <v>223</v>
      </c>
      <c r="P2815" s="116">
        <v>237</v>
      </c>
      <c r="Q2815" s="116">
        <v>229.95</v>
      </c>
      <c r="R2815">
        <v>41625</v>
      </c>
    </row>
    <row r="2816" spans="1:18" x14ac:dyDescent="0.25">
      <c r="H2816" s="116"/>
      <c r="I2816" s="116"/>
      <c r="L2816" s="170">
        <v>46161</v>
      </c>
      <c r="M2816" s="116">
        <v>235.05</v>
      </c>
      <c r="N2816" s="116">
        <v>241.45</v>
      </c>
      <c r="O2816" s="116">
        <v>230.7</v>
      </c>
      <c r="P2816" s="116">
        <v>232.95</v>
      </c>
      <c r="Q2816" s="116">
        <v>235.05</v>
      </c>
      <c r="R2816">
        <v>39335</v>
      </c>
    </row>
    <row r="2817" spans="8:18" x14ac:dyDescent="0.25">
      <c r="H2817" s="116"/>
      <c r="I2817" s="116"/>
      <c r="L2817" s="170">
        <v>46162</v>
      </c>
      <c r="M2817" s="116">
        <v>232.75</v>
      </c>
      <c r="N2817" s="116">
        <v>233.95</v>
      </c>
      <c r="O2817" s="116">
        <v>231.1</v>
      </c>
      <c r="P2817" s="116">
        <v>232.9</v>
      </c>
      <c r="Q2817" s="116">
        <v>232.75</v>
      </c>
      <c r="R2817">
        <v>16324</v>
      </c>
    </row>
    <row r="2818" spans="8:18" x14ac:dyDescent="0.25">
      <c r="H2818" s="116"/>
      <c r="I2818" s="116"/>
      <c r="L2818" s="170">
        <v>46163</v>
      </c>
      <c r="M2818" s="116">
        <v>235.85</v>
      </c>
      <c r="N2818" s="116">
        <v>237.8</v>
      </c>
      <c r="O2818" s="116">
        <v>231</v>
      </c>
      <c r="P2818" s="116">
        <v>236.9</v>
      </c>
      <c r="Q2818" s="116">
        <v>235.85</v>
      </c>
      <c r="R2818">
        <v>12414</v>
      </c>
    </row>
    <row r="2819" spans="8:18" x14ac:dyDescent="0.25">
      <c r="H2819" s="116"/>
      <c r="I2819" s="116"/>
      <c r="L2819" s="170">
        <v>46164</v>
      </c>
      <c r="M2819" s="116">
        <v>232.5</v>
      </c>
      <c r="N2819" s="116">
        <v>237.75</v>
      </c>
      <c r="O2819" s="116">
        <v>230.55</v>
      </c>
      <c r="P2819" s="116">
        <v>234.65</v>
      </c>
      <c r="Q2819" s="116">
        <v>232.5</v>
      </c>
      <c r="R2819">
        <v>12534</v>
      </c>
    </row>
    <row r="2820" spans="8:18" x14ac:dyDescent="0.25">
      <c r="H2820" s="116"/>
      <c r="I2820" s="116"/>
      <c r="L2820" s="170">
        <v>46167</v>
      </c>
      <c r="M2820" s="116">
        <v>235.9</v>
      </c>
      <c r="N2820" s="116">
        <v>239</v>
      </c>
      <c r="O2820" s="116">
        <v>231.3</v>
      </c>
      <c r="P2820" s="116">
        <v>236</v>
      </c>
      <c r="Q2820" s="116">
        <v>235.9</v>
      </c>
      <c r="R2820">
        <v>21287</v>
      </c>
    </row>
    <row r="2821" spans="8:18" x14ac:dyDescent="0.25">
      <c r="H2821" s="116"/>
      <c r="I2821" s="116"/>
      <c r="L2821" s="170">
        <v>46168</v>
      </c>
      <c r="M2821" s="116">
        <v>232.85</v>
      </c>
      <c r="N2821" s="116">
        <v>237.75</v>
      </c>
      <c r="O2821" s="116">
        <v>231.6</v>
      </c>
      <c r="P2821" s="116">
        <v>236.1</v>
      </c>
      <c r="Q2821" s="116">
        <v>232.85</v>
      </c>
      <c r="R2821">
        <v>11456</v>
      </c>
    </row>
    <row r="2822" spans="8:18" x14ac:dyDescent="0.25">
      <c r="H2822" s="116"/>
      <c r="I2822" s="116"/>
      <c r="L2822" s="170">
        <v>46169</v>
      </c>
      <c r="M2822" s="116">
        <v>237.15</v>
      </c>
      <c r="N2822" s="116">
        <v>240</v>
      </c>
      <c r="O2822" s="116">
        <v>233.05</v>
      </c>
      <c r="P2822" s="116">
        <v>235.65</v>
      </c>
      <c r="Q2822" s="116">
        <v>237.15</v>
      </c>
      <c r="R2822">
        <v>13759</v>
      </c>
    </row>
    <row r="2823" spans="8:18" x14ac:dyDescent="0.25">
      <c r="H2823" s="116"/>
      <c r="I2823" s="116"/>
      <c r="L2823" s="170">
        <v>46171</v>
      </c>
      <c r="M2823" s="116">
        <v>233.85</v>
      </c>
      <c r="N2823" s="116">
        <v>240</v>
      </c>
      <c r="O2823" s="116">
        <v>230.95</v>
      </c>
      <c r="P2823" s="116">
        <v>237.1</v>
      </c>
      <c r="Q2823" s="116">
        <v>233.85</v>
      </c>
      <c r="R2823">
        <v>11399</v>
      </c>
    </row>
    <row r="2824" spans="8:18" x14ac:dyDescent="0.25">
      <c r="H2824" s="116"/>
      <c r="I2824" s="116"/>
      <c r="L2824" s="170">
        <v>46174</v>
      </c>
      <c r="M2824" s="116">
        <v>234.89</v>
      </c>
      <c r="N2824" s="116">
        <v>241.79</v>
      </c>
      <c r="O2824" s="116">
        <v>233.1</v>
      </c>
      <c r="P2824" s="116">
        <v>234</v>
      </c>
      <c r="Q2824" s="116">
        <v>234.89</v>
      </c>
      <c r="R2824">
        <v>24235</v>
      </c>
    </row>
    <row r="2825" spans="8:18" x14ac:dyDescent="0.25">
      <c r="H2825" s="116"/>
      <c r="I2825" s="116"/>
      <c r="L2825" s="170">
        <v>46175</v>
      </c>
      <c r="M2825" s="116">
        <v>232.48</v>
      </c>
      <c r="N2825" s="116">
        <v>239.86</v>
      </c>
      <c r="O2825" s="116">
        <v>230.62</v>
      </c>
      <c r="P2825" s="116">
        <v>239.86</v>
      </c>
      <c r="Q2825" s="116">
        <v>232.48</v>
      </c>
      <c r="R2825">
        <v>17848</v>
      </c>
    </row>
    <row r="2826" spans="8:18" x14ac:dyDescent="0.25">
      <c r="H2826" s="116"/>
      <c r="I2826" s="116"/>
      <c r="L2826" s="170">
        <v>46176</v>
      </c>
      <c r="M2826" s="116">
        <v>229.37</v>
      </c>
      <c r="N2826" s="116">
        <v>235</v>
      </c>
      <c r="O2826" s="116">
        <v>226.02</v>
      </c>
      <c r="P2826" s="116">
        <v>235</v>
      </c>
      <c r="Q2826" s="116">
        <v>229.37</v>
      </c>
      <c r="R2826">
        <v>24808</v>
      </c>
    </row>
    <row r="2827" spans="8:18" x14ac:dyDescent="0.25">
      <c r="H2827" s="116"/>
      <c r="I2827" s="116"/>
      <c r="L2827" s="170">
        <v>46177</v>
      </c>
      <c r="M2827" s="116">
        <v>227.39</v>
      </c>
      <c r="N2827" s="116">
        <v>231.95</v>
      </c>
      <c r="O2827" s="116">
        <v>226.44</v>
      </c>
      <c r="P2827" s="116">
        <v>229.8</v>
      </c>
      <c r="Q2827" s="116">
        <v>227.39</v>
      </c>
      <c r="R2827">
        <v>17035</v>
      </c>
    </row>
    <row r="2828" spans="8:18" x14ac:dyDescent="0.25">
      <c r="H2828" s="116"/>
      <c r="I2828" s="116"/>
      <c r="L2828" s="170">
        <v>46178</v>
      </c>
      <c r="M2828" s="116">
        <v>231.16</v>
      </c>
      <c r="N2828" s="116">
        <v>233.07</v>
      </c>
      <c r="O2828" s="116">
        <v>227.39</v>
      </c>
      <c r="P2828" s="116">
        <v>228.02</v>
      </c>
      <c r="Q2828" s="116">
        <v>231.16</v>
      </c>
      <c r="R2828">
        <v>29286</v>
      </c>
    </row>
    <row r="2829" spans="8:18" x14ac:dyDescent="0.25">
      <c r="H2829" s="116"/>
      <c r="I2829" s="116"/>
      <c r="L2829" s="170">
        <v>46181</v>
      </c>
      <c r="M2829" s="116">
        <v>228.77</v>
      </c>
      <c r="N2829" s="116">
        <v>233.26</v>
      </c>
      <c r="O2829" s="116">
        <v>226.03</v>
      </c>
      <c r="P2829" s="116">
        <v>231.9</v>
      </c>
      <c r="Q2829" s="116">
        <v>228.77</v>
      </c>
      <c r="R2829">
        <v>21131</v>
      </c>
    </row>
    <row r="2830" spans="8:18" x14ac:dyDescent="0.25">
      <c r="H2830" s="116"/>
      <c r="I2830" s="116"/>
      <c r="L2830" s="170">
        <v>46182</v>
      </c>
      <c r="M2830" s="116">
        <v>229.89</v>
      </c>
      <c r="N2830" s="116">
        <v>236.96</v>
      </c>
      <c r="O2830" s="116">
        <v>228.01</v>
      </c>
      <c r="P2830" s="116">
        <v>230</v>
      </c>
      <c r="Q2830" s="116">
        <v>229.89</v>
      </c>
      <c r="R2830">
        <v>9802</v>
      </c>
    </row>
    <row r="2831" spans="8:18" x14ac:dyDescent="0.25">
      <c r="H2831" s="116"/>
      <c r="I2831" s="116"/>
      <c r="L2831" s="170">
        <v>46183</v>
      </c>
      <c r="M2831" s="116">
        <v>227.32</v>
      </c>
      <c r="N2831" s="116">
        <v>234.3</v>
      </c>
      <c r="O2831" s="116">
        <v>226.1</v>
      </c>
      <c r="P2831" s="116">
        <v>229.65</v>
      </c>
      <c r="Q2831" s="116">
        <v>227.32</v>
      </c>
      <c r="R2831">
        <v>14693</v>
      </c>
    </row>
    <row r="2832" spans="8:18" x14ac:dyDescent="0.25">
      <c r="H2832" s="116"/>
      <c r="I2832" s="116"/>
      <c r="L2832" s="170">
        <v>46184</v>
      </c>
      <c r="M2832" s="116">
        <v>225.05</v>
      </c>
      <c r="N2832" s="116">
        <v>228.88</v>
      </c>
      <c r="O2832" s="116">
        <v>224.11</v>
      </c>
      <c r="P2832" s="116">
        <v>227.41</v>
      </c>
      <c r="Q2832" s="116">
        <v>225.05</v>
      </c>
      <c r="R2832">
        <v>13855</v>
      </c>
    </row>
    <row r="2833" spans="8:18" x14ac:dyDescent="0.25">
      <c r="H2833" s="116"/>
      <c r="I2833" s="116"/>
      <c r="L2833" s="170">
        <v>46185</v>
      </c>
      <c r="M2833" s="116">
        <v>227.81</v>
      </c>
      <c r="N2833" s="116">
        <v>229.9</v>
      </c>
      <c r="O2833" s="116">
        <v>226.21</v>
      </c>
      <c r="P2833" s="116">
        <v>229.9</v>
      </c>
      <c r="Q2833" s="116">
        <v>227.81</v>
      </c>
      <c r="R2833">
        <v>7611</v>
      </c>
    </row>
    <row r="2834" spans="8:18" x14ac:dyDescent="0.25">
      <c r="H2834" s="116"/>
      <c r="I2834" s="116"/>
    </row>
    <row r="2835" spans="8:18" x14ac:dyDescent="0.25">
      <c r="H2835" s="116"/>
      <c r="I2835" s="116"/>
    </row>
    <row r="2836" spans="8:18" x14ac:dyDescent="0.25">
      <c r="H2836" s="116"/>
      <c r="I2836" s="116"/>
    </row>
    <row r="2837" spans="8:18" x14ac:dyDescent="0.25">
      <c r="H2837" s="116"/>
      <c r="I2837" s="116"/>
    </row>
    <row r="2838" spans="8:18" x14ac:dyDescent="0.25">
      <c r="H2838" s="116"/>
      <c r="I2838" s="116"/>
    </row>
    <row r="2839" spans="8:18" x14ac:dyDescent="0.25">
      <c r="H2839" s="116"/>
      <c r="I2839" s="116"/>
    </row>
    <row r="2840" spans="8:18" x14ac:dyDescent="0.25">
      <c r="H2840" s="116"/>
      <c r="I2840" s="116"/>
    </row>
    <row r="2841" spans="8:18" x14ac:dyDescent="0.25">
      <c r="H2841" s="116"/>
      <c r="I2841" s="116"/>
    </row>
    <row r="2842" spans="8:18" x14ac:dyDescent="0.25">
      <c r="H2842" s="116"/>
      <c r="I2842" s="116"/>
    </row>
    <row r="2843" spans="8:18" x14ac:dyDescent="0.25">
      <c r="H2843" s="116"/>
      <c r="I2843" s="116"/>
    </row>
    <row r="2844" spans="8:18" x14ac:dyDescent="0.25">
      <c r="H2844" s="116"/>
      <c r="I2844" s="116"/>
    </row>
    <row r="2845" spans="8:18" x14ac:dyDescent="0.25">
      <c r="H2845" s="116"/>
      <c r="I2845" s="116"/>
    </row>
    <row r="2846" spans="8:18" x14ac:dyDescent="0.25">
      <c r="H2846" s="116"/>
      <c r="I2846" s="116"/>
    </row>
    <row r="2847" spans="8:18" x14ac:dyDescent="0.25">
      <c r="H2847" s="116"/>
      <c r="I2847" s="116"/>
    </row>
    <row r="2848" spans="8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2026-06-15T11:50:23Z</dcterms:modified>
  <cp:category/>
  <cp:contentStatus/>
</cp:coreProperties>
</file>